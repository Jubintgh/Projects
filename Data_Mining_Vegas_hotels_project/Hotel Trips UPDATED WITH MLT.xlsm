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1.xml" ContentType="application/vnd.openxmlformats-officedocument.spreadsheetml.comments+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comments2.xml" ContentType="application/vnd.openxmlformats-officedocument.spreadsheetml.comments+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comments3.xml" ContentType="application/vnd.openxmlformats-officedocument.spreadsheetml.comments+xml"/>
  <Override PartName="/xl/drawings/drawing1.xml" ContentType="application/vnd.openxmlformats-officedocument.drawing+xml"/>
  <Override PartName="/xl/tables/table57.xml" ContentType="application/vnd.openxmlformats-officedocument.spreadsheetml.table+xml"/>
  <Override PartName="/xl/tables/table58.xml" ContentType="application/vnd.openxmlformats-officedocument.spreadsheetml.table+xml"/>
  <Override PartName="/xl/drawings/drawing2.xml" ContentType="application/vnd.openxmlformats-officedocument.drawing+xml"/>
  <Override PartName="/xl/tables/table59.xml" ContentType="application/vnd.openxmlformats-officedocument.spreadsheetml.table+xml"/>
  <Override PartName="/xl/tables/table60.xml" ContentType="application/vnd.openxmlformats-officedocument.spreadsheetml.table+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Zahir\Desktop\"/>
    </mc:Choice>
  </mc:AlternateContent>
  <xr:revisionPtr revIDLastSave="0" documentId="13_ncr:1_{E2C42655-6E10-4112-8C73-3A522EEC84CA}" xr6:coauthVersionLast="45" xr6:coauthVersionMax="45" xr10:uidLastSave="{00000000-0000-0000-0000-000000000000}"/>
  <bookViews>
    <workbookView xWindow="-120" yWindow="285" windowWidth="29040" windowHeight="16065" tabRatio="939" firstSheet="1" activeTab="1" xr2:uid="{1A6C66CE-CFDD-46F0-B1B1-3CEA69BA8357}"/>
  </bookViews>
  <sheets>
    <sheet name="Original Dataset Uncleaned" sheetId="1" r:id="rId1"/>
    <sheet name="Pre Category Reduce and Dummies" sheetId="3" r:id="rId2"/>
    <sheet name="SAME REAULT FOR CATegorical CON" sheetId="36" r:id="rId3"/>
    <sheet name="CORREL CONT" sheetId="60" r:id="rId4"/>
    <sheet name="CORREL CATEG" sheetId="63" r:id="rId5"/>
    <sheet name="CLEAN CONTINOUS" sheetId="59" r:id="rId6"/>
    <sheet name="STDPartition(MLR)" sheetId="75" r:id="rId7"/>
    <sheet name="LinReg_Output(S.5.Step)" sheetId="112" r:id="rId8"/>
    <sheet name="LinReg_Training(S.5.Step)" sheetId="111" r:id="rId9"/>
    <sheet name="LinReg_Validation(S.5.Step)" sheetId="110" r:id="rId10"/>
    <sheet name="LinReg_Stored(S.5.Step)" sheetId="109" r:id="rId11"/>
    <sheet name="LinReg_Output(Step)" sheetId="108" r:id="rId12"/>
    <sheet name="LinReg_FS(Step)" sheetId="107" r:id="rId13"/>
    <sheet name="LinReg_Training(Step)" sheetId="106" r:id="rId14"/>
    <sheet name="LinReg_Validation(Step)" sheetId="105" r:id="rId15"/>
    <sheet name="LinReg_Stored(Step)" sheetId="104" r:id="rId16"/>
    <sheet name="LinReg_Output(S.16.SEQ)" sheetId="103" r:id="rId17"/>
    <sheet name="LinReg_Training(S.16.SEQ)" sheetId="102" r:id="rId18"/>
    <sheet name="LinReg_Validation(S.16.SEQ)" sheetId="101" r:id="rId19"/>
    <sheet name="LinReg_Stored(S.16.SEQ)" sheetId="100" r:id="rId20"/>
    <sheet name="LinReg_Output(SEQ)" sheetId="99" r:id="rId21"/>
    <sheet name="LinReg_FS(SEQ)" sheetId="98" r:id="rId22"/>
    <sheet name="LinReg_Training(SEQ)" sheetId="97" r:id="rId23"/>
    <sheet name="LinReg_ValidationScore(SEQ)" sheetId="96" r:id="rId24"/>
    <sheet name="LinReg_Stored(SEQ)" sheetId="95" r:id="rId25"/>
    <sheet name="LinReg_Sub9(B.E)" sheetId="94" r:id="rId26"/>
    <sheet name="LinReg_Training(S.9.B.E)" sheetId="93" r:id="rId27"/>
    <sheet name="LinReg_Validation(S.9.B.E)" sheetId="92" r:id="rId28"/>
    <sheet name="LinReg_Stored(S.9.B.E)" sheetId="91" r:id="rId29"/>
    <sheet name="LinReg_OutputBackward" sheetId="90" r:id="rId30"/>
    <sheet name="LinReg_BackwardElim" sheetId="89" r:id="rId31"/>
    <sheet name="LinReg_TrainingBackward" sheetId="88" r:id="rId32"/>
    <sheet name="LinReg_ValidationBackward" sheetId="87" r:id="rId33"/>
    <sheet name="LinReg_StoredBackward" sheetId="86" r:id="rId34"/>
    <sheet name="Checking Training Data FRS" sheetId="85" r:id="rId35"/>
    <sheet name="LinReg_Out1FRS(SubSet4)" sheetId="84" r:id="rId36"/>
    <sheet name="LinReg_Training1FRS(Subset4)" sheetId="83" r:id="rId37"/>
    <sheet name="LinReg_Validation1FRS(Subset4" sheetId="82" r:id="rId38"/>
    <sheet name="LinReg_Stored1Subset4" sheetId="81" r:id="rId39"/>
    <sheet name="LinReg_Output(80-20)" sheetId="80" r:id="rId40"/>
    <sheet name="LinReg_FS" sheetId="79" r:id="rId41"/>
    <sheet name="LinReg_TrainingScore" sheetId="78" r:id="rId42"/>
    <sheet name="LinReg_ValidationScore" sheetId="77" r:id="rId43"/>
    <sheet name="LinReg_Stored" sheetId="76" r:id="rId44"/>
    <sheet name="CLEAN CATEG" sheetId="62" r:id="rId45"/>
  </sheets>
  <definedNames>
    <definedName name="ExternalData_1" localSheetId="0" hidden="1">'Original Dataset Uncleaned'!$A$1:$T$505</definedName>
    <definedName name="ExternalData_1" localSheetId="1" hidden="1">'Pre Category Reduce and Dummies'!$A$1:$L$467</definedName>
    <definedName name="solver_typ" localSheetId="37" hidden="1">2</definedName>
    <definedName name="solver_ver" localSheetId="37" hidden="1">17</definedName>
    <definedName name="xlm_12_1" localSheetId="1" hidden="1">"'{""wkbk"":""HOTELS TRIP GROUP 1 .xlsx"",""wksheet"":""Pre Category Reduce and Dummies"",""data_range"":""$A$1:$L$467"",""has_header"":true,""input_cols"":[{""varName"":""Period of stay""},{""varName"":""Tennis court""},{""varName"":""Review weekday""}],""cat_cols"":[],""firstRow"":1,""r"</definedName>
    <definedName name="xlm_12_2" localSheetId="1" hidden="1">"'ows"":466,""isPartitionSheet"":false,""data_cols"":[{""varId"":0,""varName"":""Nr. reviews""},{""varId"":1,""varName"":""Nr. hotel reviews""},{""varId"":2,""varName"":""Helpful votes""},{""varId"":3,""varName"":""Score""},{""varId"":5,""varName"":""Traveler type""},{""varId"":7,""varName"":""H"</definedName>
    <definedName name="xlm_12_3" localSheetId="1" hidden="1">"'otel stars""},{""varId"":8,""varName"":""Nr. rooms""},{""varId"":9,""varName"":""User continent""},{""varId"":10,""varName"":""Member years""}]}"</definedName>
    <definedName name="xlm_14_1" localSheetId="5" hidden="1">"'{""wksheet"":""CLEAN CONTINOUS"",""wkbk"":""HOTELS TRIP GROUP 1 .xlsx"",""data_range"":""$A$1:$AA$467"",""firstRow"":1,""rows"":466,""has_header"":true,""defaultCategory"":2,""input_cols"":[{""varName"":""Nr. reviews""},{""varName"":""Nr. hotel reviews""},{""varName"":""Helpful votes""},"</definedName>
    <definedName name="xlm_14_1" localSheetId="1" hidden="1">"'{""wksheet"":""Pre Category Reduce and Dummies"",""wkbk"":""HOTELS TRIP GROUP 1 .xlsx"",""data_range"":""$A$1:$L$467"",""firstRow"":1,""rows"":466,""has_header"":true,""defaultCategory"":4,""input_cols"":[{""varName"":""Nr. reviews""},{""varName"":""Nr. hotel reviews""},{""varName"":""H"</definedName>
    <definedName name="xlm_14_2" localSheetId="5" hidden="1">"'{""varName"":""Score""},{""varName"":""Nr. rooms""},{""varName"":""Member years""},{""varName"":""Period of stay_Dec-Feb""},{""varName"":""Period of stay_Jun-Aug""},{""varName"":""Period of stay_Mar-May""},{""varName"":""Period of stay_Sep-Nov""},{""varName"":""Traveler type Other""},{"</definedName>
    <definedName name="xlm_14_2" localSheetId="1" hidden="1">"'elpful votes""},{""varName"":""Score""},{""varName"":""Period of stay""},{""varName"":""Traveler type""},{""varName"":""Tennis court""},{""varName"":""Hotel stars""},{""varName"":""Nr. rooms""},{""varName"":""User continent""},{""varName"":""Member years""},{""varName"":""Review weekday""}]"</definedName>
    <definedName name="xlm_14_3" localSheetId="5" hidden="1">"'""varName"":""Traveler type Families""},{""varName"":""Traveler type Couples""},{""varName"":""Tennis court_YES""},{""varName"":""Hotel stars 3 and 3.5""},{""varName"":""Hotel stars 4 and 4.5""},{""varName"":""Hotel stars 5""},{""varName"":""User continent Other""},{""varName"":""User"</definedName>
    <definedName name="xlm_14_3" localSheetId="1" hidden="1">"'}"</definedName>
    <definedName name="xlm_14_4" localSheetId="5" hidden="1">"' continent Europe""},{""varName"":""User continent North America""},{""varName"":""Review weekday_Friday""},{""varName"":""Review weekday_Monday""},{""varName"":""Review weekday_Saturday""},{""varName"":""Review weekday_Sunday""},{""varName"":""Review weekday_Thursday""},{""varNa"</definedName>
    <definedName name="xlm_14_5" localSheetId="5" hidden="1">"'me"":""Review weekday_Tuesday""},{""varName"":""Review weekday_Wednesday""}]}"</definedName>
    <definedName name="xlm_701_1" localSheetId="6" hidden="1">"'{""wkbk"":""Hotel Trips.xlsx"",""wksheet"":""STDPartition(MLR)"",""data_range"":"""",""has_header"":true,""firstRow"":-1,""rows"":466,""train_rows"":373,""validation_rows"":93,""test_rows"":0,""trainingDataRange"":""$C$37:$AC$409"",""validationDataRange"":""$C$410:$AC$502"",""allDataRan"</definedName>
    <definedName name="xlm_701_2" localSheetId="6" hidden="1">"'ge"":""$C$36:$AC$502"",""isPartitionSheet"":true,""partitionData"":false,""trainDetailRpt"":false,""trainSummaryRpt"":true,""trainLiftChart"":false,""trainROCCurve"":false,""validationDetailRpt"":false,""validationSummaryRpt"":true,""validationLiftChart"":false,""validROCCurv"</definedName>
    <definedName name="xlm_701_3" localSheetId="6" hidden="1">"'e"":false,""newDataWorksheet"":false,""newDataDatabase"":false,""rescalerParams"":{""technique"":null,""correction"":null,""normType"":null,""rescale"":false},""estimatorParams"":{""fitIntercept"":true},""modelParams"":null,""displayParams"":{""showVarCovar"":false,""showMulticol"</definedName>
    <definedName name="xlm_701_4" localSheetId="6" hidden="1">"'linearity"":false,""showDetailedCoefficients"":false,""showANOVA"":false,""showDetailedResiduals"":false,""showInfluenceDiagnostics"":false,""showPredictionIntervals"":false},""fsParams"":{""selectVariables"":true,""fsMethod"":3,""fIn"":null,""fOut"":null,""numSubsets"":2,""max"</definedName>
    <definedName name="xlm_701_5" localSheetId="6" hidden="1">"'SubsetSize"":25},""varSelectionOnly"":false}"</definedName>
    <definedName name="xlm_90_1" localSheetId="44" hidden="1">"'{""wkbk"":""HOTELS TRIP GROUP 1 .xlsx"",""wksheet"":""CLEAN CATEG"",""data_range"":""$A$1:$Z$467"",""has_header"":true,""input_cols"":[{""varName"":""Nr. reviews""},{""varName"":""Nr. hotel reviews""},{""varName"":""Score""},{""varName"":""Nr. rooms""},{""varName"":""Member years""},{""varN"</definedName>
    <definedName name="xlm_90_1" localSheetId="5" hidden="1">"'{""wkbk"":""HOTELS TRIP GROUP 1 .xlsx"",""wksheet"":""CLEAN CONTINOUS"",""data_range"":""$A$1:$Z$467"",""has_header"":true,""input_cols"":[{""varName"":""Nr. reviews""},{""varName"":""Nr. hotel reviews""},{""varName"":""Score""},{""varName"":""Nr. rooms""},{""varName"":""Member years""},{"""</definedName>
    <definedName name="xlm_90_2" localSheetId="44" hidden="1">"'ame"":""Period of stay_Dec-Feb""},{""varName"":""Period of stay_Jun-Aug""},{""varName"":""Period of stay_Mar-May""},{""varName"":""Period of stay_Sep-Nov""},{""varName"":""Traveler type Other""},{""varName"":""Traveler type Families""},{""varName"":""Traveler type Couples""},{""var"</definedName>
    <definedName name="xlm_90_2" localSheetId="5" hidden="1">"'varName"":""Period of stay_Dec-Feb""},{""varName"":""Period of stay_Jun-Aug""},{""varName"":""Period of stay_Mar-May""},{""varName"":""Period of stay_Sep-Nov""},{""varName"":""Traveler type Other""},{""varName"":""Traveler type Families""},{""varName"":""Traveler type Couples""},{"</definedName>
    <definedName name="xlm_90_3" localSheetId="44" hidden="1">"'Name"":""Tennis court_YES""},{""varName"":""Hotel stars 3 and 3.5""},{""varName"":""Hotel stars 4 and 4.5""},{""varName"":""Hotel stars 5""},{""varName"":""User continent Other""},{""varName"":""User continent Europe""},{""varName"":""User continent North America""},{""varName"":""Re"</definedName>
    <definedName name="xlm_90_3" localSheetId="5" hidden="1">"'""varName"":""Tennis court_YES""},{""varName"":""Hotel stars 3 and 3.5""},{""varName"":""Hotel stars 4 and 4.5""},{""varName"":""Hotel stars 5""},{""varName"":""User continent Other""},{""varName"":""User continent Europe""},{""varName"":""User continent North America""},{""varName"""</definedName>
    <definedName name="xlm_90_4" localSheetId="44" hidden="1">"'view weekday_Friday""},{""varName"":""Review weekday_Monday""},{""varName"":""Review weekday_Saturday""},{""varName"":""Review weekday_Sunday""},{""varName"":""Review weekday_Thursday""},{""varName"":""Review weekday_Tuesday""},{""varName"":""Review weekday_Wednesday""}],""cat_co"</definedName>
    <definedName name="xlm_90_4" localSheetId="5" hidden="1">"':""Review weekday_Friday""},{""varName"":""Review weekday_Monday""},{""varName"":""Review weekday_Saturday""},{""varName"":""Review weekday_Sunday""},{""varName"":""Review weekday_Thursday""},{""varName"":""Review weekday_Tuesday""},{""varName"":""Review weekday_Wednesday""}],""ca"</definedName>
    <definedName name="xlm_90_5" localSheetId="44" hidden="1">"'ls"":[],""firstRow"":1,""rows"":466,""isPartitionSheet"":false,""type"":1,""usePartitionVar"":false,""partitionVar"":null,""useRandomRows"":true,""partitionCode"":0,""setSeed"":true,""seedValue"":12345,""trainPct"":60,""validationPct"":40,""testPct"":0}"</definedName>
    <definedName name="xlm_90_5" localSheetId="5" hidden="1">"'t_cols"":[],""firstRow"":1,""rows"":466,""isPartitionSheet"":false,""type"":1,""usePartitionVar"":false,""partitionVar"":null,""useRandomRows"":true,""partitionCode"":1,""setSeed"":true,""seedValue"":12345,""trainPct"":80,""validationPct"":20,""testPct"":0}"</definedName>
    <definedName name="xlm_chart1" localSheetId="34" hidden="1">"Linearity Check "</definedName>
    <definedName name="xlm_chart1" localSheetId="36" hidden="1">"Residual Normality "</definedName>
    <definedName name="xlm_chart1_CatVar0" localSheetId="34" hidden="1">1</definedName>
    <definedName name="xlm_chart1_CatVar0Chk0" localSheetId="34" hidden="1">1</definedName>
    <definedName name="xlm_chart1_CatVar0Chk1" localSheetId="34" hidden="1">1</definedName>
    <definedName name="xlm_chart1_CatVar0Chk2" localSheetId="34" hidden="1">1</definedName>
    <definedName name="xlm_chart1_CatVar0Chk3" localSheetId="34" hidden="1">1</definedName>
    <definedName name="xlm_chart1_CatVar0Chk4" localSheetId="34" hidden="1">1</definedName>
    <definedName name="xlm_chart1_CatVar1" localSheetId="34" hidden="1">1</definedName>
    <definedName name="xlm_chart1_CatVar1Chk0" localSheetId="34" hidden="1">1</definedName>
    <definedName name="xlm_chart1_CatVar1Chk1" localSheetId="34" hidden="1">1</definedName>
    <definedName name="xlm_chart1_CatVar2" localSheetId="34" hidden="1">1</definedName>
    <definedName name="xlm_chart1_CatVar2Chk0" localSheetId="34" hidden="1">1</definedName>
    <definedName name="xlm_chart1_CatVar2Chk1" localSheetId="34" hidden="1">1</definedName>
    <definedName name="xlm_chart1_CatVar3" localSheetId="34" hidden="1">1</definedName>
    <definedName name="xlm_chart1_CatVar3Chk0" localSheetId="34" hidden="1">1</definedName>
    <definedName name="xlm_chart1_CatVar3Chk1" localSheetId="34" hidden="1">1</definedName>
    <definedName name="xlm_chart1_Child1Axis0" localSheetId="34" hidden="1">1</definedName>
    <definedName name="xlm_chart1_Child1Axis0" localSheetId="36" hidden="1">1</definedName>
    <definedName name="xlm_chart1_Child1Axis0_format" localSheetId="34" hidden="1">0</definedName>
    <definedName name="xlm_chart1_Child1Axis0_format" localSheetId="36" hidden="1">0</definedName>
    <definedName name="xlm_chart1_Child1Axis0_layout" localSheetId="34" hidden="1">0</definedName>
    <definedName name="xlm_chart1_Child1Axis0_layout" localSheetId="36" hidden="1">0</definedName>
    <definedName name="xlm_chart1_Child1Axis0_name" localSheetId="34" hidden="1">"Arial"</definedName>
    <definedName name="xlm_chart1_Child1Axis0_name" localSheetId="36" hidden="1">"Arial"</definedName>
    <definedName name="xlm_chart1_Child1Axis0_size" localSheetId="34" hidden="1">9</definedName>
    <definedName name="xlm_chart1_Child1Axis0_size" localSheetId="36" hidden="1">9</definedName>
    <definedName name="xlm_chart1_Child1Axis0_style" localSheetId="34" hidden="1">0</definedName>
    <definedName name="xlm_chart1_Child1Axis0_style" localSheetId="36" hidden="1">0</definedName>
    <definedName name="xlm_chart1_Child1Axis1" localSheetId="34" hidden="1">1</definedName>
    <definedName name="xlm_chart1_Child1Axis1" localSheetId="36" hidden="1">1</definedName>
    <definedName name="xlm_chart1_Child1Axis1_format" localSheetId="34" hidden="1">0</definedName>
    <definedName name="xlm_chart1_Child1Axis1_format" localSheetId="36" hidden="1">2</definedName>
    <definedName name="xlm_chart1_Child1Axis1_layout" localSheetId="34" hidden="1">0</definedName>
    <definedName name="xlm_chart1_Child1Axis1_layout" localSheetId="36" hidden="1">0</definedName>
    <definedName name="xlm_chart1_Child1Axis1_name" localSheetId="34" hidden="1">"Arial"</definedName>
    <definedName name="xlm_chart1_Child1Axis1_name" localSheetId="36" hidden="1">"Arial"</definedName>
    <definedName name="xlm_chart1_Child1Axis1_size" localSheetId="34" hidden="1">9</definedName>
    <definedName name="xlm_chart1_Child1Axis1_size" localSheetId="36" hidden="1">9</definedName>
    <definedName name="xlm_chart1_Child1Axis1_style" localSheetId="34" hidden="1">0</definedName>
    <definedName name="xlm_chart1_Child1Axis1_style" localSheetId="36" hidden="1">0</definedName>
    <definedName name="xlm_chart1_Child1Axis2" localSheetId="34" hidden="1">0</definedName>
    <definedName name="xlm_chart1_Child1Axis2" localSheetId="36" hidden="1">0</definedName>
    <definedName name="xlm_chart1_Child1Axis2_format" localSheetId="34" hidden="1">0</definedName>
    <definedName name="xlm_chart1_Child1Axis2_format" localSheetId="36" hidden="1">0</definedName>
    <definedName name="xlm_chart1_Child1Axis2_layout" localSheetId="34" hidden="1">0</definedName>
    <definedName name="xlm_chart1_Child1Axis2_layout" localSheetId="36" hidden="1">0</definedName>
    <definedName name="xlm_chart1_Child1Axis2_name" localSheetId="34" hidden="1">"Arial"</definedName>
    <definedName name="xlm_chart1_Child1Axis2_name" localSheetId="36" hidden="1">"Arial"</definedName>
    <definedName name="xlm_chart1_Child1Axis2_size" localSheetId="34" hidden="1">9</definedName>
    <definedName name="xlm_chart1_Child1Axis2_size" localSheetId="36" hidden="1">9</definedName>
    <definedName name="xlm_chart1_Child1Axis2_style" localSheetId="34" hidden="1">0</definedName>
    <definedName name="xlm_chart1_Child1Axis2_style" localSheetId="36" hidden="1">0</definedName>
    <definedName name="xlm_chart1_Child1Axis3" localSheetId="34" hidden="1">0</definedName>
    <definedName name="xlm_chart1_Child1Axis3" localSheetId="36" hidden="1">1</definedName>
    <definedName name="xlm_chart1_Child1Axis3_format" localSheetId="34" hidden="1">0</definedName>
    <definedName name="xlm_chart1_Child1Axis3_format" localSheetId="36" hidden="1">0</definedName>
    <definedName name="xlm_chart1_Child1Axis3_layout" localSheetId="34" hidden="1">0</definedName>
    <definedName name="xlm_chart1_Child1Axis3_layout" localSheetId="36" hidden="1">0</definedName>
    <definedName name="xlm_chart1_Child1Axis3_name" localSheetId="34" hidden="1">"Arial"</definedName>
    <definedName name="xlm_chart1_Child1Axis3_name" localSheetId="36" hidden="1">"Arial"</definedName>
    <definedName name="xlm_chart1_Child1Axis3_size" localSheetId="34" hidden="1">9</definedName>
    <definedName name="xlm_chart1_Child1Axis3_size" localSheetId="36" hidden="1">9</definedName>
    <definedName name="xlm_chart1_Child1Axis3_style" localSheetId="34" hidden="1">0</definedName>
    <definedName name="xlm_chart1_Child1Axis3_style" localSheetId="36" hidden="1">0</definedName>
    <definedName name="xlm_chart1_Child1Axis4_name" localSheetId="34" hidden="1">"Arial"</definedName>
    <definedName name="xlm_chart1_Child1Axis4_name" localSheetId="36" hidden="1">"Arial"</definedName>
    <definedName name="xlm_chart1_Child1Axis4_size" localSheetId="34" hidden="1">9</definedName>
    <definedName name="xlm_chart1_Child1Axis4_size" localSheetId="36" hidden="1">9</definedName>
    <definedName name="xlm_chart1_Child1Axis4_style" localSheetId="34" hidden="1">0</definedName>
    <definedName name="xlm_chart1_Child1Axis4_style" localSheetId="36" hidden="1">0</definedName>
    <definedName name="xlm_chart1_Child1Axis5_name" localSheetId="34" hidden="1">"Arial"</definedName>
    <definedName name="xlm_chart1_Child1Axis5_name" localSheetId="36" hidden="1">"Arial"</definedName>
    <definedName name="xlm_chart1_Child1Axis5_size" localSheetId="34" hidden="1">9</definedName>
    <definedName name="xlm_chart1_Child1Axis5_size" localSheetId="36" hidden="1">9</definedName>
    <definedName name="xlm_chart1_Child1Axis5_style" localSheetId="34" hidden="1">0</definedName>
    <definedName name="xlm_chart1_Child1Axis5_style" localSheetId="36" hidden="1">0</definedName>
    <definedName name="xlm_chart1_Child1Border" localSheetId="34" hidden="1">0</definedName>
    <definedName name="xlm_chart1_Child1Border" localSheetId="36" hidden="1">0</definedName>
    <definedName name="xlm_chart1_Child1Bordercolor" localSheetId="34" hidden="1">-1</definedName>
    <definedName name="xlm_chart1_Child1Bordercolor" localSheetId="36" hidden="1">-1</definedName>
    <definedName name="xlm_chart1_Child1Col0" localSheetId="34" hidden="1">-13395457</definedName>
    <definedName name="xlm_chart1_Child1Col0" localSheetId="36" hidden="1">-13395457</definedName>
    <definedName name="xlm_chart1_Child1Col1" localSheetId="34" hidden="1">-10496</definedName>
    <definedName name="xlm_chart1_Child1Col1" localSheetId="36" hidden="1">-10496</definedName>
    <definedName name="xlm_chart1_Child1Col10" localSheetId="34" hidden="1">-12490271</definedName>
    <definedName name="xlm_chart1_Child1Col10" localSheetId="36" hidden="1">-12490271</definedName>
    <definedName name="xlm_chart1_Child1Col11" localSheetId="34" hidden="1">-47872</definedName>
    <definedName name="xlm_chart1_Child1Col11" localSheetId="36" hidden="1">-47872</definedName>
    <definedName name="xlm_chart1_Child1Col2" localSheetId="34" hidden="1">-7722014</definedName>
    <definedName name="xlm_chart1_Child1Col2" localSheetId="36" hidden="1">-7722014</definedName>
    <definedName name="xlm_chart1_Child1Col3" localSheetId="34" hidden="1">-29696</definedName>
    <definedName name="xlm_chart1_Child1Col3" localSheetId="36" hidden="1">-29696</definedName>
    <definedName name="xlm_chart1_Child1Col4" localSheetId="34" hidden="1">-14513374</definedName>
    <definedName name="xlm_chart1_Child1Col4" localSheetId="36" hidden="1">-14513374</definedName>
    <definedName name="xlm_chart1_Child1Col5" localSheetId="34" hidden="1">-256</definedName>
    <definedName name="xlm_chart1_Child1Col5" localSheetId="36" hidden="1">-256</definedName>
    <definedName name="xlm_chart1_Child1Col6" localSheetId="34" hidden="1">-7077677</definedName>
    <definedName name="xlm_chart1_Child1Col6" localSheetId="36" hidden="1">-7077677</definedName>
    <definedName name="xlm_chart1_Child1Col7" localSheetId="34" hidden="1">-40121</definedName>
    <definedName name="xlm_chart1_Child1Col7" localSheetId="36" hidden="1">-40121</definedName>
    <definedName name="xlm_chart1_Child1Col8" localSheetId="34" hidden="1">-16711809</definedName>
    <definedName name="xlm_chart1_Child1Col8" localSheetId="36" hidden="1">-16711809</definedName>
    <definedName name="xlm_chart1_Child1Col9" localSheetId="34" hidden="1">-8388864</definedName>
    <definedName name="xlm_chart1_Child1Col9" localSheetId="36" hidden="1">-8388864</definedName>
    <definedName name="xlm_chart1_Child1Color" localSheetId="34" hidden="1">0</definedName>
    <definedName name="xlm_chart1_Child1Color" localSheetId="36" hidden="1">0</definedName>
    <definedName name="xlm_chart1_Child1Footer" localSheetId="34" hidden="1">" "</definedName>
    <definedName name="xlm_chart1_Child1Footer" localSheetId="36" hidden="1">" "</definedName>
    <definedName name="xlm_chart1_Child1Header" localSheetId="34" hidden="1">" "</definedName>
    <definedName name="xlm_chart1_Child1Header" localSheetId="36" hidden="1">" "</definedName>
    <definedName name="xlm_chart1_Child1HeaderInfo0" localSheetId="34" hidden="1">-1</definedName>
    <definedName name="xlm_chart1_Child1HeaderInfo0" localSheetId="36" hidden="1">-1</definedName>
    <definedName name="xlm_chart1_Child1HeaderInfo1" localSheetId="34" hidden="1">0</definedName>
    <definedName name="xlm_chart1_Child1HeaderInfo1" localSheetId="36" hidden="1">0</definedName>
    <definedName name="xlm_chart1_Child1HeaderInfo2" localSheetId="34" hidden="1">1</definedName>
    <definedName name="xlm_chart1_Child1HeaderInfo2" localSheetId="36" hidden="1">1</definedName>
    <definedName name="xlm_chart1_Child1HeaderInfo3" localSheetId="34" hidden="1">-1</definedName>
    <definedName name="xlm_chart1_Child1HeaderInfo3" localSheetId="36" hidden="1">-1</definedName>
    <definedName name="xlm_chart1_Child1Heigth" localSheetId="34" hidden="1">566</definedName>
    <definedName name="xlm_chart1_Child1Heigth" localSheetId="36" hidden="1">566</definedName>
    <definedName name="xlm_chart1_Child1LabelInfo0" localSheetId="34" hidden="1">0</definedName>
    <definedName name="xlm_chart1_Child1LabelInfo0" localSheetId="36" hidden="1">0</definedName>
    <definedName name="xlm_chart1_Child1LabelInfo1" localSheetId="34" hidden="1">0</definedName>
    <definedName name="xlm_chart1_Child1LabelInfo1" localSheetId="36" hidden="1">0</definedName>
    <definedName name="xlm_chart1_Child1LabelInfo2" localSheetId="34" hidden="1">0</definedName>
    <definedName name="xlm_chart1_Child1LabelInfo2" localSheetId="36" hidden="1">0</definedName>
    <definedName name="xlm_chart1_Child1LabelInfo3" localSheetId="34" hidden="1">0</definedName>
    <definedName name="xlm_chart1_Child1LabelInfo3" localSheetId="36" hidden="1">0</definedName>
    <definedName name="xlm_chart1_Child1LabelInfo4" localSheetId="34" hidden="1">-1</definedName>
    <definedName name="xlm_chart1_Child1LabelInfo4" localSheetId="36" hidden="1">-1</definedName>
    <definedName name="xlm_chart1_Child1LabelInfo5" localSheetId="34" hidden="1">-1</definedName>
    <definedName name="xlm_chart1_Child1LabelInfo5" localSheetId="36" hidden="1">-1</definedName>
    <definedName name="xlm_chart1_Child1LegHeader" localSheetId="34" hidden="1">" "</definedName>
    <definedName name="xlm_chart1_Child1LegHeader" localSheetId="36" hidden="1">" "</definedName>
    <definedName name="xlm_chart1_Child1Locx" localSheetId="34" hidden="1">0</definedName>
    <definedName name="xlm_chart1_Child1Locx" localSheetId="36" hidden="1">0</definedName>
    <definedName name="xlm_chart1_Child1Locy" localSheetId="34" hidden="1">0</definedName>
    <definedName name="xlm_chart1_Child1Locy" localSheetId="36" hidden="1">0</definedName>
    <definedName name="xlm_chart1_Child1Panel" localSheetId="34" hidden="1">0</definedName>
    <definedName name="xlm_chart1_Child1Panel" localSheetId="36" hidden="1">0</definedName>
    <definedName name="xlm_chart1_Child1PrimaryX" localSheetId="34" hidden="1">" "</definedName>
    <definedName name="xlm_chart1_Child1PrimaryX" localSheetId="36" hidden="1">" "</definedName>
    <definedName name="xlm_chart1_Child1PrimaryY" localSheetId="34" hidden="1">" "</definedName>
    <definedName name="xlm_chart1_Child1PrimaryY" localSheetId="36" hidden="1">"Count"</definedName>
    <definedName name="xlm_chart1_Child1SecondX" localSheetId="34" hidden="1">" "</definedName>
    <definedName name="xlm_chart1_Child1SecondX" localSheetId="36" hidden="1">" "</definedName>
    <definedName name="xlm_chart1_Child1SecondY" localSheetId="34" hidden="1">" "</definedName>
    <definedName name="xlm_chart1_Child1SecondY" localSheetId="36" hidden="1">" "</definedName>
    <definedName name="xlm_chart1_Child1Type" localSheetId="34" hidden="1">3</definedName>
    <definedName name="xlm_chart1_Child1Type" localSheetId="36" hidden="1">5</definedName>
    <definedName name="xlm_chart1_Child1Width" localSheetId="34" hidden="1">613</definedName>
    <definedName name="xlm_chart1_Child1Width" localSheetId="36" hidden="1">613</definedName>
    <definedName name="xlm_chart1_Child1X" localSheetId="34" hidden="1">4</definedName>
    <definedName name="xlm_chart1_Child1X" localSheetId="36" hidden="1">0</definedName>
    <definedName name="xlm_chart1_Child1Y" localSheetId="34" hidden="1">0</definedName>
    <definedName name="xlm_chart1_Child1Y" localSheetId="36" hidden="1">0</definedName>
    <definedName name="xlm_chart1_Children" localSheetId="34" hidden="1">1</definedName>
    <definedName name="xlm_chart1_Children" localSheetId="36" hidden="1">1</definedName>
    <definedName name="xlm_chart1_ContVar0" localSheetId="34" hidden="1">1</definedName>
    <definedName name="xlm_chart1_ContVar0" localSheetId="36" hidden="1">1</definedName>
    <definedName name="xlm_chart1_Expand" localSheetId="34" hidden="1">0</definedName>
    <definedName name="xlm_chart1_Expand" localSheetId="36" hidden="1">0</definedName>
    <definedName name="xlm_chart1_Heigth" localSheetId="34" hidden="1">620</definedName>
    <definedName name="xlm_chart1_Heigth" localSheetId="36" hidden="1">620</definedName>
    <definedName name="xlm_chart1_Locx" localSheetId="34" hidden="1">543</definedName>
    <definedName name="xlm_chart1_Locx" localSheetId="36" hidden="1">208</definedName>
    <definedName name="xlm_chart1_Locy" localSheetId="34" hidden="1">306</definedName>
    <definedName name="xlm_chart1_Locy" localSheetId="36" hidden="1">208</definedName>
    <definedName name="xlm_chart1_Range" localSheetId="34" hidden="1">"$A$1:$E$375"</definedName>
    <definedName name="xlm_chart1_Range" localSheetId="36" hidden="1">"$F$21:$F$394"</definedName>
    <definedName name="xlm_chart1_SliderD0" localSheetId="34" hidden="1">0</definedName>
    <definedName name="xlm_chart1_SliderD0" localSheetId="36" hidden="1">0</definedName>
    <definedName name="xlm_chart1_SliderL0" localSheetId="34" hidden="1">188</definedName>
    <definedName name="xlm_chart1_SliderL0" localSheetId="36" hidden="1">-3.47276054270278</definedName>
    <definedName name="xlm_chart1_SliderU0" localSheetId="34" hidden="1">4027</definedName>
    <definedName name="xlm_chart1_SliderU0" localSheetId="36" hidden="1">1.45211565591286</definedName>
    <definedName name="xlm_chart1_Width" localSheetId="34" hidden="1">836</definedName>
    <definedName name="xlm_chart1_Width" localSheetId="36" hidden="1">836</definedName>
    <definedName name="xlm_chart2" localSheetId="36" hidden="1">"Independence and Homoskedacity"</definedName>
    <definedName name="xlm_chart2_Child1Axis0" localSheetId="36" hidden="1">1</definedName>
    <definedName name="xlm_chart2_Child1Axis0_format" localSheetId="36" hidden="1">0</definedName>
    <definedName name="xlm_chart2_Child1Axis0_layout" localSheetId="36" hidden="1">0</definedName>
    <definedName name="xlm_chart2_Child1Axis0_name" localSheetId="36" hidden="1">"Arial"</definedName>
    <definedName name="xlm_chart2_Child1Axis0_size" localSheetId="36" hidden="1">9</definedName>
    <definedName name="xlm_chart2_Child1Axis0_style" localSheetId="36" hidden="1">0</definedName>
    <definedName name="xlm_chart2_Child1Axis1" localSheetId="36" hidden="1">1</definedName>
    <definedName name="xlm_chart2_Child1Axis1_format" localSheetId="36" hidden="1">0</definedName>
    <definedName name="xlm_chart2_Child1Axis1_layout" localSheetId="36" hidden="1">0</definedName>
    <definedName name="xlm_chart2_Child1Axis1_name" localSheetId="36" hidden="1">"Arial"</definedName>
    <definedName name="xlm_chart2_Child1Axis1_size" localSheetId="36" hidden="1">9</definedName>
    <definedName name="xlm_chart2_Child1Axis1_style" localSheetId="36" hidden="1">0</definedName>
    <definedName name="xlm_chart2_Child1Axis2" localSheetId="36" hidden="1">0</definedName>
    <definedName name="xlm_chart2_Child1Axis2_format" localSheetId="36" hidden="1">0</definedName>
    <definedName name="xlm_chart2_Child1Axis2_layout" localSheetId="36" hidden="1">0</definedName>
    <definedName name="xlm_chart2_Child1Axis2_name" localSheetId="36" hidden="1">"Arial"</definedName>
    <definedName name="xlm_chart2_Child1Axis2_size" localSheetId="36" hidden="1">9</definedName>
    <definedName name="xlm_chart2_Child1Axis2_style" localSheetId="36" hidden="1">0</definedName>
    <definedName name="xlm_chart2_Child1Axis3" localSheetId="36" hidden="1">0</definedName>
    <definedName name="xlm_chart2_Child1Axis3_format" localSheetId="36" hidden="1">0</definedName>
    <definedName name="xlm_chart2_Child1Axis3_layout" localSheetId="36" hidden="1">0</definedName>
    <definedName name="xlm_chart2_Child1Axis3_name" localSheetId="36" hidden="1">"Arial"</definedName>
    <definedName name="xlm_chart2_Child1Axis3_size" localSheetId="36" hidden="1">9</definedName>
    <definedName name="xlm_chart2_Child1Axis3_style" localSheetId="36" hidden="1">0</definedName>
    <definedName name="xlm_chart2_Child1Axis4_name" localSheetId="36" hidden="1">"Arial"</definedName>
    <definedName name="xlm_chart2_Child1Axis4_size" localSheetId="36" hidden="1">9</definedName>
    <definedName name="xlm_chart2_Child1Axis4_style" localSheetId="36" hidden="1">0</definedName>
    <definedName name="xlm_chart2_Child1Axis5_name" localSheetId="36" hidden="1">"Arial"</definedName>
    <definedName name="xlm_chart2_Child1Axis5_size" localSheetId="36" hidden="1">9</definedName>
    <definedName name="xlm_chart2_Child1Axis5_style" localSheetId="36" hidden="1">0</definedName>
    <definedName name="xlm_chart2_Child1Border" localSheetId="36" hidden="1">0</definedName>
    <definedName name="xlm_chart2_Child1Bordercolor" localSheetId="36" hidden="1">-1</definedName>
    <definedName name="xlm_chart2_Child1Col0" localSheetId="36" hidden="1">-13395457</definedName>
    <definedName name="xlm_chart2_Child1Col1" localSheetId="36" hidden="1">-10496</definedName>
    <definedName name="xlm_chart2_Child1Col10" localSheetId="36" hidden="1">-12490271</definedName>
    <definedName name="xlm_chart2_Child1Col11" localSheetId="36" hidden="1">-47872</definedName>
    <definedName name="xlm_chart2_Child1Col2" localSheetId="36" hidden="1">-7722014</definedName>
    <definedName name="xlm_chart2_Child1Col3" localSheetId="36" hidden="1">-29696</definedName>
    <definedName name="xlm_chart2_Child1Col4" localSheetId="36" hidden="1">-14513374</definedName>
    <definedName name="xlm_chart2_Child1Col5" localSheetId="36" hidden="1">-256</definedName>
    <definedName name="xlm_chart2_Child1Col6" localSheetId="36" hidden="1">-7077677</definedName>
    <definedName name="xlm_chart2_Child1Col7" localSheetId="36" hidden="1">-40121</definedName>
    <definedName name="xlm_chart2_Child1Col8" localSheetId="36" hidden="1">-16711809</definedName>
    <definedName name="xlm_chart2_Child1Col9" localSheetId="36" hidden="1">-8388864</definedName>
    <definedName name="xlm_chart2_Child1Color" localSheetId="36" hidden="1">0</definedName>
    <definedName name="xlm_chart2_Child1Footer" localSheetId="36" hidden="1">" "</definedName>
    <definedName name="xlm_chart2_Child1Header" localSheetId="36" hidden="1">" "</definedName>
    <definedName name="xlm_chart2_Child1HeaderInfo0" localSheetId="36" hidden="1">-1</definedName>
    <definedName name="xlm_chart2_Child1HeaderInfo1" localSheetId="36" hidden="1">0</definedName>
    <definedName name="xlm_chart2_Child1HeaderInfo2" localSheetId="36" hidden="1">1</definedName>
    <definedName name="xlm_chart2_Child1HeaderInfo3" localSheetId="36" hidden="1">-1</definedName>
    <definedName name="xlm_chart2_Child1Heigth" localSheetId="36" hidden="1">566</definedName>
    <definedName name="xlm_chart2_Child1LabelInfo0" localSheetId="36" hidden="1">0</definedName>
    <definedName name="xlm_chart2_Child1LabelInfo1" localSheetId="36" hidden="1">0</definedName>
    <definedName name="xlm_chart2_Child1LabelInfo2" localSheetId="36" hidden="1">0</definedName>
    <definedName name="xlm_chart2_Child1LabelInfo3" localSheetId="36" hidden="1">0</definedName>
    <definedName name="xlm_chart2_Child1LabelInfo4" localSheetId="36" hidden="1">-1</definedName>
    <definedName name="xlm_chart2_Child1LabelInfo5" localSheetId="36" hidden="1">-1</definedName>
    <definedName name="xlm_chart2_Child1LegHeader" localSheetId="36" hidden="1">" "</definedName>
    <definedName name="xlm_chart2_Child1Locx" localSheetId="36" hidden="1">0</definedName>
    <definedName name="xlm_chart2_Child1Locy" localSheetId="36" hidden="1">0</definedName>
    <definedName name="xlm_chart2_Child1Panel" localSheetId="36" hidden="1">0</definedName>
    <definedName name="xlm_chart2_Child1PrimaryX" localSheetId="36" hidden="1">" "</definedName>
    <definedName name="xlm_chart2_Child1PrimaryY" localSheetId="36" hidden="1">" "</definedName>
    <definedName name="xlm_chart2_Child1SecondX" localSheetId="36" hidden="1">" "</definedName>
    <definedName name="xlm_chart2_Child1SecondY" localSheetId="36" hidden="1">" "</definedName>
    <definedName name="xlm_chart2_Child1Type" localSheetId="36" hidden="1">3</definedName>
    <definedName name="xlm_chart2_Child1Width" localSheetId="36" hidden="1">613</definedName>
    <definedName name="xlm_chart2_Child1X" localSheetId="36" hidden="1">0</definedName>
    <definedName name="xlm_chart2_Child1Y" localSheetId="36" hidden="1">1</definedName>
    <definedName name="xlm_chart2_Children" localSheetId="36" hidden="1">1</definedName>
    <definedName name="xlm_chart2_ContVar0" localSheetId="36" hidden="1">1</definedName>
    <definedName name="xlm_chart2_ContVar1" localSheetId="36" hidden="1">1</definedName>
    <definedName name="xlm_chart2_Expand" localSheetId="36" hidden="1">0</definedName>
    <definedName name="xlm_chart2_Heigth" localSheetId="36" hidden="1">620</definedName>
    <definedName name="xlm_chart2_Locx" localSheetId="36" hidden="1">52</definedName>
    <definedName name="xlm_chart2_Locy" localSheetId="36" hidden="1">52</definedName>
    <definedName name="xlm_chart2_Range" localSheetId="36" hidden="1">"$E$21:$F$394"</definedName>
    <definedName name="xlm_chart2_SliderD0" localSheetId="36" hidden="1">0</definedName>
    <definedName name="xlm_chart2_SliderD1" localSheetId="36" hidden="1">0</definedName>
    <definedName name="xlm_chart2_SliderL0" localSheetId="36" hidden="1">3.54788434408714</definedName>
    <definedName name="xlm_chart2_SliderL1" localSheetId="36" hidden="1">-3.47276054270278</definedName>
    <definedName name="xlm_chart2_SliderU0" localSheetId="36" hidden="1">4.73164462382152</definedName>
    <definedName name="xlm_chart2_SliderU1" localSheetId="36" hidden="1">1.45211565591286</definedName>
    <definedName name="xlm_chart2_Width" localSheetId="36" hidden="1">836</definedName>
    <definedName name="xlm_charts" localSheetId="34" hidden="1">1</definedName>
    <definedName name="xlm_charts" localSheetId="36" hidden="1">2</definedName>
    <definedName name="xlm_pdnc_1" localSheetId="6" hidden="1">"'{""input_cols"":[{""varName"":""Nr. reviews""},{""varName"":""Nr. hotel reviews""},{""varName"":""Nr. rooms""},{""varName"":""Member years""},{""varName"":""Period of stay_Dec-Feb""},{""varName"":""Period of stay_Jun-Aug""},{""varName"":""Period of stay_Mar-May""},{""varName"":""Period "</definedName>
    <definedName name="xlm_pdnc_2" localSheetId="6" hidden="1">"'of stay_Sep-Nov""},{""varName"":""Traveler type Other""},{""varName"":""Traveler type Families""},{""varName"":""Traveler type Couples""},{""varName"":""Tennis court_YES""},{""varName"":""Hotel stars 3 and 3.5""},{""varName"":""Hotel stars 4 and 4.5""},{""varName"":""Hotel stars 5"""</definedName>
    <definedName name="xlm_pdnc_3" localSheetId="6" hidden="1">"'},{""varName"":""User continent Other""},{""varName"":""User continent Europe""},{""varName"":""User continent North America""},{""varName"":""Review weekday_Friday""},{""varName"":""Review weekday_Monday""},{""varName"":""Review weekday_Saturday""},{""varName"":""Review weekday_S"</definedName>
    <definedName name="xlm_pdnc_4" localSheetId="6" hidden="1">"'unday""},{""varName"":""Review weekday_Thursday""},{""varName"":""Review weekday_Tuesday""},{""varName"":""Review weekday_Wednesday""}],""cat_cols"":[],""output_var"":{""varName"":""Score""}}"</definedName>
    <definedName name="xlm_simchart1" localSheetId="34" hidden="1">0</definedName>
    <definedName name="xlm_simchart1" localSheetId="36" hidden="1">0</definedName>
    <definedName name="xlm_simchart2" localSheetId="36" hidden="1">0</definedName>
    <definedName name="XLMPartitionAllData" localSheetId="6" hidden="1">"$C$36:$AC$502"</definedName>
    <definedName name="XLMPartitionTrainingData" localSheetId="6" hidden="1">"$C$37:$AC$409"</definedName>
    <definedName name="XLMPartitionType" localSheetId="6" hidden="1">0</definedName>
    <definedName name="XLMPartitionValidationData" localSheetId="6" hidden="1">"$C$410:$AC$502"</definedName>
    <definedName name="XLMPartitionVariableNames" localSheetId="6" hidden="1">"$C$36:$AC$36"</definedName>
    <definedName name="XLMPMMLModelRange" localSheetId="43" hidden="1">"$B$12:$B$108"</definedName>
    <definedName name="XLMPMMLModelRange" localSheetId="19" hidden="1">"$B$12:$B$78"</definedName>
    <definedName name="XLMPMMLModelRange" localSheetId="10" hidden="1">"$B$12:$B$45"</definedName>
    <definedName name="XLMPMMLModelRange" localSheetId="28" hidden="1">"$B$12:$B$69"</definedName>
    <definedName name="XLMPMMLModelRange" localSheetId="24" hidden="1">"$B$12:$B$108"</definedName>
    <definedName name="XLMPMMLModelRange" localSheetId="15" hidden="1">"$B$12:$B$108"</definedName>
    <definedName name="XLMPMMLModelRange" localSheetId="38" hidden="1">"$B$12:$B$45"</definedName>
    <definedName name="XLMPMMLModelRange" localSheetId="33" hidden="1">"$B$12:$B$108"</definedName>
    <definedName name="XLMRasonModelRange" localSheetId="35" hidden="1">"CV1:CV1"</definedName>
    <definedName name="XLMRasonModelRange" localSheetId="39" hidden="1">"CV1:CV1"</definedName>
    <definedName name="XLMRasonModelRange" localSheetId="16" hidden="1">"CV1:CV1"</definedName>
    <definedName name="XLMRasonModelRange" localSheetId="7" hidden="1">"CV1:CV1"</definedName>
    <definedName name="XLMRasonModelRange" localSheetId="20" hidden="1">"CV1:CV1"</definedName>
    <definedName name="XLMRasonModelRange" localSheetId="11" hidden="1">"CV1:CV1"</definedName>
    <definedName name="XLMRasonModelRange" localSheetId="29" hidden="1">"CV1:CV1"</definedName>
    <definedName name="XLMRasonModelRange" localSheetId="25" hidden="1">"CV1:CV1"</definedName>
    <definedName name="XLMRasonModelRange" localSheetId="6" hidden="1">"CV1:CV1"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46" i="82" l="1"/>
  <c r="G46" i="82" a="1"/>
  <c r="G46" i="82" s="1"/>
  <c r="H46"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Fahim Zahir</author>
  </authors>
  <commentList>
    <comment ref="E15" authorId="0" shapeId="0" xr:uid="{7FB71806-158E-4DDA-B22D-9813D56D7456}">
      <text>
        <r>
          <rPr>
            <b/>
            <sz val="9"/>
            <color indexed="81"/>
            <rFont val="Tahoma"/>
            <family val="2"/>
          </rPr>
          <t>Fahim Zahir:</t>
        </r>
        <r>
          <rPr>
            <sz val="9"/>
            <color indexed="81"/>
            <rFont val="Tahoma"/>
            <family val="2"/>
          </rPr>
          <t xml:space="preserve">
The Target Variable ranges from 1-5 stars/score. Due to the fact that the RMSE is roughly +- 1 average deviation away from the true score we can state that the predicitive power of this model is far too low. The accuracy is not reliable and this is reinforced by the poor fit displayed by R^2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Fahim Zahir</author>
  </authors>
  <commentList>
    <comment ref="S2" authorId="0" shapeId="0" xr:uid="{BD43AE6C-E642-43BE-8586-2A48C96FBCBF}">
      <text>
        <r>
          <rPr>
            <b/>
            <sz val="9"/>
            <color indexed="81"/>
            <rFont val="Tahoma"/>
            <family val="2"/>
          </rPr>
          <t>Fahim Zahir:</t>
        </r>
        <r>
          <rPr>
            <sz val="9"/>
            <color indexed="81"/>
            <rFont val="Tahoma"/>
            <family val="2"/>
          </rPr>
          <t xml:space="preserve">
Assumptions:
This clearly fails the linearity check. The model is further proven to be bad for prediction.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Fahim Zahir</author>
  </authors>
  <commentList>
    <comment ref="C75" authorId="0" shapeId="0" xr:uid="{4A3768FD-8F5B-4859-9A1E-AE697FE1694C}">
      <text>
        <r>
          <rPr>
            <b/>
            <sz val="9"/>
            <color indexed="81"/>
            <rFont val="Tahoma"/>
            <family val="2"/>
          </rPr>
          <t>Fahim Zahir:</t>
        </r>
        <r>
          <rPr>
            <sz val="9"/>
            <color indexed="81"/>
            <rFont val="Tahoma"/>
            <family val="2"/>
          </rPr>
          <t xml:space="preserve">
These Selected Variables for Subset 4 show the most promise thowards indicating why the Score of a Hotel may be the way it is.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Fahim Zahir</author>
  </authors>
  <commentList>
    <comment ref="D15" authorId="0" shapeId="0" xr:uid="{C7979A04-589F-4E55-92C0-290B086424E1}">
      <text>
        <r>
          <rPr>
            <b/>
            <sz val="9"/>
            <color indexed="81"/>
            <rFont val="Tahoma"/>
            <family val="2"/>
          </rPr>
          <t>Fahim Zahir:</t>
        </r>
        <r>
          <rPr>
            <sz val="9"/>
            <color indexed="81"/>
            <rFont val="Tahoma"/>
            <family val="2"/>
          </rPr>
          <t xml:space="preserve">
On Average our model gives a estimated score of 0.950541 deviated from the True Score. Since our Scale score is from 1-5 stars a deviation of roughly 1 deviation up or down shoul dbe considered significant and thus we can see that our R^2 is low as well meaning that our data underfits the curve and we dont have a good model.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9781DA1-871E-44D1-A0CA-6882BC7BD8FD}" keepAlive="1" name="Query - LasVegasTripAdvisorReviews-Dataset (5)" description="Connection to the 'LasVegasTripAdvisorReviews-Dataset (5)' query in the workbook." type="5" refreshedVersion="6" background="1">
    <dbPr connection="Provider=Microsoft.Mashup.OleDb.1;Data Source=$Workbook$;Location=LasVegasTripAdvisorReviews-Dataset (5);Extended Properties=&quot;&quot;" command="SELECT * FROM [LasVegasTripAdvisorReviews-Dataset (5)]"/>
  </connection>
  <connection id="2" xr16:uid="{67A04F40-6D66-4F47-ADDE-CF77F8FABEB3}" keepAlive="1" name="Query - LasVegasTripAdvisorReviews-Dataset (6)" description="Connection to the 'LasVegasTripAdvisorReviews-Dataset (6)' query in the workbook." type="5" refreshedVersion="6" background="1" saveData="1">
    <dbPr connection="Provider=Microsoft.Mashup.OleDb.1;Data Source=$Workbook$;Location=&quot;LasVegasTripAdvisorReviews-Dataset (6)&quot;;Extended Properties=&quot;&quot;" command="SELECT * FROM [LasVegasTripAdvisorReviews-Dataset (6)]"/>
  </connection>
  <connection id="3" xr16:uid="{0F0BF3C7-2060-46A8-85E7-2531BA2018A2}" keepAlive="1" name="Query - LasVegasTripAdvisorReviews-Dataset (7)" description="Connection to the 'LasVegasTripAdvisorReviews-Dataset (7)' query in the workbook." type="5" refreshedVersion="6" background="1" saveData="1">
    <dbPr connection="Provider=Microsoft.Mashup.OleDb.1;Data Source=$Workbook$;Location=&quot;LasVegasTripAdvisorReviews-Dataset (7)&quot;;Extended Properties=&quot;&quot;" command="SELECT * FROM [LasVegasTripAdvisorReviews-Dataset (7)]"/>
  </connection>
  <connection id="4" xr16:uid="{DE015FBE-3A3D-4CCE-9E9E-B0E5AE51172C}" keepAlive="1" name="Query - LasVegasTripAdvisorReviews-Dataset (8)" description="Connection to the 'LasVegasTripAdvisorReviews-Dataset (8)' query in the workbook." type="5" refreshedVersion="6" background="1" saveData="1">
    <dbPr connection="Provider=Microsoft.Mashup.OleDb.1;Data Source=$Workbook$;Location=&quot;LasVegasTripAdvisorReviews-Dataset (8)&quot;;Extended Properties=&quot;&quot;" command="SELECT * FROM [LasVegasTripAdvisorReviews-Dataset (8)]"/>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<sst xmlns="http://schemas.openxmlformats.org/spreadsheetml/2006/main" count="14075" uniqueCount="957">
  <si>
    <t>User country</t>
  </si>
  <si>
    <t>Nr. reviews</t>
  </si>
  <si>
    <t>Nr. hotel reviews</t>
  </si>
  <si>
    <t>Helpful votes</t>
  </si>
  <si>
    <t>Score</t>
  </si>
  <si>
    <t>Period of stay</t>
  </si>
  <si>
    <t>Traveler type</t>
  </si>
  <si>
    <t>Pool</t>
  </si>
  <si>
    <t>Gym</t>
  </si>
  <si>
    <t>Tennis court</t>
  </si>
  <si>
    <t>Spa</t>
  </si>
  <si>
    <t>Casino</t>
  </si>
  <si>
    <t>Free internet</t>
  </si>
  <si>
    <t>Hotel name</t>
  </si>
  <si>
    <t>Hotel stars</t>
  </si>
  <si>
    <t>Nr. rooms</t>
  </si>
  <si>
    <t>User continent</t>
  </si>
  <si>
    <t>Member years</t>
  </si>
  <si>
    <t>Review month</t>
  </si>
  <si>
    <t>Review weekday</t>
  </si>
  <si>
    <t>USA</t>
  </si>
  <si>
    <t>Dec-Feb</t>
  </si>
  <si>
    <t>Friends</t>
  </si>
  <si>
    <t>NO</t>
  </si>
  <si>
    <t>YES</t>
  </si>
  <si>
    <t>Circus Circus Hotel &amp; Casino Las Vegas</t>
  </si>
  <si>
    <t>North America</t>
  </si>
  <si>
    <t>January</t>
  </si>
  <si>
    <t>Thursday</t>
  </si>
  <si>
    <t>Business</t>
  </si>
  <si>
    <t>Friday</t>
  </si>
  <si>
    <t>Mar-May</t>
  </si>
  <si>
    <t>Families</t>
  </si>
  <si>
    <t>February</t>
  </si>
  <si>
    <t>Saturday</t>
  </si>
  <si>
    <t>UK</t>
  </si>
  <si>
    <t>Europe</t>
  </si>
  <si>
    <t>Canada</t>
  </si>
  <si>
    <t>Solo</t>
  </si>
  <si>
    <t>March</t>
  </si>
  <si>
    <t>Tuesday</t>
  </si>
  <si>
    <t>Couples</t>
  </si>
  <si>
    <t>April</t>
  </si>
  <si>
    <t>India</t>
  </si>
  <si>
    <t>Asia</t>
  </si>
  <si>
    <t>May</t>
  </si>
  <si>
    <t>Jun-Aug</t>
  </si>
  <si>
    <t>June</t>
  </si>
  <si>
    <t>Australia</t>
  </si>
  <si>
    <t>Oceania</t>
  </si>
  <si>
    <t>July</t>
  </si>
  <si>
    <t>Wednesday</t>
  </si>
  <si>
    <t>August</t>
  </si>
  <si>
    <t>Sunday</t>
  </si>
  <si>
    <t>New Zeland</t>
  </si>
  <si>
    <t>Sep-Nov</t>
  </si>
  <si>
    <t>September</t>
  </si>
  <si>
    <t>October</t>
  </si>
  <si>
    <t>Monday</t>
  </si>
  <si>
    <t>November</t>
  </si>
  <si>
    <t>December</t>
  </si>
  <si>
    <t>Ireland</t>
  </si>
  <si>
    <t>Excalibur Hotel &amp; Casino</t>
  </si>
  <si>
    <t>Egypt</t>
  </si>
  <si>
    <t>Africa</t>
  </si>
  <si>
    <t>Finland</t>
  </si>
  <si>
    <t>Kenya</t>
  </si>
  <si>
    <t>Jordan</t>
  </si>
  <si>
    <t>Netherlands</t>
  </si>
  <si>
    <t>Syria</t>
  </si>
  <si>
    <t>Monte Carlo Resort&amp;Casino</t>
  </si>
  <si>
    <t>Scotland</t>
  </si>
  <si>
    <t>South Africa</t>
  </si>
  <si>
    <t>Swiss</t>
  </si>
  <si>
    <t>United Arab Emirates</t>
  </si>
  <si>
    <t>Hungary</t>
  </si>
  <si>
    <t>China</t>
  </si>
  <si>
    <t>Greece</t>
  </si>
  <si>
    <t>Mexico</t>
  </si>
  <si>
    <t>Croatia</t>
  </si>
  <si>
    <t>Treasure Island- TI Hotel &amp; Casino</t>
  </si>
  <si>
    <t>Germany</t>
  </si>
  <si>
    <t>Malaysia</t>
  </si>
  <si>
    <t>South America</t>
  </si>
  <si>
    <t>Thailand</t>
  </si>
  <si>
    <t>Tropicana Las Vegas - A Double Tree by Hilton Hotel</t>
  </si>
  <si>
    <t>Phillippines</t>
  </si>
  <si>
    <t>Israel</t>
  </si>
  <si>
    <t xml:space="preserve">India </t>
  </si>
  <si>
    <t>Belgium</t>
  </si>
  <si>
    <t>Caesars Palace</t>
  </si>
  <si>
    <t>Puerto Rico</t>
  </si>
  <si>
    <t>The Cosmopolitan Las Vegas</t>
  </si>
  <si>
    <t>Switzerland</t>
  </si>
  <si>
    <t>Norway</t>
  </si>
  <si>
    <t>The Palazzo Resort Hotel Casino</t>
  </si>
  <si>
    <t>France</t>
  </si>
  <si>
    <t>Spain</t>
  </si>
  <si>
    <t>Singapore</t>
  </si>
  <si>
    <t>Brazil</t>
  </si>
  <si>
    <t>Wynn Las Vegas</t>
  </si>
  <si>
    <t>Costa Rica</t>
  </si>
  <si>
    <t>Trump International Hotel Las Vegas</t>
  </si>
  <si>
    <t>Iran</t>
  </si>
  <si>
    <t>Saudi Arabia</t>
  </si>
  <si>
    <t>The Cromwell</t>
  </si>
  <si>
    <t>Encore at wynn Las Vegas</t>
  </si>
  <si>
    <t>Honduras</t>
  </si>
  <si>
    <t>Hilton Grand Vacations on the Boulevard</t>
  </si>
  <si>
    <t>Marriott's Grand Chateau</t>
  </si>
  <si>
    <t>Denmark</t>
  </si>
  <si>
    <t>Taiwan</t>
  </si>
  <si>
    <t>Hawaii</t>
  </si>
  <si>
    <t>Kuwait</t>
  </si>
  <si>
    <t>Tuscany Las Vegas Suites &amp; Casino</t>
  </si>
  <si>
    <t>Hilton Grand Vacations at the Flamingo</t>
  </si>
  <si>
    <t>Czech Republic</t>
  </si>
  <si>
    <t>Wyndham Grand Desert</t>
  </si>
  <si>
    <t>Japan</t>
  </si>
  <si>
    <t>The Venetian Las Vegas Hotel</t>
  </si>
  <si>
    <t>Bellagio Las Vegas</t>
  </si>
  <si>
    <t>Korea</t>
  </si>
  <si>
    <t>Paris Las Vegas</t>
  </si>
  <si>
    <t>The Westin las Vegas Hotel Casino &amp; Spa</t>
  </si>
  <si>
    <t>Italy</t>
  </si>
  <si>
    <t>Period of stay_Dec-Feb</t>
  </si>
  <si>
    <t>Period of stay_Jun-Aug</t>
  </si>
  <si>
    <t>Period of stay_Mar-May</t>
  </si>
  <si>
    <t>Period of stay_Sep-Nov</t>
  </si>
  <si>
    <t>Tennis court_YES</t>
  </si>
  <si>
    <t>Review weekday_Friday</t>
  </si>
  <si>
    <t>Review weekday_Monday</t>
  </si>
  <si>
    <t>Review weekday_Saturday</t>
  </si>
  <si>
    <t>Review weekday_Sunday</t>
  </si>
  <si>
    <t>Review weekday_Thursday</t>
  </si>
  <si>
    <t>Review weekday_Tuesday</t>
  </si>
  <si>
    <t>Review weekday_Wednesday</t>
  </si>
  <si>
    <t>Traveler type Other</t>
  </si>
  <si>
    <t>Traveler type Families</t>
  </si>
  <si>
    <t>Traveler type Couples</t>
  </si>
  <si>
    <t>Hotel stars 3 and 3.5</t>
  </si>
  <si>
    <t>Hotel stars 4 and 4.5</t>
  </si>
  <si>
    <t>Hotel stars 5</t>
  </si>
  <si>
    <t>User continent Other</t>
  </si>
  <si>
    <t>User continent North America</t>
  </si>
  <si>
    <t>User continent Europe</t>
  </si>
  <si>
    <t>Data Mining: Standard Partitioner</t>
  </si>
  <si>
    <t>Output Navigator</t>
  </si>
  <si>
    <t>Elapsed Times in Milliseconds</t>
  </si>
  <si>
    <t>Data Reading Time</t>
  </si>
  <si>
    <t>Algorithm Time</t>
  </si>
  <si>
    <t>Report Time</t>
  </si>
  <si>
    <t>Total</t>
  </si>
  <si>
    <t>Inputs</t>
  </si>
  <si>
    <t>Data</t>
  </si>
  <si>
    <t>Workbook</t>
  </si>
  <si>
    <t>HOTELS TRIP GROUP 1 .xlsx</t>
  </si>
  <si>
    <t>Worksheet</t>
  </si>
  <si>
    <t>Range</t>
  </si>
  <si>
    <t>$A$1:$Z$467</t>
  </si>
  <si>
    <t># Records in the input data</t>
  </si>
  <si>
    <t>Variables</t>
  </si>
  <si>
    <t># Selected Variables</t>
  </si>
  <si>
    <t>Selected Variables</t>
  </si>
  <si>
    <t>Partitioning Parameters</t>
  </si>
  <si>
    <t>Partitioning type</t>
  </si>
  <si>
    <t>RANDOM</t>
  </si>
  <si>
    <t>Random seed</t>
  </si>
  <si>
    <t>Ratio - Training</t>
  </si>
  <si>
    <t>Ratio - Validation</t>
  </si>
  <si>
    <t>Partition Summary</t>
  </si>
  <si>
    <t>Partition</t>
  </si>
  <si>
    <t># Records</t>
  </si>
  <si>
    <t>Training</t>
  </si>
  <si>
    <t>Validation</t>
  </si>
  <si>
    <t>Partitioned Data</t>
  </si>
  <si>
    <t>Record ID</t>
  </si>
  <si>
    <t>Record 1</t>
  </si>
  <si>
    <t>Record 5</t>
  </si>
  <si>
    <t>Record 8</t>
  </si>
  <si>
    <t>Record 12</t>
  </si>
  <si>
    <t>Record 15</t>
  </si>
  <si>
    <t>Record 16</t>
  </si>
  <si>
    <t>Record 18</t>
  </si>
  <si>
    <t>Record 20</t>
  </si>
  <si>
    <t>Record 21</t>
  </si>
  <si>
    <t>Record 22</t>
  </si>
  <si>
    <t>Record 23</t>
  </si>
  <si>
    <t>Record 25</t>
  </si>
  <si>
    <t>Record 26</t>
  </si>
  <si>
    <t>Record 28</t>
  </si>
  <si>
    <t>Record 29</t>
  </si>
  <si>
    <t>Record 32</t>
  </si>
  <si>
    <t>Record 33</t>
  </si>
  <si>
    <t>Record 35</t>
  </si>
  <si>
    <t>Record 37</t>
  </si>
  <si>
    <t>Record 42</t>
  </si>
  <si>
    <t>Record 45</t>
  </si>
  <si>
    <t>Record 47</t>
  </si>
  <si>
    <t>Record 48</t>
  </si>
  <si>
    <t>Record 49</t>
  </si>
  <si>
    <t>Record 54</t>
  </si>
  <si>
    <t>Record 56</t>
  </si>
  <si>
    <t>Record 57</t>
  </si>
  <si>
    <t>Record 59</t>
  </si>
  <si>
    <t>Record 60</t>
  </si>
  <si>
    <t>Record 61</t>
  </si>
  <si>
    <t>Record 62</t>
  </si>
  <si>
    <t>Record 65</t>
  </si>
  <si>
    <t>Record 66</t>
  </si>
  <si>
    <t>Record 68</t>
  </si>
  <si>
    <t>Record 73</t>
  </si>
  <si>
    <t>Record 76</t>
  </si>
  <si>
    <t>Record 78</t>
  </si>
  <si>
    <t>Record 80</t>
  </si>
  <si>
    <t>Record 81</t>
  </si>
  <si>
    <t>Record 82</t>
  </si>
  <si>
    <t>Record 83</t>
  </si>
  <si>
    <t>Record 84</t>
  </si>
  <si>
    <t>Record 88</t>
  </si>
  <si>
    <t>Record 89</t>
  </si>
  <si>
    <t>Record 91</t>
  </si>
  <si>
    <t>Record 92</t>
  </si>
  <si>
    <t>Record 95</t>
  </si>
  <si>
    <t>Record 97</t>
  </si>
  <si>
    <t>Record 98</t>
  </si>
  <si>
    <t>Record 100</t>
  </si>
  <si>
    <t>Record 106</t>
  </si>
  <si>
    <t>Record 108</t>
  </si>
  <si>
    <t>Record 109</t>
  </si>
  <si>
    <t>Record 110</t>
  </si>
  <si>
    <t>Record 112</t>
  </si>
  <si>
    <t>Record 113</t>
  </si>
  <si>
    <t>Record 114</t>
  </si>
  <si>
    <t>Record 115</t>
  </si>
  <si>
    <t>Record 118</t>
  </si>
  <si>
    <t>Record 119</t>
  </si>
  <si>
    <t>Record 120</t>
  </si>
  <si>
    <t>Record 122</t>
  </si>
  <si>
    <t>Record 123</t>
  </si>
  <si>
    <t>Record 128</t>
  </si>
  <si>
    <t>Record 129</t>
  </si>
  <si>
    <t>Record 132</t>
  </si>
  <si>
    <t>Record 133</t>
  </si>
  <si>
    <t>Record 134</t>
  </si>
  <si>
    <t>Record 136</t>
  </si>
  <si>
    <t>Record 141</t>
  </si>
  <si>
    <t>Record 142</t>
  </si>
  <si>
    <t>Record 143</t>
  </si>
  <si>
    <t>Record 146</t>
  </si>
  <si>
    <t>Record 148</t>
  </si>
  <si>
    <t>Record 150</t>
  </si>
  <si>
    <t>Record 153</t>
  </si>
  <si>
    <t>Record 156</t>
  </si>
  <si>
    <t>Record 157</t>
  </si>
  <si>
    <t>Record 159</t>
  </si>
  <si>
    <t>Record 161</t>
  </si>
  <si>
    <t>Record 164</t>
  </si>
  <si>
    <t>Record 166</t>
  </si>
  <si>
    <t>Record 167</t>
  </si>
  <si>
    <t>Record 169</t>
  </si>
  <si>
    <t>Record 171</t>
  </si>
  <si>
    <t>Record 174</t>
  </si>
  <si>
    <t>Record 179</t>
  </si>
  <si>
    <t>Record 181</t>
  </si>
  <si>
    <t>Record 182</t>
  </si>
  <si>
    <t>Record 185</t>
  </si>
  <si>
    <t>Record 186</t>
  </si>
  <si>
    <t>Record 187</t>
  </si>
  <si>
    <t>Record 188</t>
  </si>
  <si>
    <t>Record 189</t>
  </si>
  <si>
    <t>Record 190</t>
  </si>
  <si>
    <t>Record 192</t>
  </si>
  <si>
    <t>Record 193</t>
  </si>
  <si>
    <t>Record 196</t>
  </si>
  <si>
    <t>Record 200</t>
  </si>
  <si>
    <t>Record 201</t>
  </si>
  <si>
    <t>Record 202</t>
  </si>
  <si>
    <t>Record 205</t>
  </si>
  <si>
    <t>Record 209</t>
  </si>
  <si>
    <t>Record 210</t>
  </si>
  <si>
    <t>Record 211</t>
  </si>
  <si>
    <t>Record 212</t>
  </si>
  <si>
    <t>Record 215</t>
  </si>
  <si>
    <t>Record 217</t>
  </si>
  <si>
    <t>Record 219</t>
  </si>
  <si>
    <t>Record 220</t>
  </si>
  <si>
    <t>Record 230</t>
  </si>
  <si>
    <t>Record 232</t>
  </si>
  <si>
    <t>Record 234</t>
  </si>
  <si>
    <t>Record 239</t>
  </si>
  <si>
    <t>Record 240</t>
  </si>
  <si>
    <t>Record 241</t>
  </si>
  <si>
    <t>Record 242</t>
  </si>
  <si>
    <t>Record 244</t>
  </si>
  <si>
    <t>Record 246</t>
  </si>
  <si>
    <t>Record 249</t>
  </si>
  <si>
    <t>Record 250</t>
  </si>
  <si>
    <t>Record 254</t>
  </si>
  <si>
    <t>Record 256</t>
  </si>
  <si>
    <t>Record 261</t>
  </si>
  <si>
    <t>Record 262</t>
  </si>
  <si>
    <t>Record 263</t>
  </si>
  <si>
    <t>Record 264</t>
  </si>
  <si>
    <t>Record 266</t>
  </si>
  <si>
    <t>Record 267</t>
  </si>
  <si>
    <t>Record 269</t>
  </si>
  <si>
    <t>Record 270</t>
  </si>
  <si>
    <t>Record 272</t>
  </si>
  <si>
    <t>Record 274</t>
  </si>
  <si>
    <t>Record 277</t>
  </si>
  <si>
    <t>Record 278</t>
  </si>
  <si>
    <t>Record 280</t>
  </si>
  <si>
    <t>Record 282</t>
  </si>
  <si>
    <t>Record 287</t>
  </si>
  <si>
    <t>Record 289</t>
  </si>
  <si>
    <t>Record 292</t>
  </si>
  <si>
    <t>Record 294</t>
  </si>
  <si>
    <t>Record 297</t>
  </si>
  <si>
    <t>Record 298</t>
  </si>
  <si>
    <t>Record 300</t>
  </si>
  <si>
    <t>Record 302</t>
  </si>
  <si>
    <t>Record 303</t>
  </si>
  <si>
    <t>Record 308</t>
  </si>
  <si>
    <t>Record 311</t>
  </si>
  <si>
    <t>Record 315</t>
  </si>
  <si>
    <t>Record 316</t>
  </si>
  <si>
    <t>Record 317</t>
  </si>
  <si>
    <t>Record 320</t>
  </si>
  <si>
    <t>Record 321</t>
  </si>
  <si>
    <t>Record 322</t>
  </si>
  <si>
    <t>Record 323</t>
  </si>
  <si>
    <t>Record 324</t>
  </si>
  <si>
    <t>Record 325</t>
  </si>
  <si>
    <t>Record 327</t>
  </si>
  <si>
    <t>Record 329</t>
  </si>
  <si>
    <t>Record 332</t>
  </si>
  <si>
    <t>Record 334</t>
  </si>
  <si>
    <t>Record 336</t>
  </si>
  <si>
    <t>Record 338</t>
  </si>
  <si>
    <t>Record 340</t>
  </si>
  <si>
    <t>Record 342</t>
  </si>
  <si>
    <t>Record 343</t>
  </si>
  <si>
    <t>Record 346</t>
  </si>
  <si>
    <t>Record 348</t>
  </si>
  <si>
    <t>Record 349</t>
  </si>
  <si>
    <t>Record 351</t>
  </si>
  <si>
    <t>Record 355</t>
  </si>
  <si>
    <t>Record 356</t>
  </si>
  <si>
    <t>Record 357</t>
  </si>
  <si>
    <t>Record 363</t>
  </si>
  <si>
    <t>Record 366</t>
  </si>
  <si>
    <t>Record 369</t>
  </si>
  <si>
    <t>Record 371</t>
  </si>
  <si>
    <t>Record 372</t>
  </si>
  <si>
    <t>Record 373</t>
  </si>
  <si>
    <t>Record 375</t>
  </si>
  <si>
    <t>Record 376</t>
  </si>
  <si>
    <t>Record 377</t>
  </si>
  <si>
    <t>Record 380</t>
  </si>
  <si>
    <t>Record 381</t>
  </si>
  <si>
    <t>Record 384</t>
  </si>
  <si>
    <t>Record 386</t>
  </si>
  <si>
    <t>Record 387</t>
  </si>
  <si>
    <t>Record 390</t>
  </si>
  <si>
    <t>Record 393</t>
  </si>
  <si>
    <t>Record 396</t>
  </si>
  <si>
    <t>Record 397</t>
  </si>
  <si>
    <t>Record 398</t>
  </si>
  <si>
    <t>Record 399</t>
  </si>
  <si>
    <t>Record 400</t>
  </si>
  <si>
    <t>Record 402</t>
  </si>
  <si>
    <t>Record 404</t>
  </si>
  <si>
    <t>Record 408</t>
  </si>
  <si>
    <t>Record 409</t>
  </si>
  <si>
    <t>Record 412</t>
  </si>
  <si>
    <t>Record 413</t>
  </si>
  <si>
    <t>Record 414</t>
  </si>
  <si>
    <t>Record 415</t>
  </si>
  <si>
    <t>Record 416</t>
  </si>
  <si>
    <t>Record 418</t>
  </si>
  <si>
    <t>Record 420</t>
  </si>
  <si>
    <t>Record 427</t>
  </si>
  <si>
    <t>Record 429</t>
  </si>
  <si>
    <t>Record 431</t>
  </si>
  <si>
    <t>Record 432</t>
  </si>
  <si>
    <t>Record 433</t>
  </si>
  <si>
    <t>Record 434</t>
  </si>
  <si>
    <t>Record 436</t>
  </si>
  <si>
    <t>Record 437</t>
  </si>
  <si>
    <t>Record 441</t>
  </si>
  <si>
    <t>Record 443</t>
  </si>
  <si>
    <t>Record 444</t>
  </si>
  <si>
    <t>Record 445</t>
  </si>
  <si>
    <t>Record 446</t>
  </si>
  <si>
    <t>Record 448</t>
  </si>
  <si>
    <t>Record 449</t>
  </si>
  <si>
    <t>Record 451</t>
  </si>
  <si>
    <t>Record 452</t>
  </si>
  <si>
    <t>Record 453</t>
  </si>
  <si>
    <t>Record 454</t>
  </si>
  <si>
    <t>Record 455</t>
  </si>
  <si>
    <t>Record 462</t>
  </si>
  <si>
    <t>Record 464</t>
  </si>
  <si>
    <t>Record 465</t>
  </si>
  <si>
    <t>Record 466</t>
  </si>
  <si>
    <t>Record 11</t>
  </si>
  <si>
    <t>Record 41</t>
  </si>
  <si>
    <t>Record 71</t>
  </si>
  <si>
    <t>Record 24</t>
  </si>
  <si>
    <t>Record 145</t>
  </si>
  <si>
    <t>Record 391</t>
  </si>
  <si>
    <t>Record 39</t>
  </si>
  <si>
    <t>Record 425</t>
  </si>
  <si>
    <t>Record 304</t>
  </si>
  <si>
    <t>Record 168</t>
  </si>
  <si>
    <t>Record 221</t>
  </si>
  <si>
    <t>Record 130</t>
  </si>
  <si>
    <t>Record 245</t>
  </si>
  <si>
    <t>Record 195</t>
  </si>
  <si>
    <t>Record 107</t>
  </si>
  <si>
    <t>Record 435</t>
  </si>
  <si>
    <t>Record 214</t>
  </si>
  <si>
    <t>Record 218</t>
  </si>
  <si>
    <t>Record 158</t>
  </si>
  <si>
    <t>Record 330</t>
  </si>
  <si>
    <t>Record 370</t>
  </si>
  <si>
    <t>Record 105</t>
  </si>
  <si>
    <t>Record 438</t>
  </si>
  <si>
    <t>Record 337</t>
  </si>
  <si>
    <t>Record 447</t>
  </si>
  <si>
    <t>Record 360</t>
  </si>
  <si>
    <t>Record 388</t>
  </si>
  <si>
    <t>Record 403</t>
  </si>
  <si>
    <t>Record 70</t>
  </si>
  <si>
    <t>Record 295</t>
  </si>
  <si>
    <t>Record 224</t>
  </si>
  <si>
    <t>Record 392</t>
  </si>
  <si>
    <t>Record 50</t>
  </si>
  <si>
    <t>Record 252</t>
  </si>
  <si>
    <t>Record 286</t>
  </si>
  <si>
    <t>Record 117</t>
  </si>
  <si>
    <t>Record 55</t>
  </si>
  <si>
    <t>Record 257</t>
  </si>
  <si>
    <t>Record 260</t>
  </si>
  <si>
    <t>Record 442</t>
  </si>
  <si>
    <t>Record 421</t>
  </si>
  <si>
    <t>Record 77</t>
  </si>
  <si>
    <t>Record 53</t>
  </si>
  <si>
    <t>Record 125</t>
  </si>
  <si>
    <t>Record 208</t>
  </si>
  <si>
    <t>Record 154</t>
  </si>
  <si>
    <t>Record 222</t>
  </si>
  <si>
    <t>Record 426</t>
  </si>
  <si>
    <t>Record 2</t>
  </si>
  <si>
    <t>Record 184</t>
  </si>
  <si>
    <t>Record 236</t>
  </si>
  <si>
    <t>Record 229</t>
  </si>
  <si>
    <t>Record 104</t>
  </si>
  <si>
    <t>Record 163</t>
  </si>
  <si>
    <t>Record 411</t>
  </si>
  <si>
    <t>Record 460</t>
  </si>
  <si>
    <t>Record 290</t>
  </si>
  <si>
    <t>Record 207</t>
  </si>
  <si>
    <t>Record 328</t>
  </si>
  <si>
    <t>Record 350</t>
  </si>
  <si>
    <t>Record 457</t>
  </si>
  <si>
    <t>Record 126</t>
  </si>
  <si>
    <t>Record 385</t>
  </si>
  <si>
    <t>Record 228</t>
  </si>
  <si>
    <t>Record 347</t>
  </si>
  <si>
    <t>Record 204</t>
  </si>
  <si>
    <t>Record 235</t>
  </si>
  <si>
    <t>Record 170</t>
  </si>
  <si>
    <t>Record 422</t>
  </si>
  <si>
    <t>Record 13</t>
  </si>
  <si>
    <t>Record 223</t>
  </si>
  <si>
    <t>Record 243</t>
  </si>
  <si>
    <t>Record 285</t>
  </si>
  <si>
    <t>Record 318</t>
  </si>
  <si>
    <t>Record 314</t>
  </si>
  <si>
    <t>Record 335</t>
  </si>
  <si>
    <t>Record 463</t>
  </si>
  <si>
    <t>Record 38</t>
  </si>
  <si>
    <t>Record 99</t>
  </si>
  <si>
    <t>Record 248</t>
  </si>
  <si>
    <t>Record 440</t>
  </si>
  <si>
    <t>Record 138</t>
  </si>
  <si>
    <t>Record 144</t>
  </si>
  <si>
    <t>Record 251</t>
  </si>
  <si>
    <t>Record 333</t>
  </si>
  <si>
    <t>Record 31</t>
  </si>
  <si>
    <t>Record 27</t>
  </si>
  <si>
    <t>Record 354</t>
  </si>
  <si>
    <t>Record 94</t>
  </si>
  <si>
    <t>Record 194</t>
  </si>
  <si>
    <t>Record 14</t>
  </si>
  <si>
    <t>Record 394</t>
  </si>
  <si>
    <t>Record 361</t>
  </si>
  <si>
    <t>Record 17</t>
  </si>
  <si>
    <t>Record 72</t>
  </si>
  <si>
    <t>Record 4</t>
  </si>
  <si>
    <t>Record 165</t>
  </si>
  <si>
    <t>Record 309</t>
  </si>
  <si>
    <t>Record 43</t>
  </si>
  <si>
    <t>Record 237</t>
  </si>
  <si>
    <t>Record 36</t>
  </si>
  <si>
    <t>Record 458</t>
  </si>
  <si>
    <t>Record 439</t>
  </si>
  <si>
    <t>Record 275</t>
  </si>
  <si>
    <t>Record 116</t>
  </si>
  <si>
    <t>Record 279</t>
  </si>
  <si>
    <t>Record 10</t>
  </si>
  <si>
    <t>Record 6</t>
  </si>
  <si>
    <t>Record 368</t>
  </si>
  <si>
    <t>Record 456</t>
  </si>
  <si>
    <t>Record 64</t>
  </si>
  <si>
    <t>Record 183</t>
  </si>
  <si>
    <t>Record 139</t>
  </si>
  <si>
    <t>Record 407</t>
  </si>
  <si>
    <t>Record 405</t>
  </si>
  <si>
    <t>Record 281</t>
  </si>
  <si>
    <t>Record 378</t>
  </si>
  <si>
    <t>Record 233</t>
  </si>
  <si>
    <t>Record 247</t>
  </si>
  <si>
    <t>Record 162</t>
  </si>
  <si>
    <t>Record 51</t>
  </si>
  <si>
    <t>Record 268</t>
  </si>
  <si>
    <t>Record 69</t>
  </si>
  <si>
    <t>Record 147</t>
  </si>
  <si>
    <t>Record 140</t>
  </si>
  <si>
    <t>Record 419</t>
  </si>
  <si>
    <t>Record 87</t>
  </si>
  <si>
    <t>Record 410</t>
  </si>
  <si>
    <t>Record 191</t>
  </si>
  <si>
    <t>Record 307</t>
  </si>
  <si>
    <t>Record 313</t>
  </si>
  <si>
    <t>Record 362</t>
  </si>
  <si>
    <t>Record 44</t>
  </si>
  <si>
    <t>Record 259</t>
  </si>
  <si>
    <t>Record 176</t>
  </si>
  <si>
    <t>Record 258</t>
  </si>
  <si>
    <t>Record 344</t>
  </si>
  <si>
    <t>Record 3</t>
  </si>
  <si>
    <t>Record 293</t>
  </si>
  <si>
    <t>Record 319</t>
  </si>
  <si>
    <t>Record 19</t>
  </si>
  <si>
    <t>Record 283</t>
  </si>
  <si>
    <t>Record 74</t>
  </si>
  <si>
    <t>Record 379</t>
  </si>
  <si>
    <t>Record 101</t>
  </si>
  <si>
    <t>Record 364</t>
  </si>
  <si>
    <t>Record 299</t>
  </si>
  <si>
    <t>Record 58</t>
  </si>
  <si>
    <t>Record 102</t>
  </si>
  <si>
    <t>Record 225</t>
  </si>
  <si>
    <t>Record 359</t>
  </si>
  <si>
    <t>Record 63</t>
  </si>
  <si>
    <t>Record 253</t>
  </si>
  <si>
    <t>Record 430</t>
  </si>
  <si>
    <t>Record 401</t>
  </si>
  <si>
    <t>Record 326</t>
  </si>
  <si>
    <t>Record 284</t>
  </si>
  <si>
    <t>Record 358</t>
  </si>
  <si>
    <t>Record 265</t>
  </si>
  <si>
    <t>Record 175</t>
  </si>
  <si>
    <t>Record 177</t>
  </si>
  <si>
    <t>Record 173</t>
  </si>
  <si>
    <t>Record 199</t>
  </si>
  <si>
    <t>Record 7</t>
  </si>
  <si>
    <t>Record 86</t>
  </si>
  <si>
    <t>Record 291</t>
  </si>
  <si>
    <t>Record 428</t>
  </si>
  <si>
    <t>Record 30</t>
  </si>
  <si>
    <t>Record 67</t>
  </si>
  <si>
    <t>Record 353</t>
  </si>
  <si>
    <t>Record 85</t>
  </si>
  <si>
    <t>Record 271</t>
  </si>
  <si>
    <t>Record 137</t>
  </si>
  <si>
    <t>Record 352</t>
  </si>
  <si>
    <t>Record 75</t>
  </si>
  <si>
    <t>Record 111</t>
  </si>
  <si>
    <t>Record 52</t>
  </si>
  <si>
    <t>Record 40</t>
  </si>
  <si>
    <t>Record 312</t>
  </si>
  <si>
    <t>Record 389</t>
  </si>
  <si>
    <t>Record 226</t>
  </si>
  <si>
    <t>Record 93</t>
  </si>
  <si>
    <t>Record 216</t>
  </si>
  <si>
    <t>Record 103</t>
  </si>
  <si>
    <t>Record 341</t>
  </si>
  <si>
    <t>Record 131</t>
  </si>
  <si>
    <t>Record 301</t>
  </si>
  <si>
    <t>Record 345</t>
  </si>
  <si>
    <t>Record 227</t>
  </si>
  <si>
    <t>Record 206</t>
  </si>
  <si>
    <t>Record 152</t>
  </si>
  <si>
    <t>Record 213</t>
  </si>
  <si>
    <t>Record 395</t>
  </si>
  <si>
    <t>Record 46</t>
  </si>
  <si>
    <t>Record 417</t>
  </si>
  <si>
    <t>Record 9</t>
  </si>
  <si>
    <t>Record 231</t>
  </si>
  <si>
    <t>Record 331</t>
  </si>
  <si>
    <t>Record 90</t>
  </si>
  <si>
    <t>Record 79</t>
  </si>
  <si>
    <t>Record 124</t>
  </si>
  <si>
    <t>Record 383</t>
  </si>
  <si>
    <t>Record 450</t>
  </si>
  <si>
    <t>Record 461</t>
  </si>
  <si>
    <t>Record 305</t>
  </si>
  <si>
    <t>Record 374</t>
  </si>
  <si>
    <t>Record 367</t>
  </si>
  <si>
    <t>Record 160</t>
  </si>
  <si>
    <t>Record 273</t>
  </si>
  <si>
    <t>Record 198</t>
  </si>
  <si>
    <t>Record 155</t>
  </si>
  <si>
    <t>Record 127</t>
  </si>
  <si>
    <t>Record 382</t>
  </si>
  <si>
    <t>Record 197</t>
  </si>
  <si>
    <t>Record 135</t>
  </si>
  <si>
    <t>Record 339</t>
  </si>
  <si>
    <t>Record 180</t>
  </si>
  <si>
    <t>Record 459</t>
  </si>
  <si>
    <t>Record 151</t>
  </si>
  <si>
    <t>Record 172</t>
  </si>
  <si>
    <t>Record 423</t>
  </si>
  <si>
    <t>Record 121</t>
  </si>
  <si>
    <t>Record 178</t>
  </si>
  <si>
    <t>Record 276</t>
  </si>
  <si>
    <t>Record 34</t>
  </si>
  <si>
    <t>Record 365</t>
  </si>
  <si>
    <t>Record 96</t>
  </si>
  <si>
    <t>Record 288</t>
  </si>
  <si>
    <t>Record 255</t>
  </si>
  <si>
    <t>Record 238</t>
  </si>
  <si>
    <t>Record 203</t>
  </si>
  <si>
    <t>Record 306</t>
  </si>
  <si>
    <t>Record 296</t>
  </si>
  <si>
    <t>Record 424</t>
  </si>
  <si>
    <t>Record 149</t>
  </si>
  <si>
    <t>Record 406</t>
  </si>
  <si>
    <t>Record 310</t>
  </si>
  <si>
    <t>CLEAN CONTINOUS</t>
  </si>
  <si>
    <t>Data Mining: Linear Regression - Stored Model</t>
  </si>
  <si>
    <t>PMML Model</t>
  </si>
  <si>
    <t>&lt;?xml version="1.0" encoding="utf-8"?&gt;</t>
  </si>
  <si>
    <t>&lt;PMML version="4.2" xsi:schemaLocation="http://www.dmg.org/PMML-4_2 http://www.dmg.org/v4-2/pmml-4-2.xsd" xmlns:xsi="http://www.w3.org/2001/XMLSchema-instance" xmlns="http://www.dmg.org/PMML-4_2"&gt;</t>
  </si>
  <si>
    <t>&lt;Header copyright="Copyright (c) 2020 Frontline Systems Inc." description="RegressionModel"&gt;</t>
  </si>
  <si>
    <t>&lt;Application name="XLMinerSDK" version="20.5.1.0"/&gt;</t>
  </si>
  <si>
    <t>&lt;ModelName/&gt;</t>
  </si>
  <si>
    <t>&lt;/Header&gt;</t>
  </si>
  <si>
    <t>&lt;DataDictionary numberOfFields="26"&gt;</t>
  </si>
  <si>
    <t>&lt;DataField optype="continuous" dataType="double" name="Nr. reviews"/&gt;</t>
  </si>
  <si>
    <t>&lt;DataField optype="continuous" dataType="double" name="Nr. hotel reviews"/&gt;</t>
  </si>
  <si>
    <t>&lt;DataField optype="continuous" dataType="double" name="Nr. rooms"/&gt;</t>
  </si>
  <si>
    <t>&lt;DataField optype="continuous" dataType="double" name="Member years"/&gt;</t>
  </si>
  <si>
    <t>&lt;DataField optype="continuous" dataType="double" name="Period of stay_Dec-Feb"/&gt;</t>
  </si>
  <si>
    <t>&lt;DataField optype="continuous" dataType="double" name="Period of stay_Jun-Aug"/&gt;</t>
  </si>
  <si>
    <t>&lt;DataField optype="continuous" dataType="double" name="Period of stay_Mar-May"/&gt;</t>
  </si>
  <si>
    <t>&lt;DataField optype="continuous" dataType="double" name="Period of stay_Sep-Nov"/&gt;</t>
  </si>
  <si>
    <t>&lt;DataField optype="continuous" dataType="double" name="Traveler type Other"/&gt;</t>
  </si>
  <si>
    <t>&lt;DataField optype="continuous" dataType="double" name="Traveler type Families"/&gt;</t>
  </si>
  <si>
    <t>&lt;DataField optype="continuous" dataType="double" name="Traveler type Couples"/&gt;</t>
  </si>
  <si>
    <t>&lt;DataField optype="continuous" dataType="double" name="Tennis court_YES"/&gt;</t>
  </si>
  <si>
    <t>&lt;DataField optype="continuous" dataType="double" name="Hotel stars 3 and 3.5"/&gt;</t>
  </si>
  <si>
    <t>&lt;DataField optype="continuous" dataType="double" name="Hotel stars 4 and 4.5"/&gt;</t>
  </si>
  <si>
    <t>&lt;DataField optype="continuous" dataType="double" name="Hotel stars 5"/&gt;</t>
  </si>
  <si>
    <t>&lt;DataField optype="continuous" dataType="double" name="User continent Other"/&gt;</t>
  </si>
  <si>
    <t>&lt;DataField optype="continuous" dataType="double" name="User continent Europe"/&gt;</t>
  </si>
  <si>
    <t>&lt;DataField optype="continuous" dataType="double" name="User continent North America"/&gt;</t>
  </si>
  <si>
    <t>&lt;DataField optype="continuous" dataType="double" name="Review weekday_Friday"/&gt;</t>
  </si>
  <si>
    <t>&lt;DataField optype="continuous" dataType="double" name="Review weekday_Monday"/&gt;</t>
  </si>
  <si>
    <t>&lt;DataField optype="continuous" dataType="double" name="Review weekday_Saturday"/&gt;</t>
  </si>
  <si>
    <t>&lt;DataField optype="continuous" dataType="double" name="Review weekday_Sunday"/&gt;</t>
  </si>
  <si>
    <t>&lt;DataField optype="continuous" dataType="double" name="Review weekday_Thursday"/&gt;</t>
  </si>
  <si>
    <t>&lt;DataField optype="continuous" dataType="double" name="Review weekday_Tuesday"/&gt;</t>
  </si>
  <si>
    <t>&lt;DataField optype="continuous" dataType="double" name="Review weekday_Wednesday"/&gt;</t>
  </si>
  <si>
    <t>&lt;DataField optype="continuous" dataType="double" name="Score"/&gt;</t>
  </si>
  <si>
    <t>&lt;/DataDictionary&gt;</t>
  </si>
  <si>
    <t>&lt;RegressionModel modelName="RegressionModel" functionName="regression" algorithmName="LinearRegression"&gt;</t>
  </si>
  <si>
    <t>&lt;MiningSchema&gt;</t>
  </si>
  <si>
    <t>&lt;MiningField name="Score" usageType="predicted"/&gt;</t>
  </si>
  <si>
    <t>&lt;MiningField name="Nr. reviews" usageType="active"/&gt;</t>
  </si>
  <si>
    <t>&lt;MiningField name="Nr. hotel reviews" usageType="active"/&gt;</t>
  </si>
  <si>
    <t>&lt;MiningField name="Nr. rooms" usageType="active"/&gt;</t>
  </si>
  <si>
    <t>&lt;MiningField name="Member years" usageType="active"/&gt;</t>
  </si>
  <si>
    <t>&lt;MiningField name="Period of stay_Dec-Feb" usageType="active"/&gt;</t>
  </si>
  <si>
    <t>&lt;MiningField name="Period of stay_Jun-Aug" usageType="active"/&gt;</t>
  </si>
  <si>
    <t>&lt;MiningField name="Period of stay_Mar-May" usageType="active"/&gt;</t>
  </si>
  <si>
    <t>&lt;MiningField name="Period of stay_Sep-Nov" usageType="active"/&gt;</t>
  </si>
  <si>
    <t>&lt;MiningField name="Traveler type Other" usageType="active"/&gt;</t>
  </si>
  <si>
    <t>&lt;MiningField name="Traveler type Families" usageType="active"/&gt;</t>
  </si>
  <si>
    <t>&lt;MiningField name="Traveler type Couples" usageType="active"/&gt;</t>
  </si>
  <si>
    <t>&lt;MiningField name="Tennis court_YES" usageType="active"/&gt;</t>
  </si>
  <si>
    <t>&lt;MiningField name="Hotel stars 3 and 3.5" usageType="active"/&gt;</t>
  </si>
  <si>
    <t>&lt;MiningField name="Hotel stars 4 and 4.5" usageType="active"/&gt;</t>
  </si>
  <si>
    <t>&lt;MiningField name="Hotel stars 5" usageType="active"/&gt;</t>
  </si>
  <si>
    <t>&lt;MiningField name="User continent Other" usageType="active"/&gt;</t>
  </si>
  <si>
    <t>&lt;MiningField name="User continent Europe" usageType="active"/&gt;</t>
  </si>
  <si>
    <t>&lt;MiningField name="User continent North America" usageType="active"/&gt;</t>
  </si>
  <si>
    <t>&lt;MiningField name="Review weekday_Friday" usageType="active"/&gt;</t>
  </si>
  <si>
    <t>&lt;MiningField name="Review weekday_Monday" usageType="active"/&gt;</t>
  </si>
  <si>
    <t>&lt;MiningField name="Review weekday_Saturday" usageType="active"/&gt;</t>
  </si>
  <si>
    <t>&lt;MiningField name="Review weekday_Sunday" usageType="active"/&gt;</t>
  </si>
  <si>
    <t>&lt;MiningField name="Review weekday_Thursday" usageType="active"/&gt;</t>
  </si>
  <si>
    <t>&lt;MiningField name="Review weekday_Tuesday" usageType="active"/&gt;</t>
  </si>
  <si>
    <t>&lt;MiningField name="Review weekday_Wednesday" usageType="active"/&gt;</t>
  </si>
  <si>
    <t>&lt;/MiningSchema&gt;</t>
  </si>
  <si>
    <t>&lt;Output&gt;</t>
  </si>
  <si>
    <t>&lt;OutputField optype="continuous" dataType="double" name="Predicted_Score" feature="predictedValue"/&gt;</t>
  </si>
  <si>
    <t>&lt;/Output&gt;</t>
  </si>
  <si>
    <t>&lt;LocalTransformations/&gt;</t>
  </si>
  <si>
    <t>&lt;NumericPredictor name="Period of stay_Dec-Feb" exponent="1" coefficient="0"/&gt;</t>
  </si>
  <si>
    <t>&lt;NumericPredictor name="Traveler type Families" exponent="1" coefficient="0"/&gt;</t>
  </si>
  <si>
    <t>&lt;NumericPredictor name="Hotel stars 5" exponent="1" coefficient="0"/&gt;</t>
  </si>
  <si>
    <t>&lt;NumericPredictor name="User continent Europe" exponent="1" coefficient="0"/&gt;</t>
  </si>
  <si>
    <t>&lt;/RegressionTable&gt;</t>
  </si>
  <si>
    <t>&lt;/RegressionModel&gt;</t>
  </si>
  <si>
    <t>&lt;/PMML&gt;</t>
  </si>
  <si>
    <t>Regression Summary</t>
  </si>
  <si>
    <t>Predictor Screening</t>
  </si>
  <si>
    <t>Coefficients</t>
  </si>
  <si>
    <t>Training: Prediction Summary</t>
  </si>
  <si>
    <t>Validation: Prediction Summary</t>
  </si>
  <si>
    <t>Data Mining: Linear Regression - Prediction of Validation Data</t>
  </si>
  <si>
    <t>Metric</t>
  </si>
  <si>
    <t>Value</t>
  </si>
  <si>
    <t>SSE</t>
  </si>
  <si>
    <t>MSE</t>
  </si>
  <si>
    <t>RMSE</t>
  </si>
  <si>
    <t>MAD</t>
  </si>
  <si>
    <t>R2</t>
  </si>
  <si>
    <t>Data Mining: Linear Regression - Prediction of Training Data</t>
  </si>
  <si>
    <t>Data Mining: Linear Regression</t>
  </si>
  <si>
    <t>Training data used for building the model</t>
  </si>
  <si>
    <t># Records in the training data</t>
  </si>
  <si>
    <t>Validation data</t>
  </si>
  <si>
    <t># Records in the validation data</t>
  </si>
  <si>
    <t># Variables</t>
  </si>
  <si>
    <t>Scale Variables</t>
  </si>
  <si>
    <t>Categorical Variables</t>
  </si>
  <si>
    <t>Output Variable</t>
  </si>
  <si>
    <t>Rescaling: Fitting Parameters</t>
  </si>
  <si>
    <t>Rescale Data?</t>
  </si>
  <si>
    <t>Regression Model: Fitting Parameters</t>
  </si>
  <si>
    <t>Fit Intercept</t>
  </si>
  <si>
    <t>Regression Model: Reporting Parameters</t>
  </si>
  <si>
    <t>{"comment":"this RASON template was auto-generated by Analytic Solver Data Mining","datasources":{},"datasets":{},"estimator":{"linearRegressionEstimator":{"type":"regression","algorithm":"linearRegression","parameters":{"categoricalFeaturesNames":[],"fitIntercept":true}}},"actions":{}}</t>
  </si>
  <si>
    <t>Variance-Covariance Matrix</t>
  </si>
  <si>
    <t>Multicollinearity Diagnostic</t>
  </si>
  <si>
    <t>Analysis of Coefficients</t>
  </si>
  <si>
    <t>Linear Regression: Reporting Parameters</t>
  </si>
  <si>
    <t>ANOVA</t>
  </si>
  <si>
    <t>Detailed Residuals</t>
  </si>
  <si>
    <t>Influence Diagnostic</t>
  </si>
  <si>
    <t>Confidence/Prediction Intervals</t>
  </si>
  <si>
    <t>Output Options</t>
  </si>
  <si>
    <t>Summary report of scoring on training data</t>
  </si>
  <si>
    <t>Summary report of scoring on validation data</t>
  </si>
  <si>
    <t>Residual DF</t>
  </si>
  <si>
    <t>Adjusted R2</t>
  </si>
  <si>
    <t>Std. Error Estimate</t>
  </si>
  <si>
    <t>RSS</t>
  </si>
  <si>
    <t>Predictor</t>
  </si>
  <si>
    <t>Criteria</t>
  </si>
  <si>
    <t>Included</t>
  </si>
  <si>
    <t>Intercept</t>
  </si>
  <si>
    <t>Tolerance for entering the model</t>
  </si>
  <si>
    <t>Estimate</t>
  </si>
  <si>
    <t>Feature Selection</t>
  </si>
  <si>
    <t>Data Mining: Linear Regression - Feature Selection</t>
  </si>
  <si>
    <t>Best Subsets</t>
  </si>
  <si>
    <t>Subset ID</t>
  </si>
  <si>
    <t>Subset 1</t>
  </si>
  <si>
    <t>Subset 2</t>
  </si>
  <si>
    <t>Subset 3</t>
  </si>
  <si>
    <t>Subset 4</t>
  </si>
  <si>
    <t>Best Subsets Details</t>
  </si>
  <si>
    <t>#Coefficients</t>
  </si>
  <si>
    <t>Mallows's Cp</t>
  </si>
  <si>
    <t>Probability</t>
  </si>
  <si>
    <t>Feature Selection Parameters</t>
  </si>
  <si>
    <t>Method</t>
  </si>
  <si>
    <t>Forward Selection</t>
  </si>
  <si>
    <t>F-Statistic (In)</t>
  </si>
  <si>
    <t>Maximum Size of Subset</t>
  </si>
  <si>
    <t>Date: 20-Nov-2020 11:43:55</t>
  </si>
  <si>
    <t>{"comment":"this RASON template was auto-generated by Analytic Solver Data Mining","datasources":{},"datasets":{},"transformer":{"partitioner":{"type":"transformation","algorithm":"partitioning","parameters":{"partitionMethod":"RANDOM","ratios":[["Training",0.80000000000000004],["Validation",0.20000000000000001]],"seed":12345}}},"actions":{}}</t>
  </si>
  <si>
    <t>Date: 20-Nov-2020 11:50:30</t>
  </si>
  <si>
    <t>&lt;Timestamp&gt;2020-11-20 11:50:30&lt;/Timestamp&gt;</t>
  </si>
  <si>
    <t>&lt;RegressionTable intercept="4.8329834165893315"&gt;</t>
  </si>
  <si>
    <t>&lt;NumericPredictor name="Nr. reviews" exponent="1" coefficient="0.0018863694360614701"/&gt;</t>
  </si>
  <si>
    <t>&lt;NumericPredictor name="Nr. hotel reviews" exponent="1" coefficient="-0.0041760912412037599"/&gt;</t>
  </si>
  <si>
    <t>&lt;NumericPredictor name="Nr. rooms" exponent="1" coefficient="-0.00015342302947515422"/&gt;</t>
  </si>
  <si>
    <t>&lt;NumericPredictor name="Member years" exponent="1" coefficient="0.0022298942051343831"/&gt;</t>
  </si>
  <si>
    <t>&lt;NumericPredictor name="Period of stay_Jun-Aug" exponent="1" coefficient="0.012972337069602376"/&gt;</t>
  </si>
  <si>
    <t>&lt;NumericPredictor name="Period of stay_Mar-May" exponent="1" coefficient="-0.082390025484047405"/&gt;</t>
  </si>
  <si>
    <t>&lt;NumericPredictor name="Period of stay_Sep-Nov" exponent="1" coefficient="0.02705067638949079"/&gt;</t>
  </si>
  <si>
    <t>&lt;NumericPredictor name="Traveler type Other" exponent="1" coefficient="0.14222410262265847"/&gt;</t>
  </si>
  <si>
    <t>&lt;NumericPredictor name="Traveler type Couples" exponent="1" coefficient="0.35728551239069334"/&gt;</t>
  </si>
  <si>
    <t>&lt;NumericPredictor name="Tennis court_YES" exponent="1" coefficient="0.23007315854342728"/&gt;</t>
  </si>
  <si>
    <t>&lt;NumericPredictor name="Hotel stars 3 and 3.5" exponent="1" coefficient="-0.55300066924158731"/&gt;</t>
  </si>
  <si>
    <t>&lt;NumericPredictor name="Hotel stars 4 and 4.5" exponent="1" coefficient="-0.6124725559743962"/&gt;</t>
  </si>
  <si>
    <t>&lt;NumericPredictor name="User continent Other" exponent="1" coefficient="-0.16911345472356512"/&gt;</t>
  </si>
  <si>
    <t>&lt;NumericPredictor name="User continent North America" exponent="1" coefficient="0.068979395974951799"/&gt;</t>
  </si>
  <si>
    <t>&lt;NumericPredictor name="Review weekday_Friday" exponent="1" coefficient="-0.047591641680786841"/&gt;</t>
  </si>
  <si>
    <t>&lt;NumericPredictor name="Review weekday_Monday" exponent="1" coefficient="-0.38453509647637835"/&gt;</t>
  </si>
  <si>
    <t>&lt;NumericPredictor name="Review weekday_Saturday" exponent="1" coefficient="0"/&gt;</t>
  </si>
  <si>
    <t>&lt;NumericPredictor name="Review weekday_Sunday" exponent="1" coefficient="-0.35147408403904734"/&gt;</t>
  </si>
  <si>
    <t>&lt;NumericPredictor name="Review weekday_Thursday" exponent="1" coefficient="-0.28507928290056161"/&gt;</t>
  </si>
  <si>
    <t>&lt;NumericPredictor name="Review weekday_Tuesday" exponent="1" coefficient="-0.49009796541197853"/&gt;</t>
  </si>
  <si>
    <t>&lt;NumericPredictor name="Review weekday_Wednesday" exponent="1" coefficient="-0.4474401483348448"/&gt;</t>
  </si>
  <si>
    <t>{"wkbk":"HOTELS TRIP GROUP 1 .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2,"fIn":3.8399999999999999,"fOut":null,"numSubsets":null,"maxSubsetSize":25},"varSelectionOnly":false,"weight_var":null,"input_cols":[{"varName":"Intercept"}],"cat_cols":[]}</t>
  </si>
  <si>
    <t>{"wkbk":"HOTELS TRIP GROUP 1 .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2,"fIn":3.8399999999999999,"fOut":null,"numSubsets":null,"maxSubsetSize":25},"varSelectionOnly":false,"weight_var":null,"input_cols":[{"varName":"Intercept"},{"varName":"Traveler type Couples"}],"cat_cols":[]}</t>
  </si>
  <si>
    <t>{"wkbk":"HOTELS TRIP GROUP 1 .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2,"fIn":3.8399999999999999,"fOut":null,"numSubsets":null,"maxSubsetSize":25},"varSelectionOnly":false,"weight_var":null,"input_cols":[{"varName":"Intercept"},{"varName":"Traveler type Couples"},{"varName":"Hotel stars 4 and 4.5"}],"cat_cols":[]}</t>
  </si>
  <si>
    <t>{"wkbk":"HOTELS TRIP GROUP 1 .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2,"fIn":3.8399999999999999,"fOut":null,"numSubsets":null,"maxSubsetSize":25},"varSelectionOnly":false,"weight_var":null,"input_cols":[{"varName":"Intercept"},{"varName":"Traveler type Couples"},{"varName":"Hotel stars 3 and 3.5"},{"varName":"Hotel stars 4 and 4.5"}],"cat_cols":[]}</t>
  </si>
  <si>
    <t>{"wkbk":"HOTELS TRIP GROUP 1 .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2,"fIn":3.8399999999999999,"fOut":null,"numSubsets":null,"maxSubsetSize":25},"varSelectionOnly":false,"weight_var":null,"input_cols":[{"varName":"Intercept"},{"varName":"Nr. rooms"},{"varName":"Traveler type Couples"},{"varName":"Hotel stars 3 and 3.5"},{"varName":"Hotel stars 4 and 4.5"}],"cat_cols":[]}</t>
  </si>
  <si>
    <t>Subset 5</t>
  </si>
  <si>
    <t>STDPartition(MLR)</t>
  </si>
  <si>
    <t>$C$37:$AC$409</t>
  </si>
  <si>
    <t>$C$410:$AC$502</t>
  </si>
  <si>
    <t>Date: 20-Nov-2020 11:56:43</t>
  </si>
  <si>
    <t>&lt;Timestamp&gt;2020-11-20 11:56:43&lt;/Timestamp&gt;</t>
  </si>
  <si>
    <t>&lt;DataDictionary numberOfFields="5"&gt;</t>
  </si>
  <si>
    <t>&lt;RegressionTable intercept="4.6618818207251316"&gt;</t>
  </si>
  <si>
    <t>&lt;NumericPredictor name="Nr. rooms" exponent="1" coefficient="-0.00014752049767734229"/&gt;</t>
  </si>
  <si>
    <t>&lt;NumericPredictor name="Traveler type Couples" exponent="1" coefficient="0.25888408111873701"/&gt;</t>
  </si>
  <si>
    <t>&lt;NumericPredictor name="Hotel stars 3 and 3.5" exponent="1" coefficient="-0.52671837538448807"/&gt;</t>
  </si>
  <si>
    <t>&lt;NumericPredictor name="Hotel stars 4 and 4.5" exponent="1" coefficient="-0.57233266405394478"/&gt;</t>
  </si>
  <si>
    <t>Training: Prediction Details</t>
  </si>
  <si>
    <t>Validation: Prediction Details</t>
  </si>
  <si>
    <t>Prediction: Score</t>
  </si>
  <si>
    <t>Residual</t>
  </si>
  <si>
    <t>Detailed report of scoring on training data</t>
  </si>
  <si>
    <t>Detailed report of scoring on validation data</t>
  </si>
  <si>
    <t>Confidence Interval: Lower</t>
  </si>
  <si>
    <t>Confidence Interval: Upper</t>
  </si>
  <si>
    <t>Standard Error</t>
  </si>
  <si>
    <t>T-Statistic</t>
  </si>
  <si>
    <t>P-Value</t>
  </si>
  <si>
    <t xml:space="preserve">Significant </t>
  </si>
  <si>
    <t xml:space="preserve">Score = 4.661881821 - [0.00014752*Nr Rooms] + [0.258884081*Traveler Type Couples] - [0.526718375* Hotel Star 3-3.5] - [0.572332664* Hotel Stars 4-4.5] </t>
  </si>
  <si>
    <t>FormulaEquation</t>
  </si>
  <si>
    <t>Average Deviation of Estimated Score From True Score</t>
  </si>
  <si>
    <t>4 Assumptions of Training Data</t>
  </si>
  <si>
    <t>Nr Rooms</t>
  </si>
  <si>
    <t xml:space="preserve">1. Linearity </t>
  </si>
  <si>
    <t>2. Normality (Check Training Data Residual)</t>
  </si>
  <si>
    <t>3. Indep &amp; Homosecd. (Scatter between plot of Residual over Predicted Score)</t>
  </si>
  <si>
    <t>Date: 20-Nov-2020 17:51:31</t>
  </si>
  <si>
    <t>&lt;Timestamp&gt;2020-11-20 17:51:31&lt;/Timestamp&gt;</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</si>
  <si>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1,"fIn":null,"fOut":2.71,"numSubsets":null,"maxSubsetSize":25},"varSelectionOnly":false,"weight_var":null,"input_cols":[{"varName":"Intercept"},{"varName":"Nr. reviews"},{"varName":"Nr. hotel reviews"},{"varName":"Nr. rooms"},{"varName":"Member years"},{"varName":"Period of stay_Jun-Aug"},{"varName":"Period of stay_Mar-May"},{"varName":"Period of stay_Sep-Nov"},{"varName":"Traveler type Other"},{"varName":"Traveler type Couples"},{"varName":"Tennis court_YES"},{"varName":"Hotel stars 3 and 3.5"},{"varName":"Hotel stars 4 and 4.5"},{"varName":"User continent Other"},{"varName":"User continent North America"},{"varName":"Review weekday_Friday"},{"varName":"Review weekday_Monday"},{"varName":"Review weekday_Sunday"},{"varName":"Review weekday_Thursday"},{"varName":"Review weekday_Tuesday"},{"varName":"Review weekday_Wednesday"}],"cat_cols":[]}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</si>
  <si>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1,"fIn":null,"fOut":2.71,"numSubsets":null,"maxSubsetSize":25},"varSelectionOnly":false,"weight_var":null,"input_cols":[{"varName":"Intercept"},{"varName":"Nr. reviews"},{"varName":"Nr. hotel reviews"},{"varName":"Nr. rooms"},{"varName":"Member years"},{"varName":"Period of stay_Mar-May"},{"varName":"Period of stay_Sep-Nov"},{"varName":"Traveler type Other"},{"varName":"Traveler type Couples"},{"varName":"Tennis court_YES"},{"varName":"Hotel stars 3 and 3.5"},{"varName":"Hotel stars 4 and 4.5"},{"varName":"User continent Other"},{"varName":"User continent North America"},{"varName":"Review weekday_Friday"},{"varName":"Review weekday_Monday"},{"varName":"Review weekday_Sunday"},{"varName":"Review weekday_Thursday"},{"varName":"Review weekday_Tuesday"},{"varName":"Review weekday_Wednesday"}],"cat_cols":[]}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</si>
  <si>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1,"fIn":null,"fOut":2.71,"numSubsets":null,"maxSubsetSize":25},"varSelectionOnly":false,"weight_var":null,"input_cols":[{"varName":"Intercept"},{"varName":"Nr. reviews"},{"varName":"Nr. hotel reviews"},{"varName":"Nr. rooms"},{"varName":"Period of stay_Mar-May"},{"varName":"Period of stay_Sep-Nov"},{"varName":"Traveler type Other"},{"varName":"Traveler type Couples"},{"varName":"Tennis court_YES"},{"varName":"Hotel stars 3 and 3.5"},{"varName":"Hotel stars 4 and 4.5"},{"varName":"User continent Other"},{"varName":"User continent North America"},{"varName":"Review weekday_Friday"},{"varName":"Review weekday_Monday"},{"varName":"Review weekday_Sunday"},{"varName":"Review weekday_Thursday"},{"varName":"Review weekday_Tuesday"},{"varName":"Review weekday_Wednesday"}],"cat_cols":[]}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</si>
  <si>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1,"fIn":null,"fOut":2.71,"numSubsets":null,"maxSubsetSize":25},"varSelectionOnly":false,"weight_var":null,"input_cols":[{"varName":"Intercept"},{"varName":"Nr. reviews"},{"varName":"Nr. hotel reviews"},{"varName":"Nr. rooms"},{"varName":"Period of stay_Mar-May"},{"varName":"Traveler type Other"},{"varName":"Traveler type Couples"},{"varName":"Tennis court_YES"},{"varName":"Hotel stars 3 and 3.5"},{"varName":"Hotel stars 4 and 4.5"},{"varName":"User continent Other"},{"varName":"User continent North America"},{"varName":"Review weekday_Friday"},{"varName":"Review weekday_Monday"},{"varName":"Review weekday_Sunday"},{"varName":"Review weekday_Thursday"},{"varName":"Review weekday_Tuesday"},{"varName":"Review weekday_Wednesday"}],"cat_cols":[]}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</si>
  <si>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1,"fIn":null,"fOut":2.71,"numSubsets":null,"maxSubsetSize":25},"varSelectionOnly":false,"weight_var":null,"input_cols":[{"varName":"Intercept"},{"varName":"Nr. reviews"},{"varName":"Nr. hotel reviews"},{"varName":"Nr. rooms"},{"varName":"Period of stay_Mar-May"},{"varName":"Traveler type Other"},{"varName":"Traveler type Couples"},{"varName":"Tennis court_YES"},{"varName":"Hotel stars 3 and 3.5"},{"varName":"Hotel stars 4 and 4.5"},{"varName":"User continent Other"},{"varName":"User continent North America"},{"varName":"Review weekday_Monday"},{"varName":"Review weekday_Sunday"},{"varName":"Review weekday_Thursday"},{"varName":"Review weekday_Tuesday"},{"varName":"Review weekday_Wednesday"}],"cat_cols":[]}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</si>
  <si>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1,"fIn":null,"fOut":2.71,"numSubsets":null,"maxSubsetSize":25},"varSelectionOnly":false,"weight_var":null,"input_cols":[{"varName":"Intercept"},{"varName":"Nr. reviews"},{"varName":"Nr. hotel reviews"},{"varName":"Nr. rooms"},{"varName":"Period of stay_Mar-May"},{"varName":"Traveler type Other"},{"varName":"Traveler type Couples"},{"varName":"Tennis court_YES"},{"varName":"Hotel stars 3 and 3.5"},{"varName":"Hotel stars 4 and 4.5"},{"varName":"User continent Other"},{"varName":"Review weekday_Monday"},{"varName":"Review weekday_Sunday"},{"varName":"Review weekday_Thursday"},{"varName":"Review weekday_Tuesday"},{"varName":"Review weekday_Wednesday"}],"cat_cols":[]}</t>
  </si>
  <si>
    <t>Subset 6</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</si>
  <si>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1,"fIn":null,"fOut":2.71,"numSubsets":null,"maxSubsetSize":25},"varSelectionOnly":false,"weight_var":null,"input_cols":[{"varName":"Intercept"},{"varName":"Nr. reviews"},{"varName":"Nr. rooms"},{"varName":"Period of stay_Mar-May"},{"varName":"Traveler type Other"},{"varName":"Traveler type Couples"},{"varName":"Tennis court_YES"},{"varName":"Hotel stars 3 and 3.5"},{"varName":"Hotel stars 4 and 4.5"},{"varName":"User continent Other"},{"varName":"Review weekday_Monday"},{"varName":"Review weekday_Sunday"},{"varName":"Review weekday_Thursday"},{"varName":"Review weekday_Tuesday"},{"varName":"Review weekday_Wednesday"}],"cat_cols":[]}</t>
  </si>
  <si>
    <t>Subset 7</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</si>
  <si>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1,"fIn":null,"fOut":2.71,"numSubsets":null,"maxSubsetSize":25},"varSelectionOnly":false,"weight_var":null,"input_cols":[{"varName":"Intercept"},{"varName":"Nr. rooms"},{"varName":"Period of stay_Mar-May"},{"varName":"Traveler type Other"},{"varName":"Traveler type Couples"},{"varName":"Tennis court_YES"},{"varName":"Hotel stars 3 and 3.5"},{"varName":"Hotel stars 4 and 4.5"},{"varName":"User continent Other"},{"varName":"Review weekday_Monday"},{"varName":"Review weekday_Sunday"},{"varName":"Review weekday_Thursday"},{"varName":"Review weekday_Tuesday"},{"varName":"Review weekday_Wednesday"}],"cat_cols":[]}</t>
  </si>
  <si>
    <t>Subset 8</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</si>
  <si>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1,"fIn":null,"fOut":2.71,"numSubsets":null,"maxSubsetSize":25},"varSelectionOnly":false,"weight_var":null,"input_cols":[{"varName":"Intercept"},{"varName":"Nr. rooms"},{"varName":"Traveler type Other"},{"varName":"Traveler type Couples"},{"varName":"Tennis court_YES"},{"varName":"Hotel stars 3 and 3.5"},{"varName":"Hotel stars 4 and 4.5"},{"varName":"User continent Other"},{"varName":"Review weekday_Monday"},{"varName":"Review weekday_Sunday"},{"varName":"Review weekday_Thursday"},{"varName":"Review weekday_Tuesday"},{"varName":"Review weekday_Wednesday"}],"cat_cols":[]}</t>
  </si>
  <si>
    <t>Subset 9</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</si>
  <si>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1,"fIn":null,"fOut":2.71,"numSubsets":null,"maxSubsetSize":25},"varSelectionOnly":false,"weight_var":null,"input_cols":[{"varName":"Intercept"},{"varName":"Nr. rooms"},{"varName":"Traveler type Couples"},{"varName":"Tennis court_YES"},{"varName":"Hotel stars 3 and 3.5"},{"varName":"Hotel stars 4 and 4.5"},{"varName":"User continent Other"},{"varName":"Review weekday_Monday"},{"varName":"Review weekday_Sunday"},{"varName":"Review weekday_Thursday"},{"varName":"Review weekday_Tuesday"},{"varName":"Review weekday_Wednesday"}],"cat_cols":[]}</t>
  </si>
  <si>
    <t>Subset 10</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</si>
  <si>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1,"fIn":null,"fOut":2.71,"numSubsets":null,"maxSubsetSize":25},"varSelectionOnly":false,"weight_var":null,"input_cols":[{"varName":"Intercept"},{"varName":"Nr. rooms"},{"varName":"Traveler type Couples"},{"varName":"Tennis court_YES"},{"varName":"Hotel stars 3 and 3.5"},{"varName":"Hotel stars 4 and 4.5"},{"varName":"User continent Other"},{"varName":"Review weekday_Monday"},{"varName":"Review weekday_Sunday"},{"varName":"Review weekday_Tuesday"},{"varName":"Review weekday_Wednesday"}],"cat_cols":[]}</t>
  </si>
  <si>
    <t>Subset 11</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</si>
  <si>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1,"fIn":null,"fOut":2.71,"numSubsets":null,"maxSubsetSize":25},"varSelectionOnly":false,"weight_var":null,"input_cols":[{"varName":"Intercept"},{"varName":"Nr. rooms"},{"varName":"Traveler type Couples"},{"varName":"Tennis court_YES"},{"varName":"Hotel stars 3 and 3.5"},{"varName":"Hotel stars 4 and 4.5"},{"varName":"User continent Other"},{"varName":"Review weekday_Monday"},{"varName":"Review weekday_Tuesday"},{"varName":"Review weekday_Wednesday"}],"cat_cols":[]}</t>
  </si>
  <si>
    <t>Subset 12</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</si>
  <si>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1,"fIn":null,"fOut":2.71,"numSubsets":null,"maxSubsetSize":25},"varSelectionOnly":false,"weight_var":null,"input_cols":[{"varName":"Intercept"},{"varName":"Nr. rooms"},{"varName":"Traveler type Couples"},{"varName":"Tennis court_YES"},{"varName":"Hotel stars 3 and 3.5"},{"varName":"Hotel stars 4 and 4.5"},{"varName":"User continent Other"},{"varName":"Review weekday_Tuesday"},{"varName":"Review weekday_Wednesday"}],"cat_cols":[]}</t>
  </si>
  <si>
    <t>Subset 13</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</si>
  <si>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1,"fIn":null,"fOut":2.71,"numSubsets":null,"maxSubsetSize":25},"varSelectionOnly":false,"weight_var":null,"input_cols":[{"varName":"Intercept"},{"varName":"Nr. rooms"},{"varName":"Traveler type Couples"},{"varName":"Tennis court_YES"},{"varName":"Hotel stars 3 and 3.5"},{"varName":"Hotel stars 4 and 4.5"},{"varName":"Review weekday_Tuesday"},{"varName":"Review weekday_Wednesday"}],"cat_cols":[]}</t>
  </si>
  <si>
    <t>Subset 14</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</si>
  <si>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1,"fIn":null,"fOut":2.71,"numSubsets":null,"maxSubsetSize":25},"varSelectionOnly":false,"weight_var":null,"input_cols":[{"varName":"Intercept"},{"varName":"Nr. rooms"},{"varName":"Traveler type Couples"},{"varName":"Hotel stars 3 and 3.5"},{"varName":"Hotel stars 4 and 4.5"},{"varName":"Review weekday_Tuesday"},{"varName":"Review weekday_Wednesday"}],"cat_cols":[]}</t>
  </si>
  <si>
    <t>Subset 15</t>
  </si>
  <si>
    <t>N/A</t>
  </si>
  <si>
    <t>Hotel Trips.xlsx</t>
  </si>
  <si>
    <t>Backward Elimination</t>
  </si>
  <si>
    <t>F-Statistic (Out)</t>
  </si>
  <si>
    <t>Date: 20-Nov-2020 17:57:28</t>
  </si>
  <si>
    <t>&lt;Timestamp&gt;2020-11-20 17:57:28&lt;/Timestamp&gt;</t>
  </si>
  <si>
    <t>&lt;DataDictionary numberOfFields="13"&gt;</t>
  </si>
  <si>
    <t>&lt;RegressionTable intercept="4.8806288852674742"&gt;</t>
  </si>
  <si>
    <t>&lt;NumericPredictor name="Nr. rooms" exponent="1" coefficient="-0.00015882959598002096"/&gt;</t>
  </si>
  <si>
    <t>&lt;NumericPredictor name="Traveler type Other" exponent="1" coefficient="0.14975932407660736"/&gt;</t>
  </si>
  <si>
    <t>&lt;NumericPredictor name="Traveler type Couples" exponent="1" coefficient="0.35321475070652464"/&gt;</t>
  </si>
  <si>
    <t>&lt;NumericPredictor name="Tennis court_YES" exponent="1" coefficient="0.21700882403650887"/&gt;</t>
  </si>
  <si>
    <t>&lt;NumericPredictor name="Hotel stars 3 and 3.5" exponent="1" coefficient="-0.55188642315302094"/&gt;</t>
  </si>
  <si>
    <t>&lt;NumericPredictor name="Hotel stars 4 and 4.5" exponent="1" coefficient="-0.60938195072719248"/&gt;</t>
  </si>
  <si>
    <t>&lt;NumericPredictor name="User continent Other" exponent="1" coefficient="-0.2271511391300417"/&gt;</t>
  </si>
  <si>
    <t>&lt;NumericPredictor name="Review weekday_Monday" exponent="1" coefficient="-0.35575552681134021"/&gt;</t>
  </si>
  <si>
    <t>&lt;NumericPredictor name="Review weekday_Sunday" exponent="1" coefficient="-0.3158301530234971"/&gt;</t>
  </si>
  <si>
    <t>&lt;NumericPredictor name="Review weekday_Thursday" exponent="1" coefficient="-0.25455123485997944"/&gt;</t>
  </si>
  <si>
    <t>&lt;NumericPredictor name="Review weekday_Tuesday" exponent="1" coefficient="-0.45576782505426644"/&gt;</t>
  </si>
  <si>
    <t>&lt;NumericPredictor name="Review weekday_Wednesday" exponent="1" coefficient="-0.4263091077894629"/&gt;</t>
  </si>
  <si>
    <t>Since Training Data Predicition Summaries is similar to Forward Selection we do not  need to recheck assumptions.</t>
  </si>
  <si>
    <t>Date: 20-Nov-2020 18:06:05</t>
  </si>
  <si>
    <t>&lt;Timestamp&gt;2020-11-20 18:6:5&lt;/Timestamp&gt;</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</si>
  <si>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</si>
  <si>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Traveler type Couples"}],"cat_cols":[]}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</si>
  <si>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Hotel stars 3 and 3.5"},{"varName":"Hotel stars 4 and 4.5"}],"cat_cols":[]}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</si>
  <si>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Nr. rooms"},{"varName":"Hotel stars 3 and 3.5"},{"varName":"Hotel stars 4 and 4.5"}],"cat_cols":[]}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</si>
  <si>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Nr. rooms"},{"varName":"Traveler type Couples"},{"varName":"Hotel stars 3 and 3.5"},{"varName":"Hotel stars 4 and 4.5"}],"cat_cols":[]}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</si>
  <si>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Nr. rooms"},{"varName":"Traveler type Couples"},{"varName":"Tennis court_YES"},{"varName":"Hotel stars 3 and 3.5"},{"varName":"Hotel stars 4 and 4.5"}],"cat_cols":[]}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</si>
  <si>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Nr. rooms"},{"varName":"Traveler type Couples"},{"varName":"Tennis court_YES"},{"varName":"Hotel stars 3 and 3.5"},{"varName":"Hotel stars 4 and 4.5"},{"varName":"Review weekday_Friday"}],"cat_cols":[]}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</si>
  <si>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Nr. rooms"},{"varName":"Traveler type Couples"},{"varName":"Tennis court_YES"},{"varName":"Hotel stars 3 and 3.5"},{"varName":"Hotel stars 4 and 4.5"},{"varName":"User continent Other"},{"varName":"Review weekday_Friday"}],"cat_cols":[]}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</si>
  <si>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Nr. rooms"},{"varName":"Traveler type Couples"},{"varName":"Tennis court_YES"},{"varName":"Hotel stars 3 and 3.5"},{"varName":"Hotel stars 4 and 4.5"},{"varName":"User continent Other"},{"varName":"Review weekday_Tuesday"},{"varName":"Review weekday_Wednesday"}],"cat_cols":[]}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</si>
  <si>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Nr. rooms"},{"varName":"Traveler type Couples"},{"varName":"Tennis court_YES"},{"varName":"Hotel stars 3 and 3.5"},{"varName":"Hotel stars 4 and 4.5"},{"varName":"User continent Other"},{"varName":"Review weekday_Monday"},{"varName":"Review weekday_Tuesday"},{"varName":"Review weekday_Wednesday"}],"cat_cols":[]}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</si>
  <si>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Nr. rooms"},{"varName":"Traveler type Couples"},{"varName":"Tennis court_YES"},{"varName":"Hotel stars 3 and 3.5"},{"varName":"Hotel stars 4 and 4.5"},{"varName":"User continent Other"},{"varName":"Review weekday_Monday"},{"varName":"Review weekday_Sunday"},{"varName":"Review weekday_Tuesday"},{"varName":"Review weekday_Wednesday"}],"cat_cols":[]}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</si>
  <si>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Nr. rooms"},{"varName":"Traveler type Couples"},{"varName":"Tennis court_YES"},{"varName":"Hotel stars 3 and 3.5"},{"varName":"Hotel stars 4 and 4.5"},{"varName":"User continent Other"},{"varName":"Review weekday_Monday"},{"varName":"Review weekday_Sunday"},{"varName":"Review weekday_Thursday"},{"varName":"Review weekday_Tuesday"},{"varName":"Review weekday_Wednesday"}],"cat_cols":[]}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</si>
  <si>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Nr. rooms"},{"varName":"Traveler type Other"},{"varName":"Traveler type Couples"},{"varName":"Tennis court_YES"},{"varName":"Hotel stars 3 and 3.5"},{"varName":"Hotel stars 4 and 4.5"},{"varName":"User continent Other"},{"varName":"Review weekday_Monday"},{"varName":"Review weekday_Sunday"},{"varName":"Review weekday_Thursday"},{"varName":"Review weekday_Tuesday"},{"varName":"Review weekday_Wednesday"}],"cat_cols":[]}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</si>
  <si>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Nr. rooms"},{"varName":"Period of stay_Mar-May"},{"varName":"Traveler type Other"},{"varName":"Traveler type Couples"},{"varName":"Tennis court_YES"},{"varName":"Hotel stars 3 and 3.5"},{"varName":"Hotel stars 4 and 4.5"},{"varName":"User continent Other"},{"varName":"Review weekday_Monday"},{"varName":"Review weekday_Sunday"},{"varName":"Review weekday_Thursday"},{"varName":"Review weekday_Tuesday"},{"varName":"Review weekday_Wednesday"}],"cat_cols":[]}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</si>
  <si>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Nr. reviews"},{"varName":"Nr. rooms"},{"varName":"Period of stay_Mar-May"},{"varName":"Traveler type Other"},{"varName":"Traveler type Couples"},{"varName":"Tennis court_YES"},{"varName":"Hotel stars 3 and 3.5"},{"varName":"Hotel stars 4 and 4.5"},{"varName":"User continent Other"},{"varName":"Review weekday_Monday"},{"varName":"Review weekday_Sunday"},{"varName":"Review weekday_Thursday"},{"varName":"Review weekday_Tuesday"},{"varName":"Review weekday_Wednesday"}],"cat_cols":[]}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</si>
  <si>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Nr. reviews"},{"varName":"Nr. hotel reviews"},{"varName":"Nr. rooms"},{"varName":"Period of stay_Mar-May"},{"varName":"Traveler type Other"},{"varName":"Traveler type Couples"},{"varName":"Tennis court_YES"},{"varName":"Hotel stars 3 and 3.5"},{"varName":"Hotel stars 4 and 4.5"},{"varName":"User continent Other"},{"varName":"Review weekday_Monday"},{"varName":"Review weekday_Sunday"},{"varName":"Review weekday_Thursday"},{"varName":"Review weekday_Tuesday"},{"varName":"Review weekday_Wednesday"}],"cat_cols":[]}</t>
  </si>
  <si>
    <t>Subset 16</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</si>
  <si>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Nr. reviews"},{"varName":"Nr. hotel reviews"},{"varName":"Nr. rooms"},{"varName":"Period of stay_Mar-May"},{"varName":"Traveler type Other"},{"varName":"Traveler type Couples"},{"varName":"Tennis court_YES"},{"varName":"Hotel stars 3 and 3.5"},{"varName":"Hotel stars 4 and 4.5"},{"varName":"User continent Other"},{"varName":"User continent North America"},{"varName":"Review weekday_Monday"},{"varName":"Review weekday_Sunday"},{"varName":"Review weekday_Thursday"},{"varName":"Review weekday_Tuesday"},{"varName":"Review weekday_Wednesday"}],"cat_cols":[]}</t>
  </si>
  <si>
    <t>Subset 17</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</si>
  <si>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Nr. reviews"},{"varName":"Nr. hotel reviews"},{"varName":"Nr. rooms"},{"varName":"Period of stay_Mar-May"},{"varName":"Traveler type Other"},{"varName":"Traveler type Couples"},{"varName":"Tennis court_YES"},{"varName":"Hotel stars 3 and 3.5"},{"varName":"Hotel stars 4 and 4.5"},{"varName":"User continent Other"},{"varName":"User continent North America"},{"varName":"Review weekday_Friday"},{"varName":"Review weekday_Monday"},{"varName":"Review weekday_Sunday"},{"varName":"Review weekday_Thursday"},{"varName":"Review weekday_Tuesday"},{"varName":"Review weekday_Wednesday"}],"cat_cols":[]}</t>
  </si>
  <si>
    <t>Subset 18</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</si>
  <si>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Nr. reviews"},{"varName":"Nr. hotel reviews"},{"varName":"Nr. rooms"},{"varName":"Period of stay_Mar-May"},{"varName":"Period of stay_Sep-Nov"},{"varName":"Traveler type Other"},{"varName":"Traveler type Couples"},{"varName":"Tennis court_YES"},{"varName":"Hotel stars 3 and 3.5"},{"varName":"Hotel stars 4 and 4.5"},{"varName":"User continent Other"},{"varName":"User continent North America"},{"varName":"Review weekday_Friday"},{"varName":"Review weekday_Monday"},{"varName":"Review weekday_Sunday"},{"varName":"Review weekday_Thursday"},{"varName":"Review weekday_Tuesday"},{"varName":"Review weekday_Wednesday"}],"cat_cols":[]}</t>
  </si>
  <si>
    <t>Subset 19</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</si>
  <si>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Nr. reviews"},{"varName":"Nr. hotel reviews"},{"varName":"Nr. rooms"},{"varName":"Member years"},{"varName":"Period of stay_Mar-May"},{"varName":"Period of stay_Sep-Nov"},{"varName":"Traveler type Other"},{"varName":"Traveler type Couples"},{"varName":"Tennis court_YES"},{"varName":"Hotel stars 3 and 3.5"},{"varName":"Hotel stars 4 and 4.5"},{"varName":"User continent Other"},{"varName":"User continent North America"},{"varName":"Review weekday_Friday"},{"varName":"Review weekday_Monday"},{"varName":"Review weekday_Sunday"},{"varName":"Review weekday_Thursday"},{"varName":"Review weekday_Tuesday"},{"varName":"Review weekday_Wednesday"}],"cat_cols":[]}</t>
  </si>
  <si>
    <t>Subset 20</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</si>
  <si>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Nr. reviews"},{"varName":"Nr. hotel reviews"},{"varName":"Nr. rooms"},{"varName":"Member years"},{"varName":"Period of stay_Jun-Aug"},{"varName":"Period of stay_Mar-May"},{"varName":"Period of stay_Sep-Nov"},{"varName":"Traveler type Other"},{"varName":"Traveler type Couples"},{"varName":"Tennis court_YES"},{"varName":"Hotel stars 3 and 3.5"},{"varName":"Hotel stars 4 and 4.5"},{"varName":"User continent Other"},{"varName":"User continent North America"},{"varName":"Review weekday_Friday"},{"varName":"Review weekday_Monday"},{"varName":"Review weekday_Sunday"},{"varName":"Review weekday_Thursday"},{"varName":"Review weekday_Tuesday"},{"varName":"Review weekday_Wednesday"}],"cat_cols":[]}</t>
  </si>
  <si>
    <t>Subset 21</t>
  </si>
  <si>
    <t>Sequential Replacement</t>
  </si>
  <si>
    <t>Date: 20-Nov-2020 18:10:27</t>
  </si>
  <si>
    <t>&lt;Timestamp&gt;2020-11-20 18:10:27&lt;/Timestamp&gt;</t>
  </si>
  <si>
    <t>&lt;DataDictionary numberOfFields="16"&gt;</t>
  </si>
  <si>
    <t>&lt;RegressionTable intercept="4.8863922766545986"&gt;</t>
  </si>
  <si>
    <t>&lt;NumericPredictor name="Nr. reviews" exponent="1" coefficient="0.0019848904698760062"/&gt;</t>
  </si>
  <si>
    <t>&lt;NumericPredictor name="Nr. hotel reviews" exponent="1" coefficient="-0.0043604681919453044"/&gt;</t>
  </si>
  <si>
    <t>&lt;NumericPredictor name="Nr. rooms" exponent="1" coefficient="-0.00015744692705646951"/&gt;</t>
  </si>
  <si>
    <t>&lt;NumericPredictor name="Period of stay_Mar-May" exponent="1" coefficient="-0.098257844014584858"/&gt;</t>
  </si>
  <si>
    <t>&lt;NumericPredictor name="Traveler type Other" exponent="1" coefficient="0.14652086258844774"/&gt;</t>
  </si>
  <si>
    <t>&lt;NumericPredictor name="Traveler type Couples" exponent="1" coefficient="0.35694106349728916"/&gt;</t>
  </si>
  <si>
    <t>&lt;NumericPredictor name="Tennis court_YES" exponent="1" coefficient="0.22727778531406542"/&gt;</t>
  </si>
  <si>
    <t>&lt;NumericPredictor name="Hotel stars 3 and 3.5" exponent="1" coefficient="-0.55349455098343459"/&gt;</t>
  </si>
  <si>
    <t>&lt;NumericPredictor name="Hotel stars 4 and 4.5" exponent="1" coefficient="-0.61553982323527523"/&gt;</t>
  </si>
  <si>
    <t>&lt;NumericPredictor name="User continent Other" exponent="1" coefficient="-0.21390551826157128"/&gt;</t>
  </si>
  <si>
    <t>&lt;NumericPredictor name="Review weekday_Monday" exponent="1" coefficient="-0.35807620566969628"/&gt;</t>
  </si>
  <si>
    <t>&lt;NumericPredictor name="Review weekday_Sunday" exponent="1" coefficient="-0.32671702221535931"/&gt;</t>
  </si>
  <si>
    <t>&lt;NumericPredictor name="Review weekday_Thursday" exponent="1" coefficient="-0.2639039426205525"/&gt;</t>
  </si>
  <si>
    <t>&lt;NumericPredictor name="Review weekday_Tuesday" exponent="1" coefficient="-0.4583953584104058"/&gt;</t>
  </si>
  <si>
    <t>&lt;NumericPredictor name="Review weekday_Wednesday" exponent="1" coefficient="-0.4232975631057338"/&gt;</t>
  </si>
  <si>
    <t>Date: 20-Nov-2020 18:37:00</t>
  </si>
  <si>
    <t>&lt;Timestamp&gt;2020-11-20 18:37:0&lt;/Timestamp&gt;</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</si>
  <si>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5,"fIn":3.8399999999999999,"fOut":2.71,"numSubsets":null,"maxSubsetSize":25},"varSelectionOnly":false,"weight_var":null,"input_cols":[{"varName":"Intercept"}],"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</si>
  <si>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5,"fIn":3.8399999999999999,"fOut":2.71,"numSubsets":null,"maxSubsetSize":25},"varSelectionOnly":false,"weight_var":null,"input_cols":[{"varName":"Intercept"},{"varName":"Traveler type Couples"}],"cat_cols":[]}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</si>
  <si>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5,"fIn":3.8399999999999999,"fOut":2.71,"numSubsets":null,"maxSubsetSize":25},"varSelectionOnly":false,"weight_var":null,"input_cols":[{"varName":"Intercept"},{"varName":"Traveler type Couples"},{"varName":"Hotel stars 4 and 4.5"}],"cat_cols":[]}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</si>
  <si>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5,"fIn":3.8399999999999999,"fOut":2.71,"numSubsets":null,"maxSubsetSize":25},"varSelectionOnly":false,"weight_var":null,"input_cols":[{"varName":"Intercept"},{"varName":"Traveler type Couples"},{"varName":"Hotel stars 3 and 3.5"},{"varName":"Hotel stars 4 and 4.5"}],"cat_cols":[]}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</si>
  <si>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5,"fIn":3.8399999999999999,"fOut":2.71,"numSubsets":null,"maxSubsetSize":25},"varSelectionOnly":false,"weight_var":null,"input_cols":[{"varName":"Intercept"},{"varName":"Nr. rooms"},{"varName":"Traveler type Couples"},{"varName":"Hotel stars 3 and 3.5"},{"varName":"Hotel stars 4 and 4.5"}],"cat_cols":[]}</t>
  </si>
  <si>
    <t>Stepwise Selection</t>
  </si>
  <si>
    <t>Date: 20-Nov-2020 18:39:19</t>
  </si>
  <si>
    <t>&lt;Timestamp&gt;2020-11-20 18:39:19&lt;/Timestamp&gt;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</si>
</sst>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11" x14ac:knownFonts="1">
    <font>
      <sz val="11"/>
      <color theme="1"/>
      <name val="Calibri"/>
      <family val="2"/>
      <scheme val="minor"/>
    </font>
    <font>
      <i/>
      <sz val="11"/>
      <color theme="1"/>
      <name val="Calibri"/>
      <family val="2"/>
      <scheme val="minor"/>
    </font>
    <font>
      <b/>
      <sz val="11"/>
      <color theme="0"/>
      <name val="Calibri"/>
      <family val="2"/>
      <scheme val="minor"/>
    </font>
    <font>
      <sz val="11"/>
      <color rgb="FFFF0000"/>
      <name val="Calibri"/>
      <family val="2"/>
      <scheme val="minor"/>
    </font>
    <font>
      <b/>
      <sz val="14"/>
      <color rgb="FF4169E1"/>
      <name val="Calibri"/>
      <family val="2"/>
      <scheme val="minor"/>
    </font>
    <font>
      <b/>
      <sz val="14"/>
      <name val="Calibri"/>
      <family val="2"/>
      <scheme val="minor"/>
    </font>
    <font>
      <b/>
      <sz val="12"/>
      <name val="Calibri"/>
      <family val="2"/>
      <scheme val="minor"/>
    </font>
    <font>
      <b/>
      <sz val="10"/>
      <color rgb="FF4169E1"/>
      <name val="Calibri"/>
      <family val="2"/>
      <scheme val="minor"/>
    </font>
    <font>
      <u/>
      <sz val="11"/>
      <color theme="10"/>
      <name val="Calibri"/>
      <family val="2"/>
      <scheme val="minor"/>
    </font>
    <font>
      <sz val="9"/>
      <color indexed="81"/>
      <name val="Tahoma"/>
      <family val="2"/>
    </font>
    <font>
      <b/>
      <sz val="9"/>
      <color indexed="81"/>
      <name val="Tahoma"/>
      <family val="2"/>
    </font>
  </fonts>
  <fills count="10">
    <fill>
      <patternFill patternType="none"/>
    </fill>
    <fill>
      <patternFill patternType="gray125"/>
    </fill>
    <fill>
      <patternFill patternType="solid">
        <fgColor rgb="FFD3D3D3"/>
        <bgColor indexed="64"/>
      </patternFill>
    </fill>
    <fill>
      <patternFill patternType="solid">
        <fgColor rgb="FFEBEBFA"/>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s>
  <borders count="13">
    <border>
      <left/>
      <right/>
      <top/>
      <bottom/>
      <diagonal/>
    </border>
    <border>
      <left/>
      <right/>
      <top/>
      <bottom style="medium">
        <color indexed="64"/>
      </bottom>
      <diagonal/>
    </border>
    <border>
      <left/>
      <right/>
      <top style="medium">
        <color indexed="64"/>
      </top>
      <bottom style="thin">
        <color indexed="64"/>
      </bottom>
      <diagonal/>
    </border>
    <border>
      <left style="thin">
        <color rgb="FF808080"/>
      </left>
      <right style="thin">
        <color rgb="FF808080"/>
      </right>
      <top style="thin">
        <color rgb="FF808080"/>
      </top>
      <bottom style="thin">
        <color rgb="FF808080"/>
      </bottom>
      <diagonal/>
    </border>
    <border>
      <left style="thin">
        <color rgb="FF808080"/>
      </left>
      <right/>
      <top style="thin">
        <color rgb="FF808080"/>
      </top>
      <bottom style="thin">
        <color rgb="FF808080"/>
      </bottom>
      <diagonal/>
    </border>
    <border>
      <left/>
      <right/>
      <top style="thin">
        <color rgb="FF808080"/>
      </top>
      <bottom style="thin">
        <color rgb="FF808080"/>
      </bottom>
      <diagonal/>
    </border>
    <border>
      <left/>
      <right style="thin">
        <color rgb="FF808080"/>
      </right>
      <top style="thin">
        <color rgb="FF808080"/>
      </top>
      <bottom style="thin">
        <color rgb="FF808080"/>
      </bottom>
      <diagonal/>
    </border>
    <border>
      <left style="thin">
        <color theme="0"/>
      </left>
      <right style="thin">
        <color theme="0"/>
      </right>
      <top/>
      <bottom style="thick">
        <color theme="0"/>
      </bottom>
      <diagonal/>
    </border>
    <border>
      <left style="thin">
        <color theme="0"/>
      </left>
      <right style="thin">
        <color theme="0"/>
      </right>
      <top style="thin">
        <color theme="0"/>
      </top>
      <bottom style="thin">
        <color theme="0"/>
      </bottom>
      <diagonal/>
    </border>
    <border>
      <left style="thin">
        <color rgb="FF808080"/>
      </left>
      <right/>
      <top style="thin">
        <color rgb="FF808080"/>
      </top>
      <bottom/>
      <diagonal/>
    </border>
    <border>
      <left/>
      <right/>
      <top style="thin">
        <color rgb="FF808080"/>
      </top>
      <bottom/>
      <diagonal/>
    </border>
    <border>
      <left/>
      <right style="thin">
        <color rgb="FF808080"/>
      </right>
      <top style="thin">
        <color rgb="FF808080"/>
      </top>
      <bottom/>
      <diagonal/>
    </border>
    <border>
      <left style="thin">
        <color theme="0"/>
      </left>
      <right style="thin">
        <color theme="0"/>
      </right>
      <top/>
      <bottom/>
      <diagonal/>
    </border>
  </borders>
  <cellStyleXfs count="2">
    <xf numFmtId="0" fontId="0" fillId="0" borderId="0"/>
    <xf numFmtId="0" fontId="8" fillId="0" borderId="0" applyNumberFormat="0" applyFill="0" applyBorder="0" applyAlignment="0" applyProtection="0"/>
  </cellStyleXfs>
  <cellXfs count="42">
    <xf numFmtId="0" fontId="0" fillId="0" borderId="0" xfId="0"/>
    <xf numFmtId="0" fontId="0" fillId="0" borderId="0" xfId="0" applyNumberFormat="1"/>
    <xf numFmtId="0" fontId="0" fillId="0" borderId="0" xfId="0" applyFill="1" applyBorder="1" applyAlignment="1"/>
    <xf numFmtId="0" fontId="0" fillId="0" borderId="1" xfId="0" applyFill="1" applyBorder="1" applyAlignment="1"/>
    <xf numFmtId="0" fontId="1" fillId="0" borderId="2" xfId="0" applyFont="1" applyFill="1" applyBorder="1" applyAlignment="1">
      <alignment horizontal="center"/>
    </xf>
    <xf numFmtId="0" fontId="0" fillId="0" borderId="0" xfId="0" quotePrefix="1"/>
    <xf numFmtId="0" fontId="4" fillId="0" borderId="0" xfId="0" applyFont="1" applyAlignment="1">
      <alignment horizontal="left"/>
    </xf>
    <xf numFmtId="0" fontId="5" fillId="0" borderId="0" xfId="0" applyFont="1" applyAlignment="1">
      <alignment horizontal="left"/>
    </xf>
    <xf numFmtId="0" fontId="0" fillId="0" borderId="0" xfId="0" applyAlignment="1">
      <alignment horizontal="right"/>
    </xf>
    <xf numFmtId="0" fontId="0" fillId="0" borderId="0" xfId="0" applyAlignment="1">
      <alignment horizontal="left"/>
    </xf>
    <xf numFmtId="0" fontId="0" fillId="0" borderId="3" xfId="0" applyFont="1" applyFill="1" applyBorder="1"/>
    <xf numFmtId="0" fontId="7" fillId="3" borderId="3" xfId="0" applyFont="1" applyFill="1" applyBorder="1" applyAlignment="1">
      <alignment horizontal="center"/>
    </xf>
    <xf numFmtId="164" fontId="0" fillId="0" borderId="0" xfId="0" applyNumberFormat="1"/>
    <xf numFmtId="0" fontId="6" fillId="2" borderId="4" xfId="0" applyFont="1" applyFill="1" applyBorder="1" applyAlignment="1">
      <alignment horizontal="left"/>
    </xf>
    <xf numFmtId="0" fontId="6" fillId="2" borderId="5" xfId="0" applyFont="1" applyFill="1" applyBorder="1" applyAlignment="1">
      <alignment horizontal="left"/>
    </xf>
    <xf numFmtId="0" fontId="6" fillId="2" borderId="6" xfId="0" applyFont="1" applyFill="1" applyBorder="1" applyAlignment="1">
      <alignment horizontal="left"/>
    </xf>
    <xf numFmtId="0" fontId="7" fillId="3" borderId="4" xfId="0" applyFont="1" applyFill="1" applyBorder="1" applyAlignment="1">
      <alignment horizontal="left"/>
    </xf>
    <xf numFmtId="0" fontId="7" fillId="3" borderId="5" xfId="0" applyFont="1" applyFill="1" applyBorder="1" applyAlignment="1">
      <alignment horizontal="left"/>
    </xf>
    <xf numFmtId="0" fontId="7" fillId="3" borderId="6" xfId="0" applyFont="1" applyFill="1" applyBorder="1" applyAlignment="1">
      <alignment horizontal="left"/>
    </xf>
    <xf numFmtId="0" fontId="0" fillId="0" borderId="4" xfId="0" applyFont="1" applyFill="1" applyBorder="1"/>
    <xf numFmtId="0" fontId="0" fillId="0" borderId="5" xfId="0" applyFont="1" applyFill="1" applyBorder="1"/>
    <xf numFmtId="0" fontId="0" fillId="0" borderId="6" xfId="0" applyFont="1" applyFill="1" applyBorder="1"/>
    <xf numFmtId="0" fontId="0" fillId="0" borderId="4" xfId="0" applyFont="1" applyFill="1" applyBorder="1" applyAlignment="1">
      <alignment horizontal="left"/>
    </xf>
    <xf numFmtId="0" fontId="0" fillId="0" borderId="5" xfId="0" applyFont="1" applyFill="1" applyBorder="1" applyAlignment="1">
      <alignment horizontal="left"/>
    </xf>
    <xf numFmtId="0" fontId="0" fillId="0" borderId="6" xfId="0" applyFont="1" applyFill="1" applyBorder="1" applyAlignment="1">
      <alignment horizontal="left"/>
    </xf>
    <xf numFmtId="0" fontId="8" fillId="0" borderId="4" xfId="1" applyFill="1" applyBorder="1"/>
    <xf numFmtId="0" fontId="3" fillId="0" borderId="0" xfId="0" applyFont="1" applyAlignment="1">
      <alignment horizontal="right"/>
    </xf>
    <xf numFmtId="0" fontId="3" fillId="0" borderId="0" xfId="0" applyFont="1" applyAlignment="1">
      <alignment horizontal="left"/>
    </xf>
    <xf numFmtId="0" fontId="8" fillId="0" borderId="0" xfId="1" applyAlignment="1">
      <alignment horizontal="left"/>
    </xf>
    <xf numFmtId="0" fontId="6" fillId="2" borderId="9" xfId="0" applyFont="1" applyFill="1" applyBorder="1" applyAlignment="1">
      <alignment horizontal="left"/>
    </xf>
    <xf numFmtId="0" fontId="6" fillId="2" borderId="10" xfId="0" applyFont="1" applyFill="1" applyBorder="1" applyAlignment="1">
      <alignment horizontal="left"/>
    </xf>
    <xf numFmtId="0" fontId="6" fillId="2" borderId="11" xfId="0" applyFont="1" applyFill="1" applyBorder="1" applyAlignment="1">
      <alignment horizontal="left"/>
    </xf>
    <xf numFmtId="0" fontId="0" fillId="7" borderId="0" xfId="0" applyFill="1" applyAlignment="1">
      <alignment horizontal="right"/>
    </xf>
    <xf numFmtId="0" fontId="0" fillId="7" borderId="0" xfId="0" applyFill="1"/>
    <xf numFmtId="0" fontId="0" fillId="0" borderId="0" xfId="0" applyAlignment="1">
      <alignment vertical="center" wrapText="1"/>
    </xf>
    <xf numFmtId="0" fontId="0" fillId="8" borderId="0" xfId="0" applyFill="1" applyAlignment="1">
      <alignment vertical="center" wrapText="1"/>
    </xf>
    <xf numFmtId="0" fontId="0" fillId="8" borderId="0" xfId="0" applyFill="1" applyAlignment="1">
      <alignment horizontal="center"/>
    </xf>
    <xf numFmtId="0" fontId="0" fillId="9" borderId="0" xfId="0" applyFill="1"/>
    <xf numFmtId="0" fontId="0" fillId="5" borderId="8" xfId="0" applyFont="1" applyFill="1" applyBorder="1" applyAlignment="1">
      <alignment horizontal="right"/>
    </xf>
    <xf numFmtId="0" fontId="0" fillId="6" borderId="8" xfId="0" applyFont="1" applyFill="1" applyBorder="1" applyAlignment="1">
      <alignment horizontal="right"/>
    </xf>
    <xf numFmtId="0" fontId="2" fillId="4" borderId="7" xfId="0" quotePrefix="1" applyFont="1" applyFill="1" applyBorder="1"/>
    <xf numFmtId="0" fontId="2" fillId="4" borderId="12" xfId="0" applyFont="1" applyFill="1" applyBorder="1"/>
  </cellXfs>
  <cellStyles count="2">
    <cellStyle name="Hyperlink" xfId="1" builtinId="8"/>
    <cellStyle name="Normal" xfId="0" builtinId="0"/>
  </cellStyles>
  <dxfs count="344">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border outline="0">
        <top style="thin">
          <color rgb="FF808080"/>
        </top>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border outline="0">
        <top style="thin">
          <color rgb="FF808080"/>
        </top>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border outline="0">
        <top style="thin">
          <color rgb="FF808080"/>
        </top>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border outline="0">
        <top style="thin">
          <color rgb="FF808080"/>
        </top>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border outline="0">
        <top style="thin">
          <color rgb="FF808080"/>
        </top>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border outline="0">
        <top style="thin">
          <color rgb="FF808080"/>
        </top>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border outline="0">
        <top style="thin">
          <color rgb="FF808080"/>
        </top>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border outline="0">
        <top style="thin">
          <color rgb="FF808080"/>
        </top>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onnections" Target="connections.xml"/><Relationship Id="rId50"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Prediction</a:t>
            </a:r>
            <a:r>
              <a:rPr lang="en-US" baseline="0"/>
              <a:t> vs Residual Disparity</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scatterChart>
        <c:scatterStyle val="lineMarker"/>
        <c:varyColors val="0"/>
        <c:ser>
          <c:idx val="0"/>
          <c:order val="0"/>
          <c:tx>
            <c:strRef>
              <c:f>'LinReg_Validation1FRS(Subset4'!$E$21</c:f>
              <c:strCache>
                <c:ptCount val="1"/>
                <c:pt idx="0">
                  <c:v>Prediction: Score</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trendline>
            <c:spPr>
              <a:ln w="19050" cap="rnd">
                <a:solidFill>
                  <a:schemeClr val="accent1"/>
                </a:solidFill>
                <a:prstDash val="sysDash"/>
              </a:ln>
              <a:effectLst/>
            </c:spPr>
            <c:trendlineType val="linear"/>
            <c:dispRSqr val="0"/>
            <c:dispEq val="0"/>
          </c:trendline>
          <c:xVal>
            <c:numRef>
              <c:f>'LinReg_Validation1FRS(Subset4'!$D$22:$D$114</c:f>
              <c:numCache>
                <c:formatCode>General</c:formatCode>
                <c:ptCount val="93"/>
                <c:pt idx="0">
                  <c:v>3</c:v>
                </c:pt>
                <c:pt idx="1">
                  <c:v>2</c:v>
                </c:pt>
                <c:pt idx="2">
                  <c:v>2</c:v>
                </c:pt>
                <c:pt idx="3">
                  <c:v>4</c:v>
                </c:pt>
                <c:pt idx="4">
                  <c:v>3</c:v>
                </c:pt>
                <c:pt idx="5">
                  <c:v>3</c:v>
                </c:pt>
                <c:pt idx="6">
                  <c:v>4</c:v>
                </c:pt>
                <c:pt idx="7">
                  <c:v>4</c:v>
                </c:pt>
                <c:pt idx="8">
                  <c:v>3</c:v>
                </c:pt>
                <c:pt idx="9">
                  <c:v>4</c:v>
                </c:pt>
                <c:pt idx="10">
                  <c:v>5</c:v>
                </c:pt>
                <c:pt idx="11">
                  <c:v>1</c:v>
                </c:pt>
                <c:pt idx="12">
                  <c:v>5</c:v>
                </c:pt>
                <c:pt idx="13">
                  <c:v>5</c:v>
                </c:pt>
                <c:pt idx="14">
                  <c:v>5</c:v>
                </c:pt>
                <c:pt idx="15">
                  <c:v>4</c:v>
                </c:pt>
                <c:pt idx="16">
                  <c:v>4</c:v>
                </c:pt>
                <c:pt idx="17">
                  <c:v>5</c:v>
                </c:pt>
                <c:pt idx="18">
                  <c:v>4</c:v>
                </c:pt>
                <c:pt idx="19">
                  <c:v>5</c:v>
                </c:pt>
                <c:pt idx="20">
                  <c:v>1</c:v>
                </c:pt>
                <c:pt idx="21">
                  <c:v>4</c:v>
                </c:pt>
                <c:pt idx="22">
                  <c:v>5</c:v>
                </c:pt>
                <c:pt idx="23">
                  <c:v>4</c:v>
                </c:pt>
                <c:pt idx="24">
                  <c:v>4</c:v>
                </c:pt>
                <c:pt idx="25">
                  <c:v>5</c:v>
                </c:pt>
                <c:pt idx="26">
                  <c:v>5</c:v>
                </c:pt>
                <c:pt idx="27">
                  <c:v>3</c:v>
                </c:pt>
                <c:pt idx="28">
                  <c:v>5</c:v>
                </c:pt>
                <c:pt idx="29">
                  <c:v>3</c:v>
                </c:pt>
                <c:pt idx="30">
                  <c:v>5</c:v>
                </c:pt>
                <c:pt idx="31">
                  <c:v>5</c:v>
                </c:pt>
                <c:pt idx="32">
                  <c:v>5</c:v>
                </c:pt>
                <c:pt idx="33">
                  <c:v>4</c:v>
                </c:pt>
                <c:pt idx="34">
                  <c:v>4</c:v>
                </c:pt>
                <c:pt idx="35">
                  <c:v>5</c:v>
                </c:pt>
                <c:pt idx="36">
                  <c:v>5</c:v>
                </c:pt>
                <c:pt idx="37">
                  <c:v>3</c:v>
                </c:pt>
                <c:pt idx="38">
                  <c:v>5</c:v>
                </c:pt>
                <c:pt idx="39">
                  <c:v>4</c:v>
                </c:pt>
                <c:pt idx="40">
                  <c:v>4</c:v>
                </c:pt>
                <c:pt idx="41">
                  <c:v>5</c:v>
                </c:pt>
                <c:pt idx="42">
                  <c:v>5</c:v>
                </c:pt>
                <c:pt idx="43">
                  <c:v>5</c:v>
                </c:pt>
                <c:pt idx="44">
                  <c:v>5</c:v>
                </c:pt>
                <c:pt idx="45">
                  <c:v>5</c:v>
                </c:pt>
                <c:pt idx="46">
                  <c:v>5</c:v>
                </c:pt>
                <c:pt idx="47">
                  <c:v>5</c:v>
                </c:pt>
                <c:pt idx="48">
                  <c:v>5</c:v>
                </c:pt>
                <c:pt idx="49">
                  <c:v>4</c:v>
                </c:pt>
                <c:pt idx="50">
                  <c:v>4</c:v>
                </c:pt>
                <c:pt idx="51">
                  <c:v>4</c:v>
                </c:pt>
                <c:pt idx="52">
                  <c:v>5</c:v>
                </c:pt>
                <c:pt idx="53">
                  <c:v>3</c:v>
                </c:pt>
                <c:pt idx="54">
                  <c:v>5</c:v>
                </c:pt>
                <c:pt idx="55">
                  <c:v>3</c:v>
                </c:pt>
                <c:pt idx="56">
                  <c:v>4</c:v>
                </c:pt>
                <c:pt idx="57">
                  <c:v>4</c:v>
                </c:pt>
                <c:pt idx="58">
                  <c:v>5</c:v>
                </c:pt>
                <c:pt idx="59">
                  <c:v>5</c:v>
                </c:pt>
                <c:pt idx="60">
                  <c:v>4</c:v>
                </c:pt>
                <c:pt idx="61">
                  <c:v>5</c:v>
                </c:pt>
                <c:pt idx="62">
                  <c:v>3</c:v>
                </c:pt>
                <c:pt idx="63">
                  <c:v>3</c:v>
                </c:pt>
                <c:pt idx="64">
                  <c:v>5</c:v>
                </c:pt>
                <c:pt idx="65">
                  <c:v>4</c:v>
                </c:pt>
                <c:pt idx="66">
                  <c:v>5</c:v>
                </c:pt>
                <c:pt idx="67">
                  <c:v>4</c:v>
                </c:pt>
                <c:pt idx="68">
                  <c:v>2</c:v>
                </c:pt>
                <c:pt idx="69">
                  <c:v>5</c:v>
                </c:pt>
                <c:pt idx="70">
                  <c:v>2</c:v>
                </c:pt>
                <c:pt idx="71">
                  <c:v>5</c:v>
                </c:pt>
                <c:pt idx="72">
                  <c:v>4</c:v>
                </c:pt>
                <c:pt idx="73">
                  <c:v>5</c:v>
                </c:pt>
                <c:pt idx="74">
                  <c:v>5</c:v>
                </c:pt>
                <c:pt idx="75">
                  <c:v>5</c:v>
                </c:pt>
                <c:pt idx="76">
                  <c:v>2</c:v>
                </c:pt>
                <c:pt idx="77">
                  <c:v>3</c:v>
                </c:pt>
                <c:pt idx="78">
                  <c:v>5</c:v>
                </c:pt>
                <c:pt idx="79">
                  <c:v>5</c:v>
                </c:pt>
                <c:pt idx="80">
                  <c:v>3</c:v>
                </c:pt>
                <c:pt idx="81">
                  <c:v>3</c:v>
                </c:pt>
                <c:pt idx="82">
                  <c:v>3</c:v>
                </c:pt>
                <c:pt idx="83">
                  <c:v>5</c:v>
                </c:pt>
                <c:pt idx="84">
                  <c:v>5</c:v>
                </c:pt>
                <c:pt idx="85">
                  <c:v>5</c:v>
                </c:pt>
                <c:pt idx="86">
                  <c:v>5</c:v>
                </c:pt>
                <c:pt idx="87">
                  <c:v>5</c:v>
                </c:pt>
                <c:pt idx="88">
                  <c:v>5</c:v>
                </c:pt>
                <c:pt idx="89">
                  <c:v>5</c:v>
                </c:pt>
                <c:pt idx="90">
                  <c:v>5</c:v>
                </c:pt>
                <c:pt idx="91">
                  <c:v>5</c:v>
                </c:pt>
                <c:pt idx="92">
                  <c:v>4</c:v>
                </c:pt>
              </c:numCache>
            </c:numRef>
          </c:xVal>
          <c:yVal>
            <c:numRef>
              <c:f>'LinReg_Validation1FRS(Subset4'!$E$22:$E$114</c:f>
              <c:numCache>
                <c:formatCode>General</c:formatCode>
                <c:ptCount val="93"/>
                <c:pt idx="0">
                  <c:v>3.9229841224884687</c:v>
                </c:pt>
                <c:pt idx="1">
                  <c:v>3.6465451021461277</c:v>
                </c:pt>
                <c:pt idx="2">
                  <c:v>3.8731365865785259</c:v>
                </c:pt>
                <c:pt idx="3">
                  <c:v>4.0190648136685754</c:v>
                </c:pt>
                <c:pt idx="4">
                  <c:v>4.4745163963699079</c:v>
                </c:pt>
                <c:pt idx="5">
                  <c:v>4.0816837033601443</c:v>
                </c:pt>
                <c:pt idx="6">
                  <c:v>3.9182634665627933</c:v>
                </c:pt>
                <c:pt idx="7">
                  <c:v>4.2860625221595656</c:v>
                </c:pt>
                <c:pt idx="8">
                  <c:v>4.0190648136685754</c:v>
                </c:pt>
                <c:pt idx="9">
                  <c:v>4.0816837033601443</c:v>
                </c:pt>
                <c:pt idx="10">
                  <c:v>4.0295387690036666</c:v>
                </c:pt>
                <c:pt idx="11">
                  <c:v>4.1320206676972626</c:v>
                </c:pt>
                <c:pt idx="12">
                  <c:v>4.1679831945013897</c:v>
                </c:pt>
                <c:pt idx="13">
                  <c:v>4.2779488947873121</c:v>
                </c:pt>
                <c:pt idx="14">
                  <c:v>4.4727605427027788</c:v>
                </c:pt>
                <c:pt idx="15">
                  <c:v>4.2253686680978761</c:v>
                </c:pt>
                <c:pt idx="16">
                  <c:v>4.2860625221595656</c:v>
                </c:pt>
                <c:pt idx="17">
                  <c:v>4.3206993842265833</c:v>
                </c:pt>
                <c:pt idx="18">
                  <c:v>3.6465451021461277</c:v>
                </c:pt>
                <c:pt idx="19">
                  <c:v>4.4842527492166129</c:v>
                </c:pt>
                <c:pt idx="20">
                  <c:v>4.1679831945013897</c:v>
                </c:pt>
                <c:pt idx="21">
                  <c:v>3.6465451021461277</c:v>
                </c:pt>
                <c:pt idx="22">
                  <c:v>4.0886944885722807</c:v>
                </c:pt>
                <c:pt idx="23">
                  <c:v>3.8731365865785259</c:v>
                </c:pt>
                <c:pt idx="24">
                  <c:v>3.954008274192867</c:v>
                </c:pt>
                <c:pt idx="25">
                  <c:v>4.4268672756201264</c:v>
                </c:pt>
                <c:pt idx="26">
                  <c:v>4.0816837033601443</c:v>
                </c:pt>
                <c:pt idx="27">
                  <c:v>4.3267008576972108</c:v>
                </c:pt>
                <c:pt idx="28">
                  <c:v>4.0271784410408289</c:v>
                </c:pt>
                <c:pt idx="29">
                  <c:v>3.5478843440871439</c:v>
                </c:pt>
                <c:pt idx="30">
                  <c:v>3.954008274192867</c:v>
                </c:pt>
                <c:pt idx="31">
                  <c:v>4.6207092095681537</c:v>
                </c:pt>
                <c:pt idx="32">
                  <c:v>4.0190648136685754</c:v>
                </c:pt>
                <c:pt idx="33">
                  <c:v>4.0271784410408289</c:v>
                </c:pt>
                <c:pt idx="34">
                  <c:v>4.4745163963699079</c:v>
                </c:pt>
                <c:pt idx="35">
                  <c:v>4.3618251284494169</c:v>
                </c:pt>
                <c:pt idx="36">
                  <c:v>4.2253686680978761</c:v>
                </c:pt>
                <c:pt idx="37">
                  <c:v>4.2156323152511712</c:v>
                </c:pt>
                <c:pt idx="38">
                  <c:v>4.2884228501224033</c:v>
                </c:pt>
                <c:pt idx="39">
                  <c:v>4.3267008576972108</c:v>
                </c:pt>
                <c:pt idx="40">
                  <c:v>3.8731365865785259</c:v>
                </c:pt>
                <c:pt idx="41">
                  <c:v>4.2635764769963078</c:v>
                </c:pt>
                <c:pt idx="42">
                  <c:v>4.4842527492166129</c:v>
                </c:pt>
                <c:pt idx="43">
                  <c:v>4.3267008576972108</c:v>
                </c:pt>
                <c:pt idx="44">
                  <c:v>4.5224605581150445</c:v>
                </c:pt>
                <c:pt idx="45">
                  <c:v>4.5224605581150445</c:v>
                </c:pt>
                <c:pt idx="46">
                  <c:v>4.1679831945013897</c:v>
                </c:pt>
                <c:pt idx="47">
                  <c:v>4.7316446238215155</c:v>
                </c:pt>
                <c:pt idx="48">
                  <c:v>3.664100041369732</c:v>
                </c:pt>
                <c:pt idx="49">
                  <c:v>3.6593793854440566</c:v>
                </c:pt>
                <c:pt idx="50">
                  <c:v>4.2265813067084395</c:v>
                </c:pt>
                <c:pt idx="51">
                  <c:v>4.0271784410408289</c:v>
                </c:pt>
                <c:pt idx="52">
                  <c:v>4.6207092095681537</c:v>
                </c:pt>
                <c:pt idx="53">
                  <c:v>4.0271784410408289</c:v>
                </c:pt>
                <c:pt idx="54">
                  <c:v>3.9054291832648644</c:v>
                </c:pt>
                <c:pt idx="55">
                  <c:v>3.6593793854440566</c:v>
                </c:pt>
                <c:pt idx="56">
                  <c:v>4.0618153031078466</c:v>
                </c:pt>
                <c:pt idx="57">
                  <c:v>4.0190648136685754</c:v>
                </c:pt>
                <c:pt idx="58">
                  <c:v>4.6207092095681537</c:v>
                </c:pt>
                <c:pt idx="59">
                  <c:v>4.7316446238215155</c:v>
                </c:pt>
                <c:pt idx="60">
                  <c:v>4.5224605581150445</c:v>
                </c:pt>
                <c:pt idx="61">
                  <c:v>4.0271784410408289</c:v>
                </c:pt>
                <c:pt idx="62">
                  <c:v>3.9229841224884687</c:v>
                </c:pt>
                <c:pt idx="63">
                  <c:v>4.0190648136685754</c:v>
                </c:pt>
                <c:pt idx="64">
                  <c:v>3.9676972255897027</c:v>
                </c:pt>
                <c:pt idx="65">
                  <c:v>4.4727605427027788</c:v>
                </c:pt>
                <c:pt idx="66">
                  <c:v>4.0678167765784741</c:v>
                </c:pt>
                <c:pt idx="67">
                  <c:v>3.5478843440871439</c:v>
                </c:pt>
                <c:pt idx="68">
                  <c:v>3.9676972255897027</c:v>
                </c:pt>
                <c:pt idx="69">
                  <c:v>4.2253686680978761</c:v>
                </c:pt>
                <c:pt idx="70">
                  <c:v>3.837452688722768</c:v>
                </c:pt>
                <c:pt idx="71">
                  <c:v>4.4727605427027788</c:v>
                </c:pt>
                <c:pt idx="72">
                  <c:v>3.9229841224884687</c:v>
                </c:pt>
                <c:pt idx="73">
                  <c:v>4.3206993842265833</c:v>
                </c:pt>
                <c:pt idx="74">
                  <c:v>4.7316446238215155</c:v>
                </c:pt>
                <c:pt idx="75">
                  <c:v>4.2156323152511712</c:v>
                </c:pt>
                <c:pt idx="76">
                  <c:v>3.9054291832648644</c:v>
                </c:pt>
                <c:pt idx="77">
                  <c:v>4.2265813067084395</c:v>
                </c:pt>
                <c:pt idx="78">
                  <c:v>4.0271784410408289</c:v>
                </c:pt>
                <c:pt idx="79">
                  <c:v>4.0618153031078466</c:v>
                </c:pt>
                <c:pt idx="80">
                  <c:v>3.8067684252058807</c:v>
                </c:pt>
                <c:pt idx="81">
                  <c:v>4.0295387690036666</c:v>
                </c:pt>
                <c:pt idx="82">
                  <c:v>4.0886944885722807</c:v>
                </c:pt>
                <c:pt idx="83">
                  <c:v>4.0678167765784741</c:v>
                </c:pt>
                <c:pt idx="84">
                  <c:v>4.6207092095681537</c:v>
                </c:pt>
                <c:pt idx="85">
                  <c:v>4.3267008576972108</c:v>
                </c:pt>
                <c:pt idx="86">
                  <c:v>3.8067684252058807</c:v>
                </c:pt>
                <c:pt idx="87">
                  <c:v>4.5224605581150445</c:v>
                </c:pt>
                <c:pt idx="88">
                  <c:v>4.1320206676972626</c:v>
                </c:pt>
                <c:pt idx="89">
                  <c:v>3.8731365865785259</c:v>
                </c:pt>
                <c:pt idx="90">
                  <c:v>4.0886944885722807</c:v>
                </c:pt>
                <c:pt idx="91">
                  <c:v>4.3618251284494169</c:v>
                </c:pt>
                <c:pt idx="92">
                  <c:v>4.2128923553116042</c:v>
                </c:pt>
              </c:numCache>
            </c:numRef>
          </c:yVal>
          <c:smooth val="0"/>
          <c:extLst>
            <c:ext xmlns:c16="http://schemas.microsoft.com/office/drawing/2014/chart" uri="{C3380CC4-5D6E-409C-BE32-E72D297353CC}">
              <c16:uniqueId val="{00000000-34AF-4F75-B98C-1AEEFFCE1584}"/>
            </c:ext>
          </c:extLst>
        </c:ser>
        <c:ser>
          <c:idx val="1"/>
          <c:order val="1"/>
          <c:tx>
            <c:strRef>
              <c:f>'LinReg_Validation1FRS(Subset4'!$F$21</c:f>
              <c:strCache>
                <c:ptCount val="1"/>
                <c:pt idx="0">
                  <c:v>Residual</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cap="rnd">
                <a:solidFill>
                  <a:schemeClr val="accent2"/>
                </a:solidFill>
                <a:round/>
              </a:ln>
              <a:effectLst>
                <a:outerShdw blurRad="57150" dist="19050" dir="5400000" algn="ctr" rotWithShape="0">
                  <a:srgbClr val="000000">
                    <a:alpha val="63000"/>
                  </a:srgbClr>
                </a:outerShdw>
              </a:effectLst>
            </c:spPr>
          </c:marker>
          <c:xVal>
            <c:numRef>
              <c:f>'LinReg_Validation1FRS(Subset4'!$D$22:$D$114</c:f>
              <c:numCache>
                <c:formatCode>General</c:formatCode>
                <c:ptCount val="93"/>
                <c:pt idx="0">
                  <c:v>3</c:v>
                </c:pt>
                <c:pt idx="1">
                  <c:v>2</c:v>
                </c:pt>
                <c:pt idx="2">
                  <c:v>2</c:v>
                </c:pt>
                <c:pt idx="3">
                  <c:v>4</c:v>
                </c:pt>
                <c:pt idx="4">
                  <c:v>3</c:v>
                </c:pt>
                <c:pt idx="5">
                  <c:v>3</c:v>
                </c:pt>
                <c:pt idx="6">
                  <c:v>4</c:v>
                </c:pt>
                <c:pt idx="7">
                  <c:v>4</c:v>
                </c:pt>
                <c:pt idx="8">
                  <c:v>3</c:v>
                </c:pt>
                <c:pt idx="9">
                  <c:v>4</c:v>
                </c:pt>
                <c:pt idx="10">
                  <c:v>5</c:v>
                </c:pt>
                <c:pt idx="11">
                  <c:v>1</c:v>
                </c:pt>
                <c:pt idx="12">
                  <c:v>5</c:v>
                </c:pt>
                <c:pt idx="13">
                  <c:v>5</c:v>
                </c:pt>
                <c:pt idx="14">
                  <c:v>5</c:v>
                </c:pt>
                <c:pt idx="15">
                  <c:v>4</c:v>
                </c:pt>
                <c:pt idx="16">
                  <c:v>4</c:v>
                </c:pt>
                <c:pt idx="17">
                  <c:v>5</c:v>
                </c:pt>
                <c:pt idx="18">
                  <c:v>4</c:v>
                </c:pt>
                <c:pt idx="19">
                  <c:v>5</c:v>
                </c:pt>
                <c:pt idx="20">
                  <c:v>1</c:v>
                </c:pt>
                <c:pt idx="21">
                  <c:v>4</c:v>
                </c:pt>
                <c:pt idx="22">
                  <c:v>5</c:v>
                </c:pt>
                <c:pt idx="23">
                  <c:v>4</c:v>
                </c:pt>
                <c:pt idx="24">
                  <c:v>4</c:v>
                </c:pt>
                <c:pt idx="25">
                  <c:v>5</c:v>
                </c:pt>
                <c:pt idx="26">
                  <c:v>5</c:v>
                </c:pt>
                <c:pt idx="27">
                  <c:v>3</c:v>
                </c:pt>
                <c:pt idx="28">
                  <c:v>5</c:v>
                </c:pt>
                <c:pt idx="29">
                  <c:v>3</c:v>
                </c:pt>
                <c:pt idx="30">
                  <c:v>5</c:v>
                </c:pt>
                <c:pt idx="31">
                  <c:v>5</c:v>
                </c:pt>
                <c:pt idx="32">
                  <c:v>5</c:v>
                </c:pt>
                <c:pt idx="33">
                  <c:v>4</c:v>
                </c:pt>
                <c:pt idx="34">
                  <c:v>4</c:v>
                </c:pt>
                <c:pt idx="35">
                  <c:v>5</c:v>
                </c:pt>
                <c:pt idx="36">
                  <c:v>5</c:v>
                </c:pt>
                <c:pt idx="37">
                  <c:v>3</c:v>
                </c:pt>
                <c:pt idx="38">
                  <c:v>5</c:v>
                </c:pt>
                <c:pt idx="39">
                  <c:v>4</c:v>
                </c:pt>
                <c:pt idx="40">
                  <c:v>4</c:v>
                </c:pt>
                <c:pt idx="41">
                  <c:v>5</c:v>
                </c:pt>
                <c:pt idx="42">
                  <c:v>5</c:v>
                </c:pt>
                <c:pt idx="43">
                  <c:v>5</c:v>
                </c:pt>
                <c:pt idx="44">
                  <c:v>5</c:v>
                </c:pt>
                <c:pt idx="45">
                  <c:v>5</c:v>
                </c:pt>
                <c:pt idx="46">
                  <c:v>5</c:v>
                </c:pt>
                <c:pt idx="47">
                  <c:v>5</c:v>
                </c:pt>
                <c:pt idx="48">
                  <c:v>5</c:v>
                </c:pt>
                <c:pt idx="49">
                  <c:v>4</c:v>
                </c:pt>
                <c:pt idx="50">
                  <c:v>4</c:v>
                </c:pt>
                <c:pt idx="51">
                  <c:v>4</c:v>
                </c:pt>
                <c:pt idx="52">
                  <c:v>5</c:v>
                </c:pt>
                <c:pt idx="53">
                  <c:v>3</c:v>
                </c:pt>
                <c:pt idx="54">
                  <c:v>5</c:v>
                </c:pt>
                <c:pt idx="55">
                  <c:v>3</c:v>
                </c:pt>
                <c:pt idx="56">
                  <c:v>4</c:v>
                </c:pt>
                <c:pt idx="57">
                  <c:v>4</c:v>
                </c:pt>
                <c:pt idx="58">
                  <c:v>5</c:v>
                </c:pt>
                <c:pt idx="59">
                  <c:v>5</c:v>
                </c:pt>
                <c:pt idx="60">
                  <c:v>4</c:v>
                </c:pt>
                <c:pt idx="61">
                  <c:v>5</c:v>
                </c:pt>
                <c:pt idx="62">
                  <c:v>3</c:v>
                </c:pt>
                <c:pt idx="63">
                  <c:v>3</c:v>
                </c:pt>
                <c:pt idx="64">
                  <c:v>5</c:v>
                </c:pt>
                <c:pt idx="65">
                  <c:v>4</c:v>
                </c:pt>
                <c:pt idx="66">
                  <c:v>5</c:v>
                </c:pt>
                <c:pt idx="67">
                  <c:v>4</c:v>
                </c:pt>
                <c:pt idx="68">
                  <c:v>2</c:v>
                </c:pt>
                <c:pt idx="69">
                  <c:v>5</c:v>
                </c:pt>
                <c:pt idx="70">
                  <c:v>2</c:v>
                </c:pt>
                <c:pt idx="71">
                  <c:v>5</c:v>
                </c:pt>
                <c:pt idx="72">
                  <c:v>4</c:v>
                </c:pt>
                <c:pt idx="73">
                  <c:v>5</c:v>
                </c:pt>
                <c:pt idx="74">
                  <c:v>5</c:v>
                </c:pt>
                <c:pt idx="75">
                  <c:v>5</c:v>
                </c:pt>
                <c:pt idx="76">
                  <c:v>2</c:v>
                </c:pt>
                <c:pt idx="77">
                  <c:v>3</c:v>
                </c:pt>
                <c:pt idx="78">
                  <c:v>5</c:v>
                </c:pt>
                <c:pt idx="79">
                  <c:v>5</c:v>
                </c:pt>
                <c:pt idx="80">
                  <c:v>3</c:v>
                </c:pt>
                <c:pt idx="81">
                  <c:v>3</c:v>
                </c:pt>
                <c:pt idx="82">
                  <c:v>3</c:v>
                </c:pt>
                <c:pt idx="83">
                  <c:v>5</c:v>
                </c:pt>
                <c:pt idx="84">
                  <c:v>5</c:v>
                </c:pt>
                <c:pt idx="85">
                  <c:v>5</c:v>
                </c:pt>
                <c:pt idx="86">
                  <c:v>5</c:v>
                </c:pt>
                <c:pt idx="87">
                  <c:v>5</c:v>
                </c:pt>
                <c:pt idx="88">
                  <c:v>5</c:v>
                </c:pt>
                <c:pt idx="89">
                  <c:v>5</c:v>
                </c:pt>
                <c:pt idx="90">
                  <c:v>5</c:v>
                </c:pt>
                <c:pt idx="91">
                  <c:v>5</c:v>
                </c:pt>
                <c:pt idx="92">
                  <c:v>4</c:v>
                </c:pt>
              </c:numCache>
            </c:numRef>
          </c:xVal>
          <c:yVal>
            <c:numRef>
              <c:f>'LinReg_Validation1FRS(Subset4'!$F$22:$F$114</c:f>
              <c:numCache>
                <c:formatCode>General</c:formatCode>
                <c:ptCount val="93"/>
                <c:pt idx="0">
                  <c:v>-0.92298412248846873</c:v>
                </c:pt>
                <c:pt idx="1">
                  <c:v>-1.6465451021461277</c:v>
                </c:pt>
                <c:pt idx="2">
                  <c:v>-1.8731365865785259</c:v>
                </c:pt>
                <c:pt idx="3">
                  <c:v>-1.9064813668575376E-2</c:v>
                </c:pt>
                <c:pt idx="4">
                  <c:v>-1.4745163963699079</c:v>
                </c:pt>
                <c:pt idx="5">
                  <c:v>-1.0816837033601443</c:v>
                </c:pt>
                <c:pt idx="6">
                  <c:v>8.173653343720666E-2</c:v>
                </c:pt>
                <c:pt idx="7">
                  <c:v>-0.28606252215956562</c:v>
                </c:pt>
                <c:pt idx="8">
                  <c:v>-1.0190648136685754</c:v>
                </c:pt>
                <c:pt idx="9">
                  <c:v>-8.16837033601443E-2</c:v>
                </c:pt>
                <c:pt idx="10">
                  <c:v>0.97046123099633341</c:v>
                </c:pt>
                <c:pt idx="11">
                  <c:v>-3.1320206676972626</c:v>
                </c:pt>
                <c:pt idx="12">
                  <c:v>0.83201680549861035</c:v>
                </c:pt>
                <c:pt idx="13">
                  <c:v>0.72205110521268789</c:v>
                </c:pt>
                <c:pt idx="14">
                  <c:v>0.52723945729722121</c:v>
                </c:pt>
                <c:pt idx="15">
                  <c:v>-0.22536866809787615</c:v>
                </c:pt>
                <c:pt idx="16">
                  <c:v>-0.28606252215956562</c:v>
                </c:pt>
                <c:pt idx="17">
                  <c:v>0.67930061577341672</c:v>
                </c:pt>
                <c:pt idx="18">
                  <c:v>0.3534548978538723</c:v>
                </c:pt>
                <c:pt idx="19">
                  <c:v>0.51574725078338712</c:v>
                </c:pt>
                <c:pt idx="20">
                  <c:v>-3.1679831945013897</c:v>
                </c:pt>
                <c:pt idx="21">
                  <c:v>0.3534548978538723</c:v>
                </c:pt>
                <c:pt idx="22">
                  <c:v>0.91130551142771932</c:v>
                </c:pt>
                <c:pt idx="23">
                  <c:v>0.12686341342147411</c:v>
                </c:pt>
                <c:pt idx="24">
                  <c:v>4.5991725807132955E-2</c:v>
                </c:pt>
                <c:pt idx="25">
                  <c:v>0.57313272437987361</c:v>
                </c:pt>
                <c:pt idx="26">
                  <c:v>0.9183162966398557</c:v>
                </c:pt>
                <c:pt idx="27">
                  <c:v>-1.3267008576972108</c:v>
                </c:pt>
                <c:pt idx="28">
                  <c:v>0.97282155895917111</c:v>
                </c:pt>
                <c:pt idx="29">
                  <c:v>-0.54788434408714393</c:v>
                </c:pt>
                <c:pt idx="30">
                  <c:v>1.045991725807133</c:v>
                </c:pt>
                <c:pt idx="31">
                  <c:v>0.37929079043184633</c:v>
                </c:pt>
                <c:pt idx="32">
                  <c:v>0.98093518633142462</c:v>
                </c:pt>
                <c:pt idx="33">
                  <c:v>-2.7178441040828893E-2</c:v>
                </c:pt>
                <c:pt idx="34">
                  <c:v>-0.47451639636990794</c:v>
                </c:pt>
                <c:pt idx="35">
                  <c:v>0.63817487155058306</c:v>
                </c:pt>
                <c:pt idx="36">
                  <c:v>0.77463133190212385</c:v>
                </c:pt>
                <c:pt idx="37">
                  <c:v>-1.2156323152511712</c:v>
                </c:pt>
                <c:pt idx="38">
                  <c:v>0.71157714987759668</c:v>
                </c:pt>
                <c:pt idx="39">
                  <c:v>-0.3267008576972108</c:v>
                </c:pt>
                <c:pt idx="40">
                  <c:v>0.12686341342147411</c:v>
                </c:pt>
                <c:pt idx="41">
                  <c:v>0.73642352300369218</c:v>
                </c:pt>
                <c:pt idx="42">
                  <c:v>0.51574725078338712</c:v>
                </c:pt>
                <c:pt idx="43">
                  <c:v>0.6732991423027892</c:v>
                </c:pt>
                <c:pt idx="44">
                  <c:v>0.47753944188495545</c:v>
                </c:pt>
                <c:pt idx="45">
                  <c:v>0.47753944188495545</c:v>
                </c:pt>
                <c:pt idx="46">
                  <c:v>0.83201680549861035</c:v>
                </c:pt>
                <c:pt idx="47">
                  <c:v>0.26835537617848448</c:v>
                </c:pt>
                <c:pt idx="48">
                  <c:v>1.335899958630268</c:v>
                </c:pt>
                <c:pt idx="49">
                  <c:v>0.34062061455594339</c:v>
                </c:pt>
                <c:pt idx="50">
                  <c:v>-0.22658130670843946</c:v>
                </c:pt>
                <c:pt idx="51">
                  <c:v>-2.7178441040828893E-2</c:v>
                </c:pt>
                <c:pt idx="52">
                  <c:v>0.37929079043184633</c:v>
                </c:pt>
                <c:pt idx="53">
                  <c:v>-1.0271784410408289</c:v>
                </c:pt>
                <c:pt idx="54">
                  <c:v>1.0945708167351356</c:v>
                </c:pt>
                <c:pt idx="55">
                  <c:v>-0.65937938544405661</c:v>
                </c:pt>
                <c:pt idx="56">
                  <c:v>-6.1815303107846553E-2</c:v>
                </c:pt>
                <c:pt idx="57">
                  <c:v>-1.9064813668575376E-2</c:v>
                </c:pt>
                <c:pt idx="58">
                  <c:v>0.37929079043184633</c:v>
                </c:pt>
                <c:pt idx="59">
                  <c:v>0.26835537617848448</c:v>
                </c:pt>
                <c:pt idx="60">
                  <c:v>-0.52246055811504455</c:v>
                </c:pt>
                <c:pt idx="61">
                  <c:v>0.97282155895917111</c:v>
                </c:pt>
                <c:pt idx="62">
                  <c:v>-0.92298412248846873</c:v>
                </c:pt>
                <c:pt idx="63">
                  <c:v>-1.0190648136685754</c:v>
                </c:pt>
                <c:pt idx="64">
                  <c:v>1.0323027744102973</c:v>
                </c:pt>
                <c:pt idx="65">
                  <c:v>-0.47276054270277879</c:v>
                </c:pt>
                <c:pt idx="66">
                  <c:v>0.93218322342152593</c:v>
                </c:pt>
                <c:pt idx="67">
                  <c:v>0.45211565591285607</c:v>
                </c:pt>
                <c:pt idx="68">
                  <c:v>-1.9676972255897027</c:v>
                </c:pt>
                <c:pt idx="69">
                  <c:v>0.77463133190212385</c:v>
                </c:pt>
                <c:pt idx="70">
                  <c:v>-1.837452688722768</c:v>
                </c:pt>
                <c:pt idx="71">
                  <c:v>0.52723945729722121</c:v>
                </c:pt>
                <c:pt idx="72">
                  <c:v>7.7015877511531272E-2</c:v>
                </c:pt>
                <c:pt idx="73">
                  <c:v>0.67930061577341672</c:v>
                </c:pt>
                <c:pt idx="74">
                  <c:v>0.26835537617848448</c:v>
                </c:pt>
                <c:pt idx="75">
                  <c:v>0.78436768474882879</c:v>
                </c:pt>
                <c:pt idx="76">
                  <c:v>-1.9054291832648644</c:v>
                </c:pt>
                <c:pt idx="77">
                  <c:v>-1.2265813067084395</c:v>
                </c:pt>
                <c:pt idx="78">
                  <c:v>0.97282155895917111</c:v>
                </c:pt>
                <c:pt idx="79">
                  <c:v>0.93818469689215345</c:v>
                </c:pt>
                <c:pt idx="80">
                  <c:v>-0.80676842520588066</c:v>
                </c:pt>
                <c:pt idx="81">
                  <c:v>-1.0295387690036666</c:v>
                </c:pt>
                <c:pt idx="82">
                  <c:v>-1.0886944885722807</c:v>
                </c:pt>
                <c:pt idx="83">
                  <c:v>0.93218322342152593</c:v>
                </c:pt>
                <c:pt idx="84">
                  <c:v>0.37929079043184633</c:v>
                </c:pt>
                <c:pt idx="85">
                  <c:v>0.6732991423027892</c:v>
                </c:pt>
                <c:pt idx="86">
                  <c:v>1.1932315747941193</c:v>
                </c:pt>
                <c:pt idx="87">
                  <c:v>0.47753944188495545</c:v>
                </c:pt>
                <c:pt idx="88">
                  <c:v>0.86797933230273738</c:v>
                </c:pt>
                <c:pt idx="89">
                  <c:v>1.1268634134214741</c:v>
                </c:pt>
                <c:pt idx="90">
                  <c:v>0.91130551142771932</c:v>
                </c:pt>
                <c:pt idx="91">
                  <c:v>0.63817487155058306</c:v>
                </c:pt>
                <c:pt idx="92">
                  <c:v>-0.21289235531160422</c:v>
                </c:pt>
              </c:numCache>
            </c:numRef>
          </c:yVal>
          <c:smooth val="0"/>
          <c:extLst>
            <c:ext xmlns:c16="http://schemas.microsoft.com/office/drawing/2014/chart" uri="{C3380CC4-5D6E-409C-BE32-E72D297353CC}">
              <c16:uniqueId val="{00000001-34AF-4F75-B98C-1AEEFFCE1584}"/>
            </c:ext>
          </c:extLst>
        </c:ser>
        <c:dLbls>
          <c:showLegendKey val="0"/>
          <c:showVal val="0"/>
          <c:showCatName val="0"/>
          <c:showSerName val="0"/>
          <c:showPercent val="0"/>
          <c:showBubbleSize val="0"/>
        </c:dLbls>
        <c:axId val="721313840"/>
        <c:axId val="1643679936"/>
      </c:scatterChart>
      <c:valAx>
        <c:axId val="721313840"/>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643679936"/>
        <c:crosses val="autoZero"/>
        <c:crossBetween val="midCat"/>
      </c:valAx>
      <c:valAx>
        <c:axId val="164367993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213138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10</xdr:col>
      <xdr:colOff>161925</xdr:colOff>
      <xdr:row>5</xdr:row>
      <xdr:rowOff>38100</xdr:rowOff>
    </xdr:from>
    <xdr:to>
      <xdr:col>19</xdr:col>
      <xdr:colOff>314325</xdr:colOff>
      <xdr:row>28</xdr:row>
      <xdr:rowOff>61115</xdr:rowOff>
    </xdr:to>
    <xdr:pic>
      <xdr:nvPicPr>
        <xdr:cNvPr id="2" name="Picture 1">
          <a:extLst>
            <a:ext uri="{FF2B5EF4-FFF2-40B4-BE49-F238E27FC236}">
              <a16:creationId xmlns:a16="http://schemas.microsoft.com/office/drawing/2014/main" id="{114F52D0-EB7F-43C3-8057-8A6148138779}"/>
            </a:ext>
          </a:extLst>
        </xdr:cNvPr>
        <xdr:cNvPicPr>
          <a:picLocks noChangeAspect="1"/>
        </xdr:cNvPicPr>
      </xdr:nvPicPr>
      <xdr:blipFill>
        <a:blip xmlns:r="http://schemas.openxmlformats.org/officeDocument/2006/relationships" r:embed="rId1"/>
        <a:stretch>
          <a:fillRect/>
        </a:stretch>
      </xdr:blipFill>
      <xdr:spPr>
        <a:xfrm>
          <a:off x="7124700" y="1047750"/>
          <a:ext cx="6067425" cy="4499765"/>
        </a:xfrm>
        <a:prstGeom prst="rect">
          <a:avLst/>
        </a:prstGeom>
      </xdr:spPr>
    </xdr:pic>
    <xdr:clientData/>
  </xdr:twoCellAnchor>
  <xdr:twoCellAnchor editAs="oneCell">
    <xdr:from>
      <xdr:col>10</xdr:col>
      <xdr:colOff>161926</xdr:colOff>
      <xdr:row>28</xdr:row>
      <xdr:rowOff>38100</xdr:rowOff>
    </xdr:from>
    <xdr:to>
      <xdr:col>19</xdr:col>
      <xdr:colOff>333671</xdr:colOff>
      <xdr:row>51</xdr:row>
      <xdr:rowOff>170712</xdr:rowOff>
    </xdr:to>
    <xdr:pic>
      <xdr:nvPicPr>
        <xdr:cNvPr id="3" name="Picture 2">
          <a:extLst>
            <a:ext uri="{FF2B5EF4-FFF2-40B4-BE49-F238E27FC236}">
              <a16:creationId xmlns:a16="http://schemas.microsoft.com/office/drawing/2014/main" id="{615C8B30-A65B-4272-994C-00A1FBE66EE5}"/>
            </a:ext>
          </a:extLst>
        </xdr:cNvPr>
        <xdr:cNvPicPr>
          <a:picLocks noChangeAspect="1"/>
        </xdr:cNvPicPr>
      </xdr:nvPicPr>
      <xdr:blipFill>
        <a:blip xmlns:r="http://schemas.openxmlformats.org/officeDocument/2006/relationships" r:embed="rId2"/>
        <a:stretch>
          <a:fillRect/>
        </a:stretch>
      </xdr:blipFill>
      <xdr:spPr>
        <a:xfrm>
          <a:off x="7124701" y="5524500"/>
          <a:ext cx="6086770" cy="451411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23812</xdr:colOff>
      <xdr:row>20</xdr:row>
      <xdr:rowOff>147636</xdr:rowOff>
    </xdr:from>
    <xdr:to>
      <xdr:col>17</xdr:col>
      <xdr:colOff>219075</xdr:colOff>
      <xdr:row>44</xdr:row>
      <xdr:rowOff>142875</xdr:rowOff>
    </xdr:to>
    <xdr:graphicFrame macro="">
      <xdr:nvGraphicFramePr>
        <xdr:cNvPr id="3" name="Chart 2">
          <a:extLst>
            <a:ext uri="{FF2B5EF4-FFF2-40B4-BE49-F238E27FC236}">
              <a16:creationId xmlns:a16="http://schemas.microsoft.com/office/drawing/2014/main" id="{59F488FE-4FCB-407C-9434-CDBAF4EF35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37BA1CD0-5E6F-48D1-A2A7-70F6022E0435}" autoFormatId="16" applyNumberFormats="0" applyBorderFormats="0" applyFontFormats="0" applyPatternFormats="0" applyAlignmentFormats="0" applyWidthHeightFormats="0">
  <queryTableRefresh nextId="21">
    <queryTableFields count="20">
      <queryTableField id="1" name="User country" tableColumnId="1"/>
      <queryTableField id="2" name="Nr. reviews" tableColumnId="2"/>
      <queryTableField id="3" name="Nr. hotel reviews" tableColumnId="3"/>
      <queryTableField id="4" name="Helpful votes" tableColumnId="4"/>
      <queryTableField id="5" name="Score" tableColumnId="5"/>
      <queryTableField id="6" name="Period of stay" tableColumnId="6"/>
      <queryTableField id="7" name="Traveler type" tableColumnId="7"/>
      <queryTableField id="8" name="Pool" tableColumnId="8"/>
      <queryTableField id="9" name="Gym" tableColumnId="9"/>
      <queryTableField id="10" name="Tennis court" tableColumnId="10"/>
      <queryTableField id="11" name="Spa" tableColumnId="11"/>
      <queryTableField id="12" name="Casino" tableColumnId="12"/>
      <queryTableField id="13" name="Free internet" tableColumnId="13"/>
      <queryTableField id="14" name="Hotel name" tableColumnId="14"/>
      <queryTableField id="15" name="Hotel stars" tableColumnId="15"/>
      <queryTableField id="16" name="Nr. rooms" tableColumnId="16"/>
      <queryTableField id="17" name="User continent" tableColumnId="17"/>
      <queryTableField id="18" name="Member years" tableColumnId="18"/>
      <queryTableField id="19" name="Review month" tableColumnId="19"/>
      <queryTableField id="20" name="Review weekday" tableColumnId="2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3" xr16:uid="{8E8E3916-7A2D-4F92-A8E4-27F2E2D8250D}" autoFormatId="16" applyNumberFormats="0" applyBorderFormats="0" applyFontFormats="0" applyPatternFormats="0" applyAlignmentFormats="0" applyWidthHeightFormats="0">
  <queryTableRefresh nextId="21">
    <queryTableFields count="12">
      <queryTableField id="2" name="Nr. reviews" tableColumnId="2"/>
      <queryTableField id="3" name="Nr. hotel reviews" tableColumnId="3"/>
      <queryTableField id="4" name="Helpful votes" tableColumnId="4"/>
      <queryTableField id="5" name="Score" tableColumnId="5"/>
      <queryTableField id="6" name="Period of stay" tableColumnId="6"/>
      <queryTableField id="7" name="Traveler type" tableColumnId="7"/>
      <queryTableField id="10" name="Tennis court" tableColumnId="10"/>
      <queryTableField id="15" name="Hotel stars" tableColumnId="15"/>
      <queryTableField id="16" name="Nr. rooms" tableColumnId="16"/>
      <queryTableField id="17" name="User continent" tableColumnId="17"/>
      <queryTableField id="18" name="Member years" tableColumnId="18"/>
      <queryTableField id="20" name="Review weekday" tableColumnId="20"/>
    </queryTableFields>
    <queryTableDeletedFields count="8">
      <deletedField name="Hotel name"/>
      <deletedField name="Review month"/>
      <deletedField name="User country"/>
      <deletedField name="Free internet"/>
      <deletedField name="Pool"/>
      <deletedField name="Gym"/>
      <deletedField name="Spa"/>
      <deletedField name="Casino"/>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9477010-D156-425F-90A4-054917A78B1D}" name="LasVegasTripAdvisorReviews_Dataset__53" displayName="LasVegasTripAdvisorReviews_Dataset__53" ref="A1:T505" tableType="queryTable" totalsRowShown="0">
  <autoFilter ref="A1:T505" xr:uid="{4AF1F38B-2A54-4C6D-B2D7-2BA4537D938D}"/>
  <sortState xmlns:xlrd2="http://schemas.microsoft.com/office/spreadsheetml/2017/richdata2" ref="A2:T505">
    <sortCondition descending="1" ref="D1:D505"/>
  </sortState>
  <tableColumns count="20">
    <tableColumn id="1" xr3:uid="{98D8F9F6-1490-4F22-931C-4CA13759D24E}" uniqueName="1" name="User country" queryTableFieldId="1" dataDxfId="343"/>
    <tableColumn id="2" xr3:uid="{0A0E9A57-EE84-48BF-A762-866E58F99FF7}" uniqueName="2" name="Nr. reviews" queryTableFieldId="2"/>
    <tableColumn id="3" xr3:uid="{123596F5-02F2-4F08-8762-23D9B2C006D2}" uniqueName="3" name="Nr. hotel reviews" queryTableFieldId="3"/>
    <tableColumn id="4" xr3:uid="{CAE91F42-4438-45FF-A0D2-811F2F4D73F8}" uniqueName="4" name="Helpful votes" queryTableFieldId="4"/>
    <tableColumn id="5" xr3:uid="{9C284D58-F106-48A7-90ED-DAB07D30A81F}" uniqueName="5" name="Score" queryTableFieldId="5"/>
    <tableColumn id="6" xr3:uid="{5FEEF849-CFAE-47D6-B076-A36EB3F13009}" uniqueName="6" name="Period of stay" queryTableFieldId="6" dataDxfId="342"/>
    <tableColumn id="7" xr3:uid="{3BFD7114-B9E8-4D6F-A27C-2F6E0CBDB1A3}" uniqueName="7" name="Traveler type" queryTableFieldId="7" dataDxfId="341"/>
    <tableColumn id="8" xr3:uid="{F8B3DAE0-F016-4997-B306-0AEC7AEDAEA6}" uniqueName="8" name="Pool" queryTableFieldId="8" dataDxfId="340"/>
    <tableColumn id="9" xr3:uid="{FF2129CC-8718-4294-BB0A-DDA6ED75A56A}" uniqueName="9" name="Gym" queryTableFieldId="9" dataDxfId="339"/>
    <tableColumn id="10" xr3:uid="{0D207633-ACC9-4FBA-B047-2B903A254DFC}" uniqueName="10" name="Tennis court" queryTableFieldId="10" dataDxfId="338"/>
    <tableColumn id="11" xr3:uid="{6252518B-9E48-41A8-9637-410DAE770215}" uniqueName="11" name="Spa" queryTableFieldId="11" dataDxfId="337"/>
    <tableColumn id="12" xr3:uid="{EA5915D4-73A5-4DCB-ABCB-5CB249CE9C09}" uniqueName="12" name="Casino" queryTableFieldId="12" dataDxfId="336"/>
    <tableColumn id="13" xr3:uid="{C2F3D61B-DA45-4A15-9187-FD1B21FFBD06}" uniqueName="13" name="Free internet" queryTableFieldId="13" dataDxfId="335"/>
    <tableColumn id="14" xr3:uid="{D5877F8A-DE9D-439A-98A7-F762A3AFBAEE}" uniqueName="14" name="Hotel name" queryTableFieldId="14" dataDxfId="334"/>
    <tableColumn id="15" xr3:uid="{84F5FFED-0207-4217-82CB-8C62DCC29D80}" uniqueName="15" name="Hotel stars" queryTableFieldId="15"/>
    <tableColumn id="16" xr3:uid="{35C83661-1A06-4D66-93E2-89EC08CAD806}" uniqueName="16" name="Nr. rooms" queryTableFieldId="16"/>
    <tableColumn id="17" xr3:uid="{27E4D149-AE43-460C-B07F-0DE65FD371E4}" uniqueName="17" name="User continent" queryTableFieldId="17" dataDxfId="333"/>
    <tableColumn id="18" xr3:uid="{49C4972B-3CBD-482F-8804-4C7A52E52016}" uniqueName="18" name="Member years" queryTableFieldId="18"/>
    <tableColumn id="19" xr3:uid="{554871E6-9E86-48BE-88DC-FF0C469BD173}" uniqueName="19" name="Review month" queryTableFieldId="19" dataDxfId="332"/>
    <tableColumn id="20" xr3:uid="{E150D707-A342-4388-8644-DB512A0BA1C8}" uniqueName="20" name="Review weekday" queryTableFieldId="20" dataDxfId="331"/>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1DFBB12-F006-4007-84DC-AA2507A47041}" name="LasVegasTripAdvisorReviews_Dataset__534" displayName="LasVegasTripAdvisorReviews_Dataset__534" ref="A1:L467" tableType="queryTable" totalsRowShown="0">
  <autoFilter ref="A1:L467" xr:uid="{9CB0A379-7E2E-4922-872D-CF1DA468BD73}"/>
  <sortState xmlns:xlrd2="http://schemas.microsoft.com/office/spreadsheetml/2017/richdata2" ref="A2:L467">
    <sortCondition descending="1" ref="C1:C467"/>
  </sortState>
  <tableColumns count="12">
    <tableColumn id="2" xr3:uid="{F764DF3B-4CB5-4779-A6F5-4D5440361958}" uniqueName="2" name="Nr. reviews" queryTableFieldId="2"/>
    <tableColumn id="3" xr3:uid="{6B392DA4-B351-4575-8831-B137A380D3E6}" uniqueName="3" name="Nr. hotel reviews" queryTableFieldId="3"/>
    <tableColumn id="4" xr3:uid="{EDC659DD-FFF0-4C19-BF4A-B75CEABDFDBF}" uniqueName="4" name="Helpful votes" queryTableFieldId="4"/>
    <tableColumn id="5" xr3:uid="{F2C5F531-07E4-4000-A05D-3F62D37FECD5}" uniqueName="5" name="Score" queryTableFieldId="5"/>
    <tableColumn id="6" xr3:uid="{58E74C74-F04D-4FDE-8E6D-8EA177468118}" uniqueName="6" name="Period of stay" queryTableFieldId="6" dataDxfId="330"/>
    <tableColumn id="7" xr3:uid="{C7F157AA-41C7-4C90-BB02-1C243CF3B8AD}" uniqueName="7" name="Traveler type" queryTableFieldId="7" dataDxfId="329"/>
    <tableColumn id="10" xr3:uid="{C6E92AA1-0CBA-47D0-A25A-EA488762AC31}" uniqueName="10" name="Tennis court" queryTableFieldId="10" dataDxfId="328"/>
    <tableColumn id="15" xr3:uid="{DAF402BD-2EF0-4EDC-AAFC-1FD964B0F115}" uniqueName="15" name="Hotel stars" queryTableFieldId="15"/>
    <tableColumn id="16" xr3:uid="{C53AB40A-44DF-418F-ABA2-A41F5959ABFC}" uniqueName="16" name="Nr. rooms" queryTableFieldId="16"/>
    <tableColumn id="17" xr3:uid="{C21C8BDF-52E7-49DB-B626-3A9721594338}" uniqueName="17" name="User continent" queryTableFieldId="17" dataDxfId="327"/>
    <tableColumn id="18" xr3:uid="{2FB877C4-57C6-4268-99BA-2090E9DC88B3}" uniqueName="18" name="Member years" queryTableFieldId="18"/>
    <tableColumn id="20" xr3:uid="{586BC034-61F7-46D2-8D9E-DC28A5B98118}" uniqueName="20" name="Review weekday" queryTableFieldId="20" dataDxfId="326"/>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89F70CD-CA3F-40D7-BA4A-07EE35AB3ABE}" name="Partition Summary" displayName="Partition_Summary" ref="C30:D32" totalsRowShown="0">
  <autoFilter ref="C30:D32" xr:uid="{5C8533AC-6048-408A-BB47-7BEA2532EC91}"/>
  <tableColumns count="2">
    <tableColumn id="1" xr3:uid="{06DE8AC6-B75D-4F75-88A7-66AA8D6EEC2A}" name="Partition" dataDxfId="325"/>
    <tableColumn id="2" xr3:uid="{7872A5E5-FCCE-4BB9-9BFA-D85AAF87B604}" name="# Records" dataDxfId="324"/>
  </tableColumns>
  <tableStyleInfo name="TableStyleMedium9" showFirstColumn="1"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245F493-C675-4710-8302-3E063C97F357}" name="Partitioned Data" displayName="Partitioned_Data" ref="C36:AC502" totalsRowShown="0" dataDxfId="296">
  <autoFilter ref="C36:AC502" xr:uid="{AC789C72-00D7-4757-A33A-2FD0CAB69FE2}"/>
  <tableColumns count="27">
    <tableColumn id="1" xr3:uid="{AB55DC09-EE07-430E-A5D0-4F1FF7C9EEA3}" name="Record ID" dataDxfId="323"/>
    <tableColumn id="2" xr3:uid="{B17560CE-8854-4ADD-86E3-39F28852FD02}" name="Nr. reviews" dataDxfId="322"/>
    <tableColumn id="3" xr3:uid="{A2A4807D-4A1E-4A6E-8DA1-1B2781AFCF05}" name="Nr. hotel reviews" dataDxfId="321"/>
    <tableColumn id="4" xr3:uid="{8DFCF8C6-EEB4-431B-89F6-DEB5ABA8827D}" name="Score" dataDxfId="320"/>
    <tableColumn id="5" xr3:uid="{76C52F3B-7DED-4E4A-94C0-0DFD8D309CF2}" name="Nr. rooms" dataDxfId="319"/>
    <tableColumn id="6" xr3:uid="{EFD6C44C-9611-4A87-BC85-72D8B9EEFF5E}" name="Member years" dataDxfId="318"/>
    <tableColumn id="7" xr3:uid="{BA89EACE-FBD2-4C02-9399-B73F70BF111E}" name="Period of stay_Dec-Feb" dataDxfId="317"/>
    <tableColumn id="8" xr3:uid="{B1AFC0BE-7C87-43EC-A18D-010B6AC5386E}" name="Period of stay_Jun-Aug" dataDxfId="316"/>
    <tableColumn id="9" xr3:uid="{62243FF6-6C66-4DC0-ACC4-93953EFB4CC7}" name="Period of stay_Mar-May" dataDxfId="315"/>
    <tableColumn id="10" xr3:uid="{7309D438-0DE2-4A02-966C-3FEF174271BB}" name="Period of stay_Sep-Nov" dataDxfId="314"/>
    <tableColumn id="11" xr3:uid="{8C2A92ED-24DE-4A14-B726-003173599CD7}" name="Traveler type Other" dataDxfId="313"/>
    <tableColumn id="12" xr3:uid="{B489FF21-F66F-4B77-BC62-FD9990D10826}" name="Traveler type Families" dataDxfId="312"/>
    <tableColumn id="13" xr3:uid="{EB8D5094-3161-455B-8FDB-3BCD15EE6C9F}" name="Traveler type Couples" dataDxfId="311"/>
    <tableColumn id="14" xr3:uid="{CCE5A05F-BD44-4DBF-90BE-317FF618F43A}" name="Tennis court_YES" dataDxfId="310"/>
    <tableColumn id="15" xr3:uid="{12215C21-00EF-4312-9B67-D61F2F7245BE}" name="Hotel stars 3 and 3.5" dataDxfId="309"/>
    <tableColumn id="16" xr3:uid="{04867176-70B4-4C9B-8883-156E49A2F1CA}" name="Hotel stars 4 and 4.5" dataDxfId="308"/>
    <tableColumn id="17" xr3:uid="{4FA330CB-CB07-4A36-B0FC-D4E2B00C08CE}" name="Hotel stars 5" dataDxfId="307"/>
    <tableColumn id="18" xr3:uid="{62A5CDF5-0A11-4C0A-A637-C6A8540324C3}" name="User continent Other" dataDxfId="306"/>
    <tableColumn id="19" xr3:uid="{5DE43DF0-CFB4-4973-9C90-5116DD6CBD16}" name="User continent Europe" dataDxfId="305"/>
    <tableColumn id="20" xr3:uid="{4080F1F3-1CE4-4FAB-9186-CB58E2558E6A}" name="User continent North America" dataDxfId="304"/>
    <tableColumn id="21" xr3:uid="{437CF993-FD75-4782-BBE7-A737EB81D526}" name="Review weekday_Friday" dataDxfId="303"/>
    <tableColumn id="22" xr3:uid="{06F0C1EE-FD29-4D6F-A935-55DFA40D2468}" name="Review weekday_Monday" dataDxfId="302"/>
    <tableColumn id="23" xr3:uid="{D1800A6D-47F5-4F58-B0F5-92EA12F67FCD}" name="Review weekday_Saturday" dataDxfId="301"/>
    <tableColumn id="24" xr3:uid="{75EE0584-099B-447E-83A2-13C6FD76F25D}" name="Review weekday_Sunday" dataDxfId="300"/>
    <tableColumn id="25" xr3:uid="{9B2AD65B-BED2-43B6-A583-7E274F9F37FA}" name="Review weekday_Thursday" dataDxfId="299"/>
    <tableColumn id="26" xr3:uid="{24E50ABA-ED3D-4CB3-9FA1-9777CD502F1D}" name="Review weekday_Tuesday" dataDxfId="298"/>
    <tableColumn id="27" xr3:uid="{EC2BCDEF-22F7-4319-BDCD-798E69619B51}" name="Review weekday_Wednesday" dataDxfId="297"/>
  </tableColumns>
  <tableStyleInfo name="TableStyleMedium9" showFirstColumn="1"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6625EBA1-9E60-4F62-A3EF-A0D7A810E6D7}" name="Regression Summary" displayName="_Regression_Summary_5" ref="C52:D57" totalsRowShown="0">
  <autoFilter ref="C52:D57" xr:uid="{F4567298-C455-43BC-9FA7-B0FE02130A81}"/>
  <tableColumns count="2">
    <tableColumn id="1" xr3:uid="{75D42C43-9670-4409-82A8-29B4A560C36D}" name="Metric" dataDxfId="15"/>
    <tableColumn id="2" xr3:uid="{48DD8C79-14A4-4DED-B7B7-D329FD5F62BC}" name="Value" dataDxfId="14"/>
  </tableColumns>
  <tableStyleInfo name="TableStyleMedium9" showFirstColumn="1"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27E00273-AA8B-4966-84FD-CBC8531FDEE3}" name="Predictor Screening" displayName="Predictor_Screening_7" ref="C61:E66" totalsRowShown="0">
  <autoFilter ref="C61:E66" xr:uid="{728256F3-02F3-4E5E-8851-BD7E4D6DC2A7}"/>
  <tableColumns count="3">
    <tableColumn id="1" xr3:uid="{188C7218-71CF-4A9E-B047-8EF7F174CF06}" name="Predictor" dataDxfId="13"/>
    <tableColumn id="2" xr3:uid="{812C64D8-FA1E-4B94-9267-FED1EDD9DA7A}" name="Criteria" dataDxfId="12"/>
    <tableColumn id="3" xr3:uid="{7A472278-011B-403A-9091-812E622295DE}" name="Included" dataDxfId="11"/>
  </tableColumns>
  <tableStyleInfo name="TableStyleMedium9"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DDD56E7E-2F19-4BBB-A37E-836B5D250A9F}" name="Data Frame" displayName="Data_Frame_7" ref="C69:D69" headerRowCount="0" totalsRowShown="0">
  <tableColumns count="2">
    <tableColumn id="1" xr3:uid="{BC9DAC82-BC44-45D0-B596-3DA992B91172}" name="Row ID" headerRowDxfId="8" dataDxfId="10"/>
    <tableColumn id="2" xr3:uid="{C324FEA4-966D-47C8-8BE9-FFCF4C857CF2}" name="Feature 1" dataDxfId="9"/>
  </tableColumns>
  <tableStyleInfo name="TableStyleMedium9"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DBF66690-06ED-411D-863F-74F3425347EF}" name="Coefficients" displayName="_Coefficients_5" ref="C73:I78" totalsRowShown="0" dataDxfId="0">
  <autoFilter ref="C73:I78" xr:uid="{D44F140E-E952-4AF5-9705-669234E6C692}"/>
  <tableColumns count="7">
    <tableColumn id="1" xr3:uid="{1415A840-5645-48FA-AE4F-7BCFB6731AB2}" name="Predictor" dataDxfId="7"/>
    <tableColumn id="2" xr3:uid="{BD47940F-465B-45A2-A6E3-E7FF25A50363}" name="Estimate" dataDxfId="6"/>
    <tableColumn id="3" xr3:uid="{EA1543A9-BA67-4374-9DD1-454C588ADA78}" name="Confidence Interval: Lower" dataDxfId="5"/>
    <tableColumn id="4" xr3:uid="{BAFFFDF2-63B0-41BB-B6E6-2A62E07FE105}" name="Confidence Interval: Upper" dataDxfId="4"/>
    <tableColumn id="5" xr3:uid="{741A98CD-6DD0-4EA0-8747-BAC374CADB61}" name="Standard Error" dataDxfId="3"/>
    <tableColumn id="6" xr3:uid="{C4BE4F80-B300-4FFB-ADA9-08671175FC5C}" name="T-Statistic" dataDxfId="2"/>
    <tableColumn id="7" xr3:uid="{CC149827-5AA9-49DF-A3BF-EAC5C42249ED}" name="P-Value" dataDxfId="1"/>
  </tableColumns>
  <tableStyleInfo name="TableStyleMedium9"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A1F24715-AB7A-4B5E-94AC-F1696E210CE8}" name="Training: Prediction Summary" displayName="Training__Prediction_Summary_7" ref="C12:D17" totalsRowShown="0">
  <autoFilter ref="C12:D17" xr:uid="{5689BC47-0DF4-4397-BFBE-B17D225FE2CF}"/>
  <tableColumns count="2">
    <tableColumn id="1" xr3:uid="{BD55DFBE-7200-4AE2-9EB8-A62B6EB770D6}" name="Metric"/>
    <tableColumn id="2" xr3:uid="{37B3F302-B372-4AE2-92EF-69FF6D9BFA05}" name="Value"/>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C658F9C4-0B71-4CCF-A3AF-AE676C6DE675}" name="Training: Prediction Details" displayName="Training__Prediction_Details_3" ref="C21:F394" totalsRowShown="0" dataDxfId="16">
  <autoFilter ref="C21:F394" xr:uid="{E711B843-BDE3-4140-9957-394B8F84D505}"/>
  <tableColumns count="4">
    <tableColumn id="1" xr3:uid="{F5D91B32-9D24-406A-919D-12B9A0EA34FC}" name="Record ID" dataDxfId="20"/>
    <tableColumn id="2" xr3:uid="{7ACD4885-D7A6-4F1B-BC25-83DA6275A522}" name="Score" dataDxfId="19"/>
    <tableColumn id="3" xr3:uid="{E82108C8-FBF3-4829-8F35-83F66C430430}" name="Prediction: Score" dataDxfId="18"/>
    <tableColumn id="4" xr3:uid="{9437CCCD-8D70-4CE0-A6BD-AEAAB06A9868}" name="Residual" dataDxfId="17"/>
  </tableColumns>
  <tableStyleInfo name="TableStyleMedium9"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47C6F0F0-94B3-4DB9-9727-6F978CC38C01}" name="Validation: Prediction Summary" displayName="Validation__Prediction_Summary_7" ref="C12:D17" totalsRowShown="0">
  <autoFilter ref="C12:D17" xr:uid="{BB6F10F3-8549-4F98-B057-E2ACEEF9174F}"/>
  <tableColumns count="2">
    <tableColumn id="1" xr3:uid="{4D4B36CC-4187-422A-BCD1-81E355A1472C}" name="Metric"/>
    <tableColumn id="2" xr3:uid="{7A1C79D6-4D3B-4C0B-9F2D-5DF730620684}" name="Value"/>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1B5E3BE9-C827-4C06-B304-FE40E1C19641}" name="Validation: Prediction Details" displayName="Validation__Prediction_Details_3" ref="C21:F114" totalsRowShown="0" dataDxfId="21">
  <autoFilter ref="C21:F114" xr:uid="{B67AB8BF-518A-400E-93E5-BA18B0E1542D}"/>
  <tableColumns count="4">
    <tableColumn id="1" xr3:uid="{3E16E6A5-22F1-4761-A7F3-204D0C9870D3}" name="Record ID" dataDxfId="25"/>
    <tableColumn id="2" xr3:uid="{AB3FB2F1-AED0-48C7-8E6E-53B6A9EEE377}" name="Score" dataDxfId="24"/>
    <tableColumn id="3" xr3:uid="{B16E7B19-3952-4F4C-8950-92C58C5430AC}" name="Prediction: Score" dataDxfId="23"/>
    <tableColumn id="4" xr3:uid="{4137680F-DD3E-48B1-B8B8-F4D59508B3D1}" name="Residual" dataDxfId="22"/>
  </tableColumns>
  <tableStyleInfo name="TableStyleMedium9"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B18D2C90-AE11-426E-89D9-69E7C30B9D78}" name="Regression Summary" displayName="_Regression_Summary_4" ref="C56:D61" totalsRowShown="0">
  <autoFilter ref="C56:D61" xr:uid="{5F105F53-3994-491A-A279-4A0AB77DF0E4}"/>
  <tableColumns count="2">
    <tableColumn id="1" xr3:uid="{91F3960B-B70C-475E-B989-45316AF6B18D}" name="Metric" dataDxfId="35"/>
    <tableColumn id="2" xr3:uid="{26750321-949B-4B55-9048-113B03A09CC7}" name="Value" dataDxfId="34"/>
  </tableColumns>
  <tableStyleInfo name="TableStyleMedium9"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9BB7A145-A71A-4A74-B407-1C0B09E9FD83}" name="Predictor Screening" displayName="Predictor_Screening_6" ref="C65:E91" totalsRowShown="0">
  <autoFilter ref="C65:E91" xr:uid="{3162539C-0933-43BE-9A47-3181A75CFA76}"/>
  <tableColumns count="3">
    <tableColumn id="1" xr3:uid="{52772AA9-7DC4-4DDD-A172-D23636502DAF}" name="Predictor" dataDxfId="33"/>
    <tableColumn id="2" xr3:uid="{A3FC7E05-1AB7-48AA-B945-B6575D3A0D1D}" name="Criteria" dataDxfId="32"/>
    <tableColumn id="3" xr3:uid="{635E941F-337F-4E0C-BE7E-48349D7CA003}" name="Included" dataDxfId="31"/>
  </tableColumns>
  <tableStyleInfo name="TableStyleMedium9" showFirstColumn="1"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ECC13EA3-E72B-439D-9D2F-CE7BE9731742}" name="Data Frame" displayName="Data_Frame_6" ref="C94:D94" headerRowCount="0" totalsRowShown="0">
  <tableColumns count="2">
    <tableColumn id="1" xr3:uid="{D3CEDA65-3FBC-431C-B059-C578B3ED9034}" name="Row ID" headerRowDxfId="28" dataDxfId="30"/>
    <tableColumn id="2" xr3:uid="{4CE2B291-AD30-4D6E-869D-CAA4A610D71D}" name="Feature 1" dataDxfId="29"/>
  </tableColumns>
  <tableStyleInfo name="TableStyleMedium9" showFirstColumn="1"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59272650-D7E7-4B8B-9C43-04867B3B89B9}" name="Coefficients" displayName="_Coefficients_4" ref="C98:D124" totalsRowShown="0">
  <autoFilter ref="C98:D124" xr:uid="{C95F3729-F79E-40E1-8AF6-A4C67635CDEB}"/>
  <tableColumns count="2">
    <tableColumn id="1" xr3:uid="{B382A637-47CD-4D7A-821E-9756DA63FAFD}" name="Predictor" dataDxfId="27"/>
    <tableColumn id="2" xr3:uid="{9F7FC79E-D96C-4546-9D83-447F91B4D0A9}" name="Estimate" dataDxfId="26"/>
  </tableColumns>
  <tableStyleInfo name="TableStyleMedium9" showFirstColumn="1"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A35F238F-76B4-43B6-B24C-E51BCAF91867}" name="Best Subsets" displayName="Best_Subsets_3" ref="C13:AC18" totalsRowShown="0" dataDxfId="45" tableBorderDxfId="73">
  <autoFilter ref="C13:AC18" xr:uid="{A74A5934-A0BB-4D9F-8986-DAC510809982}"/>
  <tableColumns count="27">
    <tableColumn id="1" xr3:uid="{95428C84-F540-4248-B405-FD7EB5C5AFFB}" name="Subset ID" dataDxfId="72" dataCellStyle="Hyperlink"/>
    <tableColumn id="2" xr3:uid="{08D30F7B-5619-4902-A6A2-347E3AD86D0F}" name="Intercept" dataDxfId="71"/>
    <tableColumn id="3" xr3:uid="{9CD6F5E8-F511-4E30-8534-FE2B520B6D1E}" name="Nr. reviews" dataDxfId="70"/>
    <tableColumn id="4" xr3:uid="{99E6D37D-65F7-4C02-9302-4E0CFFF6F77D}" name="Nr. hotel reviews" dataDxfId="69"/>
    <tableColumn id="5" xr3:uid="{EB6E3470-F238-429B-894E-94B2ABEEC6EF}" name="Nr. rooms" dataDxfId="68"/>
    <tableColumn id="6" xr3:uid="{5E87D7C1-ED95-49CE-9BE6-7D2B12EBACAB}" name="Member years" dataDxfId="67"/>
    <tableColumn id="7" xr3:uid="{AB3E571E-5091-44AD-820C-B8F2023EC432}" name="Period of stay_Dec-Feb" dataDxfId="66"/>
    <tableColumn id="8" xr3:uid="{E0E8E59D-CBB1-4C99-A7BD-3D831D259FC1}" name="Period of stay_Jun-Aug" dataDxfId="65"/>
    <tableColumn id="9" xr3:uid="{24F4A5F6-DE0B-493E-AFD4-C3DAD784C19C}" name="Period of stay_Mar-May" dataDxfId="64"/>
    <tableColumn id="10" xr3:uid="{77F2DB53-BEF2-40DF-9CC0-224D6CE42FEE}" name="Period of stay_Sep-Nov" dataDxfId="63"/>
    <tableColumn id="11" xr3:uid="{1FCA6BDB-8070-4EE3-831B-11D38A6E63FF}" name="Traveler type Other" dataDxfId="62"/>
    <tableColumn id="12" xr3:uid="{4BEFD06D-47F6-4EC9-B989-263DF8A31A70}" name="Traveler type Families" dataDxfId="61"/>
    <tableColumn id="13" xr3:uid="{1B4E1D80-7C31-4802-A5F7-6A97D9524F85}" name="Traveler type Couples" dataDxfId="60"/>
    <tableColumn id="14" xr3:uid="{64D54E3A-A7C2-421F-9DB5-9AE247CA6DED}" name="Tennis court_YES" dataDxfId="59"/>
    <tableColumn id="15" xr3:uid="{CA36F206-F4D1-4C88-9A32-DD9DF83FEFB6}" name="Hotel stars 3 and 3.5" dataDxfId="58"/>
    <tableColumn id="16" xr3:uid="{716ABA5E-C701-4D12-ACF3-7F1D9BA43A2B}" name="Hotel stars 4 and 4.5" dataDxfId="57"/>
    <tableColumn id="17" xr3:uid="{9896795A-5793-4F27-AA78-B2A3E0E0225D}" name="Hotel stars 5" dataDxfId="56"/>
    <tableColumn id="18" xr3:uid="{8A7ABEBB-962A-4AFF-9CEA-B190C13B32F5}" name="User continent Other" dataDxfId="55"/>
    <tableColumn id="19" xr3:uid="{25CF879C-6EAF-47B7-BFEF-691885C43516}" name="User continent Europe" dataDxfId="54"/>
    <tableColumn id="20" xr3:uid="{12610006-0840-45F4-8FF8-28AC2B295978}" name="User continent North America" dataDxfId="53"/>
    <tableColumn id="21" xr3:uid="{152951A7-A21C-45E8-9B2B-AC17DDCBACE4}" name="Review weekday_Friday" dataDxfId="52"/>
    <tableColumn id="22" xr3:uid="{38D729A3-5E10-4942-A3C8-22732CD0D9B5}" name="Review weekday_Monday" dataDxfId="51"/>
    <tableColumn id="23" xr3:uid="{9BCD73B1-CE01-479D-8571-ECC2652AE45B}" name="Review weekday_Saturday" dataDxfId="50"/>
    <tableColumn id="24" xr3:uid="{626E1DE8-15D1-4E12-B0F3-C4D7C772363A}" name="Review weekday_Sunday" dataDxfId="49"/>
    <tableColumn id="25" xr3:uid="{32FD1532-ED4C-477C-B81D-5AC1106D3D74}" name="Review weekday_Thursday" dataDxfId="48"/>
    <tableColumn id="26" xr3:uid="{F87BE579-48BE-472C-9DA8-AF0CB937FB25}" name="Review weekday_Tuesday" dataDxfId="47"/>
    <tableColumn id="27" xr3:uid="{2D2CFEA0-815E-4A23-9F1A-ECF9E33B43E2}" name="Review weekday_Wednesday" dataDxfId="46"/>
  </tableColumns>
  <tableStyleInfo name="TableStyleMedium9" showFirstColumn="1"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6A247263-B858-446C-B71C-D6EFE55E5FEE}" name="Best Subsets Details" displayName="Best_Subsets_Details_3" ref="C21:I26" totalsRowShown="0" dataDxfId="36" tableBorderDxfId="44">
  <autoFilter ref="C21:I26" xr:uid="{60EC565E-788F-49A5-B6EC-83C4ACA9ADFA}"/>
  <tableColumns count="7">
    <tableColumn id="1" xr3:uid="{46B432E8-C445-43DA-854A-B035899FE667}" name="Subset ID" dataDxfId="43"/>
    <tableColumn id="2" xr3:uid="{BF0B70BB-381B-4E64-A711-ED6DEE7A7E06}" name="#Coefficients" dataDxfId="42"/>
    <tableColumn id="3" xr3:uid="{0CD483A3-D8A5-44CB-8AB5-648EC0E64D14}" name="RSS" dataDxfId="41"/>
    <tableColumn id="4" xr3:uid="{4654AA0E-637D-41CA-AD31-83EFD88AC024}" name="Mallows's Cp" dataDxfId="40"/>
    <tableColumn id="5" xr3:uid="{71BB0EED-D31B-480C-9CB8-9FDDD968537D}" name="R2" dataDxfId="39"/>
    <tableColumn id="6" xr3:uid="{CB56480D-3969-4B29-808C-96A065424496}" name="Adjusted R2" dataDxfId="38"/>
    <tableColumn id="7" xr3:uid="{6540B5B8-95A3-4E4C-9B0B-80E494348275}" name="Probability" dataDxfId="37"/>
  </tableColumns>
  <tableStyleInfo name="TableStyleMedium10" showFirstColumn="1"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E160381D-4902-4600-BF61-579610E52BD3}" name="Training: Prediction Summary" displayName="Training__Prediction_Summary_6" ref="C12:D17" totalsRowShown="0">
  <autoFilter ref="C12:D17" xr:uid="{AFFA4059-3DD7-411E-9EC8-B34D0F06A1CC}"/>
  <tableColumns count="2">
    <tableColumn id="1" xr3:uid="{4CF05AF2-1638-4C7E-92DE-0F3B8BCDDA83}" name="Metric"/>
    <tableColumn id="2" xr3:uid="{6AB49C46-EAE3-47E2-9DEC-5495D9120A22}" name="Value"/>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A3E4EC7-C536-4C28-B000-3CEEC49806DF}" name="Validation: Prediction Summary" displayName="Validation__Prediction_Summary_6" ref="C12:D17" totalsRowShown="0">
  <autoFilter ref="C12:D17" xr:uid="{91C8071E-A995-4766-B48F-B08488CB401B}"/>
  <tableColumns count="2">
    <tableColumn id="1" xr3:uid="{2E0FB0A1-F1EE-41B0-8549-15B97B645233}" name="Metric"/>
    <tableColumn id="2" xr3:uid="{6A56507E-0D67-4C2A-BFC3-FF7C143007CC}" name="Value"/>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A820B3E-E726-42EF-BA92-747EB399A703}" name="Regression Summary" displayName="_Regression_Summary_3" ref="C52:D57" totalsRowShown="0">
  <autoFilter ref="C52:D57" xr:uid="{43B42201-ED53-46C2-AEDE-FD4D1FB8CA1D}"/>
  <tableColumns count="2">
    <tableColumn id="1" xr3:uid="{29FDF5E1-ED13-413F-86E7-4C17B60B2437}" name="Metric" dataDxfId="89"/>
    <tableColumn id="2" xr3:uid="{E5A99ABD-FDDC-4A5E-A02F-125F80A1E185}" name="Value" dataDxfId="88"/>
  </tableColumns>
  <tableStyleInfo name="TableStyleMedium9" showFirstColumn="1"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44A0829F-1F66-48ED-AF51-87DFCF3263D8}" name="Predictor Screening" displayName="Predictor_Screening_5" ref="C61:E77" totalsRowShown="0">
  <autoFilter ref="C61:E77" xr:uid="{750596F9-7978-48E3-9A39-4B59B3EA9928}"/>
  <tableColumns count="3">
    <tableColumn id="1" xr3:uid="{75CDC01A-E65C-487E-BE31-F05E4F424301}" name="Predictor" dataDxfId="87"/>
    <tableColumn id="2" xr3:uid="{85ACDCF7-D340-4400-8258-D508DEA0827C}" name="Criteria" dataDxfId="86"/>
    <tableColumn id="3" xr3:uid="{6378C6F6-47A7-4367-B774-A15151FB3B16}" name="Included" dataDxfId="85"/>
  </tableColumns>
  <tableStyleInfo name="TableStyleMedium9" showFirstColumn="1"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B64D863D-7E91-4F75-9B73-B52DCC8EF687}" name="Data Frame" displayName="Data_Frame_5" ref="C80:D80" headerRowCount="0" totalsRowShown="0">
  <tableColumns count="2">
    <tableColumn id="1" xr3:uid="{92F9894F-0B13-4A77-B5A7-7A2EE92B33F6}" name="Row ID" headerRowDxfId="82" dataDxfId="84"/>
    <tableColumn id="2" xr3:uid="{A6B9B427-5122-40A6-B2FD-70E734BB1809}" name="Feature 1" dataDxfId="83"/>
  </tableColumns>
  <tableStyleInfo name="TableStyleMedium9" showFirstColumn="1"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CECA3D4A-5829-4E68-BB95-B58C7DA41B0E}" name="Coefficients" displayName="_Coefficients_3" ref="C84:I100" totalsRowShown="0" dataDxfId="74">
  <autoFilter ref="C84:I100" xr:uid="{A3AFDABA-8FDF-448B-A996-4D9A0563CBBF}"/>
  <tableColumns count="7">
    <tableColumn id="1" xr3:uid="{6E36E56B-1702-485B-BA88-FA50CC3366CF}" name="Predictor" dataDxfId="81"/>
    <tableColumn id="2" xr3:uid="{B870D90E-82FF-49D7-896E-4387B671342E}" name="Estimate" dataDxfId="80"/>
    <tableColumn id="3" xr3:uid="{DADDB013-DF3D-4B3E-8154-EE619B0F334E}" name="Confidence Interval: Lower" dataDxfId="79"/>
    <tableColumn id="4" xr3:uid="{CBEAF7CD-DCBC-466D-8935-73D11FAFB498}" name="Confidence Interval: Upper" dataDxfId="78"/>
    <tableColumn id="5" xr3:uid="{588A5EA8-443C-4C01-B24C-068AC57CC24D}" name="Standard Error" dataDxfId="77"/>
    <tableColumn id="6" xr3:uid="{B4C0A083-27C9-4AF1-85BF-E208FCAF76DA}" name="T-Statistic" dataDxfId="76"/>
    <tableColumn id="7" xr3:uid="{B314A14D-1B35-4121-AB59-78340CA0D52A}" name="P-Value" dataDxfId="75"/>
  </tableColumns>
  <tableStyleInfo name="TableStyleMedium9" showFirstColumn="1"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4F0FED9A-88E1-4DDF-81F4-F1492777F088}" name="Training: Prediction Summary" displayName="Training__Prediction_Summary_5" ref="C12:D17" totalsRowShown="0">
  <autoFilter ref="C12:D17" xr:uid="{219B4BF5-6F38-4767-9BCC-927B8D505CF0}"/>
  <tableColumns count="2">
    <tableColumn id="1" xr3:uid="{21B06ADB-1D94-474F-BC41-15F2E0DF090D}" name="Metric"/>
    <tableColumn id="2" xr3:uid="{28B085AC-B9E3-42C0-866E-D32241EFABDD}" name="Value"/>
  </tableColumns>
  <tableStyleInfo name="TableStyleMedium9"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61F58C6B-FEAF-4D75-AED4-C5B223A1369D}" name="Training: Prediction Details" displayName="Training__Prediction_Details_2" ref="C21:F394" totalsRowShown="0" dataDxfId="90">
  <autoFilter ref="C21:F394" xr:uid="{6CA8A0C4-2630-407A-AC39-D6EE06F93D61}"/>
  <tableColumns count="4">
    <tableColumn id="1" xr3:uid="{713F0DFC-F30A-492F-8F31-B07B618DAA51}" name="Record ID" dataDxfId="94"/>
    <tableColumn id="2" xr3:uid="{FF190E70-16C2-4922-A475-E887C781CEBA}" name="Score" dataDxfId="93"/>
    <tableColumn id="3" xr3:uid="{2CF187FD-8134-49DE-AFDE-FBDE81827C6E}" name="Prediction: Score" dataDxfId="92"/>
    <tableColumn id="4" xr3:uid="{D5B76B0B-2611-45A9-B3E3-F6680D79734C}" name="Residual" dataDxfId="91"/>
  </tableColumns>
  <tableStyleInfo name="TableStyleMedium9" showFirstColumn="1"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215ACF4A-80D2-4004-A91B-DC90E594ECC1}" name="Validation: Prediction Summary" displayName="Validation__Prediction_Summary_5" ref="C12:D17" totalsRowShown="0">
  <autoFilter ref="C12:D17" xr:uid="{1DCCACAD-EB32-4BF1-8753-1CEF9B38ECD7}"/>
  <tableColumns count="2">
    <tableColumn id="1" xr3:uid="{59D92CB7-0E0D-433F-A920-4C107701F2A2}" name="Metric"/>
    <tableColumn id="2" xr3:uid="{6813F3D6-7BBB-4129-99C5-200AD5B279DA}" name="Value"/>
  </tableColumns>
  <tableStyleInfo name="TableStyleMedium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CA6073C-4EE9-4AC3-A980-5D82725ED85D}" name="Validation: Prediction Details" displayName="Validation__Prediction_Details_2" ref="C21:F114" totalsRowShown="0" dataDxfId="95">
  <autoFilter ref="C21:F114" xr:uid="{E26DEF22-4A12-43B3-B75F-CEA07CC4B8C3}"/>
  <tableColumns count="4">
    <tableColumn id="1" xr3:uid="{96900C2C-5A64-4908-858A-AD68817D203B}" name="Record ID" dataDxfId="99"/>
    <tableColumn id="2" xr3:uid="{0C0DE205-0710-4EAF-8C4E-AD3016E654D6}" name="Score" dataDxfId="98"/>
    <tableColumn id="3" xr3:uid="{4261A321-712C-41BA-A3E1-3E57A11CB418}" name="Prediction: Score" dataDxfId="97"/>
    <tableColumn id="4" xr3:uid="{4F1590A4-B6D3-42EA-8D90-CAE427C22351}" name="Residual" dataDxfId="96"/>
  </tableColumns>
  <tableStyleInfo name="TableStyleMedium9" showFirstColumn="1"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7EE504CF-E1D8-462D-BA2D-056AB1137123}" name="Regression Summary" displayName="_Regression_Summary_2" ref="C54:D59" totalsRowShown="0">
  <autoFilter ref="C54:D59" xr:uid="{8ACBCDDC-A91F-4526-83CF-EBB15552DBB1}"/>
  <tableColumns count="2">
    <tableColumn id="1" xr3:uid="{B6CCFAAE-7D82-4BAF-B8B2-F53DA122C63E}" name="Metric" dataDxfId="109"/>
    <tableColumn id="2" xr3:uid="{0D837130-B010-4267-B906-7018F9367676}" name="Value" dataDxfId="108"/>
  </tableColumns>
  <tableStyleInfo name="TableStyleMedium9" showFirstColumn="1"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801D8180-76D7-4F74-B08C-09AA575CF588}" name="Predictor Screening" displayName="Predictor_Screening_4" ref="C63:E89" totalsRowShown="0">
  <autoFilter ref="C63:E89" xr:uid="{73DF0B3C-A27B-49F1-8014-733928218656}"/>
  <tableColumns count="3">
    <tableColumn id="1" xr3:uid="{B6179E04-4978-4D9D-A825-94E2438B59B9}" name="Predictor" dataDxfId="107"/>
    <tableColumn id="2" xr3:uid="{2F947B33-7B29-4EDC-ADFC-8F2FEAD305B8}" name="Criteria" dataDxfId="106"/>
    <tableColumn id="3" xr3:uid="{1DB90AA1-7107-49BA-B4CB-80E41FDAADF6}" name="Included" dataDxfId="105"/>
  </tableColumns>
  <tableStyleInfo name="TableStyleMedium9" showFirstColumn="1"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9B0B81DE-C159-4C9B-9D97-89B6267768FA}" name="Data Frame" displayName="Data_Frame_4" ref="C92:D92" headerRowCount="0" totalsRowShown="0">
  <tableColumns count="2">
    <tableColumn id="1" xr3:uid="{C41FD798-A16C-4D70-A00C-AD3F584C4E35}" name="Row ID" headerRowDxfId="102" dataDxfId="104"/>
    <tableColumn id="2" xr3:uid="{3DB4F53D-D6B1-4D27-A0E7-0142A7848250}" name="Feature 1" dataDxfId="103"/>
  </tableColumns>
  <tableStyleInfo name="TableStyleMedium9" showFirstColumn="1"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6BBF6BF3-5768-4C46-A0CC-02F22E9E9207}" name="Coefficients" displayName="_Coefficients_2" ref="C96:D122" totalsRowShown="0">
  <autoFilter ref="C96:D122" xr:uid="{1102E7CF-5650-4DDD-A581-F1CFD182B760}"/>
  <tableColumns count="2">
    <tableColumn id="1" xr3:uid="{10958EF9-E3CA-4D57-AA56-8A68F6DC5EF4}" name="Predictor" dataDxfId="101"/>
    <tableColumn id="2" xr3:uid="{2009EC8D-CA93-488A-A0A9-4C342785F4C2}" name="Estimate" dataDxfId="100"/>
  </tableColumns>
  <tableStyleInfo name="TableStyleMedium9" showFirstColumn="1"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1FAE71AD-C0E1-4CDB-9EA3-54BA6141CA1D}" name="Best Subsets" displayName="Best_Subsets_2" ref="C13:AC34" totalsRowShown="0" dataDxfId="119" tableBorderDxfId="147">
  <autoFilter ref="C13:AC34" xr:uid="{B97A59F0-6CB1-4C16-BE13-48EEF5ACF3EA}"/>
  <tableColumns count="27">
    <tableColumn id="1" xr3:uid="{2C91DE6A-148C-423A-BF3D-ADD0E3C9224D}" name="Subset ID" dataDxfId="146" dataCellStyle="Hyperlink"/>
    <tableColumn id="2" xr3:uid="{563C712F-8018-4A5A-9317-558A967E4D63}" name="Intercept" dataDxfId="145"/>
    <tableColumn id="3" xr3:uid="{20BD2EAC-3748-4B6A-8C62-BFD058E53E51}" name="Nr. reviews" dataDxfId="144"/>
    <tableColumn id="4" xr3:uid="{742951B3-A4FE-4103-88F8-1489423A1B0C}" name="Nr. hotel reviews" dataDxfId="143"/>
    <tableColumn id="5" xr3:uid="{1DBF9AD3-220A-4094-879A-7B372B3A2828}" name="Nr. rooms" dataDxfId="142"/>
    <tableColumn id="6" xr3:uid="{B1DAD97B-3F89-48C4-9FF1-47FCED667729}" name="Member years" dataDxfId="141"/>
    <tableColumn id="7" xr3:uid="{792DA0EC-6D00-4641-8542-64B863890D4C}" name="Period of stay_Dec-Feb" dataDxfId="140"/>
    <tableColumn id="8" xr3:uid="{B7927E62-3AD9-497F-9023-D3B31C48A500}" name="Period of stay_Jun-Aug" dataDxfId="139"/>
    <tableColumn id="9" xr3:uid="{879B5C42-2E16-4E83-B528-303684FF0D5A}" name="Period of stay_Mar-May" dataDxfId="138"/>
    <tableColumn id="10" xr3:uid="{462BD6EB-B5D9-4C70-B3B1-07F5FC340E78}" name="Period of stay_Sep-Nov" dataDxfId="137"/>
    <tableColumn id="11" xr3:uid="{F24AC4C2-1120-43B7-81B8-140BDB05DE06}" name="Traveler type Other" dataDxfId="136"/>
    <tableColumn id="12" xr3:uid="{2168842F-D236-48D9-99F9-98621798874B}" name="Traveler type Families" dataDxfId="135"/>
    <tableColumn id="13" xr3:uid="{1E9962A5-BF17-4BA9-90A3-C48668EE59C9}" name="Traveler type Couples" dataDxfId="134"/>
    <tableColumn id="14" xr3:uid="{D136FBB7-47E0-4A3B-B029-A68A67CD179C}" name="Tennis court_YES" dataDxfId="133"/>
    <tableColumn id="15" xr3:uid="{3D4DF4B8-B93B-451F-B24A-54FE7F8DC347}" name="Hotel stars 3 and 3.5" dataDxfId="132"/>
    <tableColumn id="16" xr3:uid="{CBFAD016-4EB3-4BA3-9413-F63C95917EF3}" name="Hotel stars 4 and 4.5" dataDxfId="131"/>
    <tableColumn id="17" xr3:uid="{BF0F95B3-4975-41E0-9C62-816A9D38DA60}" name="Hotel stars 5" dataDxfId="130"/>
    <tableColumn id="18" xr3:uid="{32840C09-E77A-4183-9317-C37E5F92C131}" name="User continent Other" dataDxfId="129"/>
    <tableColumn id="19" xr3:uid="{E9D320D8-33AF-45A9-BE10-EC0F5A76307D}" name="User continent Europe" dataDxfId="128"/>
    <tableColumn id="20" xr3:uid="{2B98AFC5-97A3-4DC4-A2FA-9456B147EC5C}" name="User continent North America" dataDxfId="127"/>
    <tableColumn id="21" xr3:uid="{51F435B8-DBFA-4158-803B-05612EA87044}" name="Review weekday_Friday" dataDxfId="126"/>
    <tableColumn id="22" xr3:uid="{A23A7F86-200D-4096-A7CF-C0610067FA20}" name="Review weekday_Monday" dataDxfId="125"/>
    <tableColumn id="23" xr3:uid="{2CD24829-4153-4822-AEE6-27564E1701E5}" name="Review weekday_Saturday" dataDxfId="124"/>
    <tableColumn id="24" xr3:uid="{00346886-D9FD-4179-8C30-7B2056BD9731}" name="Review weekday_Sunday" dataDxfId="123"/>
    <tableColumn id="25" xr3:uid="{64B6CB2B-484E-4279-A4DD-6D26769E3191}" name="Review weekday_Thursday" dataDxfId="122"/>
    <tableColumn id="26" xr3:uid="{478B02A9-170E-4C4D-9154-037C9E85CB1D}" name="Review weekday_Tuesday" dataDxfId="121"/>
    <tableColumn id="27" xr3:uid="{22F789BB-EA33-4F7E-AFFA-096BCD9DBAE4}" name="Review weekday_Wednesday" dataDxfId="120"/>
  </tableColumns>
  <tableStyleInfo name="TableStyleMedium9" showFirstColumn="1"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C974D89F-D067-43EF-8FAF-11321AD3A890}" name="Best Subsets Details" displayName="Best_Subsets_Details_2" ref="C37:I58" totalsRowShown="0" dataDxfId="110" tableBorderDxfId="118">
  <autoFilter ref="C37:I58" xr:uid="{68A4ECA4-2628-431E-A8DA-93EB56A71F8C}"/>
  <tableColumns count="7">
    <tableColumn id="1" xr3:uid="{5BF852B9-BB6B-48DC-AE43-B0853827854F}" name="Subset ID" dataDxfId="117"/>
    <tableColumn id="2" xr3:uid="{67256C09-BEE9-4041-A0FE-A948800A9CA4}" name="#Coefficients" dataDxfId="116"/>
    <tableColumn id="3" xr3:uid="{01334C54-CFB1-487A-BB3D-1FDDEA81DD20}" name="RSS" dataDxfId="115"/>
    <tableColumn id="4" xr3:uid="{A337A9C8-F028-415B-BAA3-F3AB28F37957}" name="Mallows's Cp" dataDxfId="114"/>
    <tableColumn id="5" xr3:uid="{D5ED8CA5-34EA-4555-BBD0-0F35DE0753A8}" name="R2" dataDxfId="113"/>
    <tableColumn id="6" xr3:uid="{CCED5523-F014-4F86-B43A-6A53E520070E}" name="Adjusted R2" dataDxfId="112"/>
    <tableColumn id="7" xr3:uid="{67829F07-F401-4A61-80F5-4ED9F9E71B82}" name="Probability" dataDxfId="111"/>
  </tableColumns>
  <tableStyleInfo name="TableStyleMedium10" showFirstColumn="1"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737267D7-124E-480B-B09A-FAB0D96FF887}" name="Training: Prediction Summary" displayName="Training__Prediction_Summary_4" ref="C12:D17" totalsRowShown="0">
  <autoFilter ref="C12:D17" xr:uid="{BE79BD11-7DB8-4BE3-B550-3C378B0C2B92}"/>
  <tableColumns count="2">
    <tableColumn id="1" xr3:uid="{71236EC1-BDFE-4C01-9063-E455CD7C02A3}" name="Metric"/>
    <tableColumn id="2" xr3:uid="{4586BAD2-88DC-4CF8-9A12-E594AFD839DF}" name="Value"/>
  </tableColumns>
  <tableStyleInfo name="TableStyleMedium9"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F8823D6D-2CF7-4A00-833B-E694C3E9C21D}" name="Validation: Prediction Summary" displayName="Validation__Prediction_Summary_4" ref="C12:D17" totalsRowShown="0">
  <autoFilter ref="C12:D17" xr:uid="{B24A486C-1704-4AB4-B15C-71460AD406FE}"/>
  <tableColumns count="2">
    <tableColumn id="1" xr3:uid="{6DE87949-755A-4E59-B1FA-CF7FAF30B6E1}" name="Metric"/>
    <tableColumn id="2" xr3:uid="{30D8B63B-7C08-4408-AC4F-19DBF5F1BEB5}" name="Value"/>
  </tableColumns>
  <tableStyleInfo name="TableStyleMedium9"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8CBE34F1-9E9C-495C-BC71-A7785F3F5828}" name="Regression Summary" displayName="_Regression_Summary_1" ref="C52:D57" totalsRowShown="0">
  <autoFilter ref="C52:D57" xr:uid="{679E407C-E36A-401E-AC5B-5865DD404B6E}"/>
  <tableColumns count="2">
    <tableColumn id="1" xr3:uid="{99F8C067-38D3-4D51-9D89-1AAC0602248F}" name="Metric" dataDxfId="163"/>
    <tableColumn id="2" xr3:uid="{2CE85D0A-8952-46C9-8055-A222BF4CDC06}" name="Value" dataDxfId="162"/>
  </tableColumns>
  <tableStyleInfo name="TableStyleMedium9" showFirstColumn="1"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C89F908-A14E-4955-9BCC-E2B238500DF0}" name="Predictor Screening" displayName="Predictor_Screening_3" ref="C61:E74" totalsRowShown="0">
  <autoFilter ref="C61:E74" xr:uid="{549ADFF3-0AC4-4EE0-A1C0-B7D037FBB418}"/>
  <tableColumns count="3">
    <tableColumn id="1" xr3:uid="{BFB271CB-EC89-43E0-8DD7-06C619C814A5}" name="Predictor" dataDxfId="161"/>
    <tableColumn id="2" xr3:uid="{7FC9D8B2-FF8F-4B68-9D4B-E80E88452143}" name="Criteria" dataDxfId="160"/>
    <tableColumn id="3" xr3:uid="{9F1150E0-279C-44EF-99F0-9FA7E3C0597A}" name="Included" dataDxfId="159"/>
  </tableColumns>
  <tableStyleInfo name="TableStyleMedium9" showFirstColumn="1"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BBAB5B7-628B-43FE-A02F-8B8F591BA25E}" name="Data Frame" displayName="Data_Frame_3" ref="C77:D77" headerRowCount="0" totalsRowShown="0">
  <tableColumns count="2">
    <tableColumn id="1" xr3:uid="{9B222CCC-A4D1-4179-97FD-C9059FCD84A0}" name="Row ID" headerRowDxfId="156" dataDxfId="158"/>
    <tableColumn id="2" xr3:uid="{D4158F38-2829-479A-8F54-3AA5D4866378}" name="Feature 1" dataDxfId="157"/>
  </tableColumns>
  <tableStyleInfo name="TableStyleMedium9" showFirstColumn="1"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78F4D428-30D1-4606-8516-92ADD1B795C6}" name="Coefficients" displayName="_Coefficients_1" ref="C81:I94" totalsRowShown="0" dataDxfId="148">
  <autoFilter ref="C81:I94" xr:uid="{B3633E20-D8DD-4E83-A318-1DDB833F7DE4}"/>
  <tableColumns count="7">
    <tableColumn id="1" xr3:uid="{1396C448-29EC-42D6-BD3B-0BD1FE9B13C6}" name="Predictor" dataDxfId="155"/>
    <tableColumn id="2" xr3:uid="{994C8C6D-82B0-4177-9FAF-44E0D04D4E2F}" name="Estimate" dataDxfId="154"/>
    <tableColumn id="3" xr3:uid="{0CEB9129-FB87-41E1-AA44-86A66FCD492B}" name="Confidence Interval: Lower" dataDxfId="153"/>
    <tableColumn id="4" xr3:uid="{41168AB4-B420-4885-858C-DD9FA1C8423B}" name="Confidence Interval: Upper" dataDxfId="152"/>
    <tableColumn id="5" xr3:uid="{D41CFF3B-A709-4784-BE10-F486FF0B5309}" name="Standard Error" dataDxfId="151"/>
    <tableColumn id="6" xr3:uid="{16B46FE5-503E-4DCE-AE03-7C8EB7198863}" name="T-Statistic" dataDxfId="150"/>
    <tableColumn id="7" xr3:uid="{2060D515-CD07-42BF-A8C5-DB027CA0A570}" name="P-Value" dataDxfId="149"/>
  </tableColumns>
  <tableStyleInfo name="TableStyleMedium9" showFirstColumn="1"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44BBAF7C-9065-4AF8-9D92-B10A85FBE514}" name="Training: Prediction Summary" displayName="Training__Prediction_Summary_3" ref="C12:D17" totalsRowShown="0">
  <autoFilter ref="C12:D17" xr:uid="{71AD5F49-F513-46B1-B60E-B314905EB2B7}"/>
  <tableColumns count="2">
    <tableColumn id="1" xr3:uid="{55CD8AE6-22CA-485B-B946-A6A5502918CE}" name="Metric"/>
    <tableColumn id="2" xr3:uid="{A93B7A04-07DE-46B7-93AE-2DC5EE824035}" name="Value"/>
  </tableColumns>
  <tableStyleInfo name="TableStyleMedium9"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5B381F31-E87F-4336-8FA7-DCBBC3884957}" name="Training: Prediction Details" displayName="Training__Prediction_Details_1" ref="C21:F394" totalsRowShown="0" dataDxfId="164">
  <autoFilter ref="C21:F394" xr:uid="{6CCC5AC6-1ED2-44E4-A43C-6BED199B716B}"/>
  <tableColumns count="4">
    <tableColumn id="1" xr3:uid="{CA91312E-B4A1-4026-A322-7B5AB75F0A50}" name="Record ID" dataDxfId="168"/>
    <tableColumn id="2" xr3:uid="{9D159A8E-2621-45CF-B2FB-36B076F5D1E4}" name="Score" dataDxfId="167"/>
    <tableColumn id="3" xr3:uid="{4ED8438B-553B-4D12-8BB2-8FB772E716EB}" name="Prediction: Score" dataDxfId="166"/>
    <tableColumn id="4" xr3:uid="{D4C09489-252D-4A0A-9F8F-BE8C23F3E8CC}" name="Residual" dataDxfId="165"/>
  </tableColumns>
  <tableStyleInfo name="TableStyleMedium9" showFirstColumn="1"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C190F7BD-3372-42B6-99C5-688F6EBB6808}" name="Validation: Prediction Summary" displayName="Validation__Prediction_Summary_3" ref="C12:D17" totalsRowShown="0">
  <autoFilter ref="C12:D17" xr:uid="{BC25781C-3B89-4E26-B995-E3CC2A5F3A36}"/>
  <tableColumns count="2">
    <tableColumn id="1" xr3:uid="{03331DAB-9D0E-4293-9C29-87AA3DCFC838}" name="Metric"/>
    <tableColumn id="2" xr3:uid="{AE25C683-76CA-443F-AAC7-6F638ED6AF2F}" name="Value"/>
  </tableColumns>
  <tableStyleInfo name="TableStyleMedium9"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43C5B13-6BF8-4725-9F17-F2314DC8FD62}" name="Validation: Prediction Details" displayName="Validation__Prediction_Details_1" ref="C21:F114" totalsRowShown="0" dataDxfId="169">
  <autoFilter ref="C21:F114" xr:uid="{5870E21D-81D7-4A77-BD88-F76BE9AB8003}"/>
  <tableColumns count="4">
    <tableColumn id="1" xr3:uid="{3AD53D4E-C5E9-438E-AB28-3FEC0F92E721}" name="Record ID" dataDxfId="173"/>
    <tableColumn id="2" xr3:uid="{79546310-0594-4E47-8C57-B3D977027EB4}" name="Score" dataDxfId="172"/>
    <tableColumn id="3" xr3:uid="{A0DFE1CE-897A-4A1B-AE8F-E1EF15B7CAF2}" name="Prediction: Score" dataDxfId="171"/>
    <tableColumn id="4" xr3:uid="{DDD314AD-134F-4825-BC04-FDEE918B4A19}" name="Residual" dataDxfId="170"/>
  </tableColumns>
  <tableStyleInfo name="TableStyleMedium9" showFirstColumn="1"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53C8EE6-9565-4D52-8AD8-8098F7EF78E8}" name="Regression Summary" displayName="_Regression_Summary" ref="C55:D60" totalsRowShown="0">
  <autoFilter ref="C55:D60" xr:uid="{0E06E267-C164-4509-87D6-60D0F88C969A}"/>
  <tableColumns count="2">
    <tableColumn id="1" xr3:uid="{15F73F04-88C6-4150-A428-664602C40143}" name="Metric" dataDxfId="183"/>
    <tableColumn id="2" xr3:uid="{0739F9A8-AF91-46A4-B659-7A6A234628A6}" name="Value" dataDxfId="182"/>
  </tableColumns>
  <tableStyleInfo name="TableStyleMedium9" showFirstColumn="1"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3C92BB02-2C9A-48E5-96C3-305C7F378A43}" name="Predictor Screening" displayName="Predictor_Screening_2" ref="C64:E90" totalsRowShown="0">
  <autoFilter ref="C64:E90" xr:uid="{55E189F9-02DF-4D2E-88FC-82C622C36E70}"/>
  <tableColumns count="3">
    <tableColumn id="1" xr3:uid="{B37A4C93-3A95-4C17-ACD4-A37DEE658575}" name="Predictor" dataDxfId="181"/>
    <tableColumn id="2" xr3:uid="{C5778DCE-FE1B-44FE-BBB7-C7793793EBA6}" name="Criteria" dataDxfId="180"/>
    <tableColumn id="3" xr3:uid="{C1D19F6A-0321-43E1-B141-7926A63A722B}" name="Included" dataDxfId="179"/>
  </tableColumns>
  <tableStyleInfo name="TableStyleMedium9" showFirstColumn="1"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44A15EC-B76C-4289-ACE4-69037C592EE4}" name="Data Frame" displayName="Data_Frame_2" ref="C93:D93" headerRowCount="0" totalsRowShown="0">
  <tableColumns count="2">
    <tableColumn id="1" xr3:uid="{BA05ED95-43C4-4212-8134-34F701E4FF1C}" name="Row ID" headerRowDxfId="176" dataDxfId="178"/>
    <tableColumn id="2" xr3:uid="{5BA96DAF-4901-4D86-B12B-6E713360DBBB}" name="Feature 1" dataDxfId="177"/>
  </tableColumns>
  <tableStyleInfo name="TableStyleMedium9" showFirstColumn="1"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F728371-0CD7-4856-BEE3-B3F8C127C1A7}" name="Coefficients" displayName="_Coefficients" ref="C97:D123" totalsRowShown="0">
  <autoFilter ref="C97:D123" xr:uid="{38F67091-E95E-44B1-BA63-BE9DAE15462C}"/>
  <tableColumns count="2">
    <tableColumn id="1" xr3:uid="{34334FF2-C21D-4382-8B8A-F412B1257CD7}" name="Predictor" dataDxfId="175"/>
    <tableColumn id="2" xr3:uid="{17CEFC86-724E-4751-AA99-198A624E2FB2}" name="Estimate" dataDxfId="174"/>
  </tableColumns>
  <tableStyleInfo name="TableStyleMedium9" showFirstColumn="1"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386674BE-AF0E-4CF4-8E6A-52DD02E1BF09}" name="Best Subsets" displayName="Best_Subsets_1" ref="C13:AC28" totalsRowShown="0" dataDxfId="193" tableBorderDxfId="221">
  <autoFilter ref="C13:AC28" xr:uid="{39F7257E-9012-4176-8574-B4813BEEA5ED}"/>
  <tableColumns count="27">
    <tableColumn id="1" xr3:uid="{943A8DE1-7A7A-41B7-8D3F-AFB9AE0D9517}" name="Subset ID" dataDxfId="220" dataCellStyle="Hyperlink"/>
    <tableColumn id="2" xr3:uid="{E1384726-557F-429B-98EE-B1D86F37C377}" name="Intercept" dataDxfId="219"/>
    <tableColumn id="3" xr3:uid="{98A63379-71BA-4C81-A3A2-F6C201D2677A}" name="Nr. reviews" dataDxfId="218"/>
    <tableColumn id="4" xr3:uid="{169849C2-7504-444A-A607-DD04D6CBBAC4}" name="Nr. hotel reviews" dataDxfId="217"/>
    <tableColumn id="5" xr3:uid="{C32995AC-20CE-4D0E-997E-9723C2B0F7B4}" name="Nr. rooms" dataDxfId="216"/>
    <tableColumn id="6" xr3:uid="{72C84C10-B42C-4CC4-9BBE-961D0BFAAB6A}" name="Member years" dataDxfId="215"/>
    <tableColumn id="7" xr3:uid="{1BB7D8B7-C993-4D41-B613-4CD74FAB0D90}" name="Period of stay_Dec-Feb" dataDxfId="214"/>
    <tableColumn id="8" xr3:uid="{420382A9-44AB-45EE-82BB-682CB8A17C8E}" name="Period of stay_Jun-Aug" dataDxfId="213"/>
    <tableColumn id="9" xr3:uid="{B39893D2-9EDB-425B-93C0-019D30835938}" name="Period of stay_Mar-May" dataDxfId="212"/>
    <tableColumn id="10" xr3:uid="{BD9355F7-3D76-4046-B8ED-0EA21AE4D056}" name="Period of stay_Sep-Nov" dataDxfId="211"/>
    <tableColumn id="11" xr3:uid="{D021BEDD-18BC-4D40-A298-872A82C03798}" name="Traveler type Other" dataDxfId="210"/>
    <tableColumn id="12" xr3:uid="{DE3F8C99-5646-4FC2-97F2-C65DAEA40072}" name="Traveler type Families" dataDxfId="209"/>
    <tableColumn id="13" xr3:uid="{C6F0F08C-A678-42CC-AACA-3FD6A321C72A}" name="Traveler type Couples" dataDxfId="208"/>
    <tableColumn id="14" xr3:uid="{E38B3549-403D-46F3-875B-D0014F0056D1}" name="Tennis court_YES" dataDxfId="207"/>
    <tableColumn id="15" xr3:uid="{FEAF601D-87AE-4439-A42F-7B602584589F}" name="Hotel stars 3 and 3.5" dataDxfId="206"/>
    <tableColumn id="16" xr3:uid="{A7EA78F1-CCBC-4028-8620-F07B3BE80E2D}" name="Hotel stars 4 and 4.5" dataDxfId="205"/>
    <tableColumn id="17" xr3:uid="{422B2E5A-99BF-47BA-8FCF-140D515BE770}" name="Hotel stars 5" dataDxfId="204"/>
    <tableColumn id="18" xr3:uid="{DDBBF567-5E0A-4C5A-AAF3-34EB2D013100}" name="User continent Other" dataDxfId="203"/>
    <tableColumn id="19" xr3:uid="{E8FAAC63-B101-452E-80FB-86247B6238DD}" name="User continent Europe" dataDxfId="202"/>
    <tableColumn id="20" xr3:uid="{5DAA868B-8F0E-435F-8E70-D3CB19AE6A3C}" name="User continent North America" dataDxfId="201"/>
    <tableColumn id="21" xr3:uid="{C97091D8-20F9-443A-8379-722857EC0E1F}" name="Review weekday_Friday" dataDxfId="200"/>
    <tableColumn id="22" xr3:uid="{18A30AB6-BBCB-4C08-99DB-2DEBB644A673}" name="Review weekday_Monday" dataDxfId="199"/>
    <tableColumn id="23" xr3:uid="{B0FE0AA9-2FB0-492C-A8D9-9801E55A2449}" name="Review weekday_Saturday" dataDxfId="198"/>
    <tableColumn id="24" xr3:uid="{9FA4B6F0-9989-46BE-A992-6D99A1D500E6}" name="Review weekday_Sunday" dataDxfId="197"/>
    <tableColumn id="25" xr3:uid="{7D7777A0-C67F-40D9-B040-0071F06E2A6E}" name="Review weekday_Thursday" dataDxfId="196"/>
    <tableColumn id="26" xr3:uid="{ADCA4B94-5C70-4AF6-BFA8-67304C5E7F95}" name="Review weekday_Tuesday" dataDxfId="195"/>
    <tableColumn id="27" xr3:uid="{19E2C3A5-8FA3-4908-94EA-1637D53A934F}" name="Review weekday_Wednesday" dataDxfId="194"/>
  </tableColumns>
  <tableStyleInfo name="TableStyleMedium9" showFirstColumn="1"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41007685-6B8E-4B9E-9FB5-828503933FF5}" name="Best Subsets Details" displayName="Best_Subsets_Details_1" ref="C31:I46" totalsRowShown="0" dataDxfId="184" tableBorderDxfId="192">
  <autoFilter ref="C31:I46" xr:uid="{B311E756-2A40-44B3-B3DD-76CA5D5A70E5}"/>
  <tableColumns count="7">
    <tableColumn id="1" xr3:uid="{38BA6C58-48F7-411D-95D3-835B1030D92A}" name="Subset ID" dataDxfId="191"/>
    <tableColumn id="2" xr3:uid="{260A5BA8-56D6-48C7-A6AD-521B9F75BD05}" name="#Coefficients" dataDxfId="190"/>
    <tableColumn id="3" xr3:uid="{BD1BA726-FB13-445B-8B8E-82DBC2AF47AB}" name="RSS" dataDxfId="189"/>
    <tableColumn id="4" xr3:uid="{7EEAD6A9-7A88-45D0-A533-5C11C87EB18F}" name="Mallows's Cp" dataDxfId="188"/>
    <tableColumn id="5" xr3:uid="{922AB841-F730-42AC-8D81-3B3F86ADD3E4}" name="R2" dataDxfId="187"/>
    <tableColumn id="6" xr3:uid="{D02D8711-1942-47C1-BD5E-F254ECA877ED}" name="Adjusted R2" dataDxfId="186"/>
    <tableColumn id="7" xr3:uid="{D32C8DB0-ED62-4B95-B8F9-15B4C06CA23E}" name="Probability" dataDxfId="185"/>
  </tableColumns>
  <tableStyleInfo name="TableStyleMedium10" showFirstColumn="1"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829E68EA-BCFC-4E24-B82D-2C63A5D2293F}" name="Training: Prediction Summary" displayName="Training__Prediction_Summary_2" ref="C12:D17" totalsRowShown="0">
  <autoFilter ref="C12:D17" xr:uid="{DE8209BC-F178-4949-A63C-8AE003ACA918}"/>
  <tableColumns count="2">
    <tableColumn id="1" xr3:uid="{5A260033-F66A-40CB-965A-16495C2156AD}" name="Metric"/>
    <tableColumn id="2" xr3:uid="{C521CB61-0DDE-4C78-BFC7-9601218A013C}" name="Value"/>
  </tableColumns>
  <tableStyleInfo name="TableStyleMedium9"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C5952D5-0134-4EA1-81DB-817FC6220C0A}" name="Validation: Prediction Summary" displayName="Validation__Prediction_Summary_2" ref="C12:D17" totalsRowShown="0">
  <autoFilter ref="C12:D17" xr:uid="{E065BD4B-B041-400B-9D74-61B70ADBC664}"/>
  <tableColumns count="2">
    <tableColumn id="1" xr3:uid="{900FD1C6-A9EF-453D-BCA5-026E0872172D}" name="Metric"/>
    <tableColumn id="2" xr3:uid="{9DC80E6C-D79E-4A8F-8F2F-B5DD8A93FBEC}" name="Value"/>
  </tableColumns>
  <tableStyleInfo name="TableStyleMedium9"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8C8FEE1D-005E-4DBA-BED9-71FF76AD270C}" name="Regression Summary" displayName="Regression_Summary_" ref="C52:D57" totalsRowShown="0">
  <autoFilter ref="C52:D57" xr:uid="{5621D195-70AC-4F23-82B9-D556543D48B8}"/>
  <tableColumns count="2">
    <tableColumn id="1" xr3:uid="{26811A96-F8D5-4A8D-8B60-A19170F0A74F}" name="Metric" dataDxfId="242"/>
    <tableColumn id="2" xr3:uid="{3C741CDC-9092-4482-B479-11C1DD3C47C9}" name="Value" dataDxfId="241"/>
  </tableColumns>
  <tableStyleInfo name="TableStyleMedium9" showFirstColumn="1"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9B00BC0F-7A18-4DB7-9B72-4D58854FC089}" name="Predictor Screening" displayName="Predictor_Screening_1" ref="C61:E66" totalsRowShown="0">
  <autoFilter ref="C61:E66" xr:uid="{F023BD55-76C1-48B7-ADD2-F15657975A8C}"/>
  <tableColumns count="3">
    <tableColumn id="1" xr3:uid="{DA4049EE-3507-4559-83B1-F8737048FFC4}" name="Predictor" dataDxfId="240"/>
    <tableColumn id="2" xr3:uid="{C7FD03B3-3833-4FBC-ABF2-D80FFB775EAB}" name="Criteria" dataDxfId="239"/>
    <tableColumn id="3" xr3:uid="{1BA8D435-B1B4-4BA3-A70E-ECE54F55319F}" name="Included" dataDxfId="238"/>
  </tableColumns>
  <tableStyleInfo name="TableStyleMedium9" showFirstColumn="1"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89D503F9-387F-43BF-B599-5A8B60866871}" name="Data Frame" displayName="Data_Frame_1" ref="C69:D69" headerRowCount="0" totalsRowShown="0">
  <tableColumns count="2">
    <tableColumn id="1" xr3:uid="{942A63FA-8109-4EFA-88C6-01578A330EC4}" name="Row ID" headerRowDxfId="235" dataDxfId="237"/>
    <tableColumn id="2" xr3:uid="{E4C46EC0-0712-40B4-B8B0-264793501D9E}" name="Feature 1" dataDxfId="236"/>
  </tableColumns>
  <tableStyleInfo name="TableStyleMedium9" showFirstColumn="1"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EA6C6299-A889-4AF2-909F-03C772E7EDA8}" name="Coefficients" displayName="Coefficients_" ref="C73:I78" totalsRowShown="0" dataDxfId="234">
  <autoFilter ref="C73:I78" xr:uid="{45318F56-09C6-472E-B6AC-1A1B23E579D5}"/>
  <tableColumns count="7">
    <tableColumn id="1" xr3:uid="{E81B1B9A-396C-409F-9050-85AE2C179DF0}" name="Predictor" dataDxfId="233"/>
    <tableColumn id="2" xr3:uid="{E2BAF210-3F93-4B4B-BD6D-43342F1C3383}" name="Estimate" dataDxfId="232"/>
    <tableColumn id="3" xr3:uid="{BA536A06-CB6B-40B4-8670-818ED3FEB792}" name="Confidence Interval: Lower" dataDxfId="231"/>
    <tableColumn id="4" xr3:uid="{9C281723-3D48-49DD-9207-74EA1501CA27}" name="Confidence Interval: Upper" dataDxfId="230"/>
    <tableColumn id="5" xr3:uid="{BA57073E-7E32-4C92-A120-85C8B6F9F814}" name="Standard Error" dataDxfId="229"/>
    <tableColumn id="6" xr3:uid="{F324EAAC-BDD3-4B74-ABF2-4C496042BCBF}" name="T-Statistic" dataDxfId="228"/>
    <tableColumn id="7" xr3:uid="{255D653C-AD22-4061-A158-ADB35B6C41FD}" name="P-Value" dataDxfId="227"/>
  </tableColumns>
  <tableStyleInfo name="TableStyleMedium9" showFirstColumn="1"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98E353F5-15D2-40C4-81DB-589B8808A021}" name="Training: Prediction Summary" displayName="Training__Prediction_Summary_1" ref="C12:D17" totalsRowShown="0">
  <autoFilter ref="C12:D17" xr:uid="{3D3D1596-AEE7-4A23-A891-FED96A248CCA}"/>
  <tableColumns count="2">
    <tableColumn id="1" xr3:uid="{5C9666E0-2646-4608-AA80-00F0597D1D64}" name="Metric"/>
    <tableColumn id="2" xr3:uid="{872AEB6E-CF76-40D4-A21A-DC25BE6042C9}" name="Value"/>
  </tableColumns>
  <tableStyleInfo name="TableStyleMedium9"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13BCDE95-5E1B-4963-8792-E7CDF1E5B51B}" name="Training: Prediction Details" displayName="Training__Prediction_Details" ref="C21:F394" totalsRowShown="0" dataDxfId="243">
  <autoFilter ref="C21:F394" xr:uid="{1659624E-859E-4B6F-9463-B6812473C6FE}"/>
  <tableColumns count="4">
    <tableColumn id="1" xr3:uid="{74E59612-02FB-4FEB-ADCB-83271016643A}" name="Record ID" dataDxfId="247"/>
    <tableColumn id="2" xr3:uid="{36C3B8DD-6664-4B53-8651-408781B06660}" name="Score" dataDxfId="246"/>
    <tableColumn id="3" xr3:uid="{4E7BED8F-8BFF-4CDA-B1C4-F8466C21A58E}" name="Prediction: Score" dataDxfId="245"/>
    <tableColumn id="4" xr3:uid="{EE09594A-5E63-49BD-992D-E512F1B04577}" name="Residual" dataDxfId="244"/>
  </tableColumns>
  <tableStyleInfo name="TableStyleMedium9" showFirstColumn="1"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02645E2-8A8F-4E53-B990-F0744DFB6957}" name="Validation: Prediction Summary" displayName="Validation__Prediction_Summary_1" ref="C12:D17" totalsRowShown="0">
  <autoFilter ref="C12:D17" xr:uid="{DAE6825A-C8EE-40C9-B3D9-FA6AD79A2849}"/>
  <tableColumns count="2">
    <tableColumn id="1" xr3:uid="{85AD1808-0099-4B76-B4BD-3789BE642DBC}" name="Metric"/>
    <tableColumn id="2" xr3:uid="{01D5A676-4ACD-4F35-8B75-24E5C8E2F8A4}" name="Value"/>
  </tableColumns>
  <tableStyleInfo name="TableStyleMedium9"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5A89356C-64A5-49B5-B48D-AF749B56BBB7}" name="Validation: Prediction Details" displayName="Validation__Prediction_Details" ref="C21:F114" totalsRowShown="0" dataDxfId="226">
  <autoFilter ref="C21:F114" xr:uid="{756C2E9C-F9EF-4018-9BAC-DFE02264DCA2}"/>
  <tableColumns count="4">
    <tableColumn id="1" xr3:uid="{911F937A-A3BE-490B-BE91-FA41D6184AB7}" name="Record ID" dataDxfId="225"/>
    <tableColumn id="2" xr3:uid="{4507D391-1D73-44D8-9E81-8CDB63F51738}" name="Score" dataDxfId="224"/>
    <tableColumn id="3" xr3:uid="{A12A6A1C-4442-4EDD-B144-E0975A6C5A75}" name="Prediction: Score" dataDxfId="223"/>
    <tableColumn id="4" xr3:uid="{F944E472-2AF3-4540-82DE-01F991DCAB84}" name="Residual" dataDxfId="222"/>
  </tableColumns>
  <tableStyleInfo name="TableStyleMedium9" showFirstColumn="1"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47588D6-5E2D-44D9-BCCA-4CF26178DFA4}" name="Regression Summary" displayName="Regression_Summary" ref="C55:D60" totalsRowShown="0">
  <autoFilter ref="C55:D60" xr:uid="{5B718FA8-6A82-4104-BB08-46A616F2B3CA}"/>
  <tableColumns count="2">
    <tableColumn id="1" xr3:uid="{D2DE4E54-B160-4761-94D3-F62AD764BFCC}" name="Metric" dataDxfId="257"/>
    <tableColumn id="2" xr3:uid="{2BEAE5C1-B9B3-4319-8F93-DD16C5F25E54}" name="Value" dataDxfId="256"/>
  </tableColumns>
  <tableStyleInfo name="TableStyleMedium9" showFirstColumn="1"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EFA0BA84-EE7C-4AB2-B0B3-D701794664C7}" name="Predictor Screening" displayName="Predictor_Screening" ref="C64:E90" totalsRowShown="0">
  <autoFilter ref="C64:E90" xr:uid="{ADF4E050-DA1E-4090-91E0-C0F1CCA6ABF2}"/>
  <tableColumns count="3">
    <tableColumn id="1" xr3:uid="{14706B16-0B48-49FB-9C18-207CA398B1D6}" name="Predictor" dataDxfId="255"/>
    <tableColumn id="2" xr3:uid="{A9C10158-9967-4C4D-919B-50E48CEA2306}" name="Criteria" dataDxfId="254"/>
    <tableColumn id="3" xr3:uid="{0DBB4F98-15C4-4427-921F-D5B7E5E485AB}" name="Included" dataDxfId="253"/>
  </tableColumns>
  <tableStyleInfo name="TableStyleMedium9" showFirstColumn="1"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A32A1C0-0045-48B8-8872-007C1FDC6BF1}" name="Data Frame" displayName="Data_Frame" ref="C93:D93" headerRowCount="0" totalsRowShown="0">
  <tableColumns count="2">
    <tableColumn id="1" xr3:uid="{0867B7B4-6E09-4909-A65B-CB7F4E4D50B0}" name="Row ID" headerRowDxfId="250" dataDxfId="252"/>
    <tableColumn id="2" xr3:uid="{DF14A03B-A4C2-47AB-AB54-95E07D96886A}" name="Feature 1" dataDxfId="251"/>
  </tableColumns>
  <tableStyleInfo name="TableStyleMedium9" showFirstColumn="1"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FB1B5A2-62A0-4295-A306-8DABA17BE52B}" name="Coefficients" displayName="Coefficients" ref="C97:D123" totalsRowShown="0">
  <autoFilter ref="C97:D123" xr:uid="{5F766007-1515-45E0-8C11-1ECBDD799F9E}"/>
  <tableColumns count="2">
    <tableColumn id="1" xr3:uid="{8130250B-1A2C-4FBB-BC6E-75AFBA3DC339}" name="Predictor" dataDxfId="249"/>
    <tableColumn id="2" xr3:uid="{3BC16672-38BB-45D6-A516-60D94EE157C1}" name="Estimate" dataDxfId="248"/>
  </tableColumns>
  <tableStyleInfo name="TableStyleMedium9" showFirstColumn="1"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EEF15F25-9DE2-4630-8C40-64646BE63975}" name="Best Subsets" displayName="Best_Subsets" ref="C13:AC18" totalsRowShown="0" dataDxfId="267" tableBorderDxfId="295">
  <autoFilter ref="C13:AC18" xr:uid="{74FEC146-C2EF-49F6-8B25-E113B5B94EA3}"/>
  <tableColumns count="27">
    <tableColumn id="1" xr3:uid="{1E1F7E35-717C-4BA6-9922-27CB0F5FD9D4}" name="Subset ID" dataDxfId="294" dataCellStyle="Hyperlink"/>
    <tableColumn id="2" xr3:uid="{DC4A2343-45CA-4AB8-8583-DC52F11903D8}" name="Intercept" dataDxfId="293"/>
    <tableColumn id="3" xr3:uid="{0615B7FA-1FE1-4D9C-9284-23600F22F625}" name="Nr. reviews" dataDxfId="292"/>
    <tableColumn id="4" xr3:uid="{BDEC0A1F-BFA2-4AEA-B9BB-0C78D29A3DC4}" name="Nr. hotel reviews" dataDxfId="291"/>
    <tableColumn id="5" xr3:uid="{D79CF7E0-B5D8-4FC3-9B7E-D9E7FC093113}" name="Nr. rooms" dataDxfId="290"/>
    <tableColumn id="6" xr3:uid="{8F35CD54-62A7-4E98-AD17-FA31944D52F3}" name="Member years" dataDxfId="289"/>
    <tableColumn id="7" xr3:uid="{5B18587D-60FD-4CB7-B43B-DC06F0A14FF8}" name="Period of stay_Dec-Feb" dataDxfId="288"/>
    <tableColumn id="8" xr3:uid="{6CA9FEB8-BD99-4116-AD77-E33B0010B639}" name="Period of stay_Jun-Aug" dataDxfId="287"/>
    <tableColumn id="9" xr3:uid="{19F7713F-8CBA-45B3-BB1B-86CFD86300D6}" name="Period of stay_Mar-May" dataDxfId="286"/>
    <tableColumn id="10" xr3:uid="{A5A85FA6-8CC4-4C64-B954-60CD010C5D37}" name="Period of stay_Sep-Nov" dataDxfId="285"/>
    <tableColumn id="11" xr3:uid="{3F8BC775-8790-4920-BE17-6077F404DDDA}" name="Traveler type Other" dataDxfId="284"/>
    <tableColumn id="12" xr3:uid="{945EF857-8922-4C8B-AB53-60514CCD2AC8}" name="Traveler type Families" dataDxfId="283"/>
    <tableColumn id="13" xr3:uid="{69C315D3-86EA-4180-90BC-628CCEC2559B}" name="Traveler type Couples" dataDxfId="282"/>
    <tableColumn id="14" xr3:uid="{34467EBE-7E8F-402A-B4DE-1D5ECEC57335}" name="Tennis court_YES" dataDxfId="281"/>
    <tableColumn id="15" xr3:uid="{2D8AF68F-6D85-4C1F-9D20-B8E28A8FB5EE}" name="Hotel stars 3 and 3.5" dataDxfId="280"/>
    <tableColumn id="16" xr3:uid="{50B2130A-A6C6-466E-82A7-BDF9B564463C}" name="Hotel stars 4 and 4.5" dataDxfId="279"/>
    <tableColumn id="17" xr3:uid="{C1090B41-A774-4255-ACE6-6CB7F64E105A}" name="Hotel stars 5" dataDxfId="278"/>
    <tableColumn id="18" xr3:uid="{A336AFB2-9E14-4E2D-AA05-44172F09A448}" name="User continent Other" dataDxfId="277"/>
    <tableColumn id="19" xr3:uid="{D335EB30-268E-4484-849E-F94827205738}" name="User continent Europe" dataDxfId="276"/>
    <tableColumn id="20" xr3:uid="{05886F26-1056-43AD-A9D7-226B8228A121}" name="User continent North America" dataDxfId="275"/>
    <tableColumn id="21" xr3:uid="{9DB4F7F3-B214-4C11-B725-0B03B47E7514}" name="Review weekday_Friday" dataDxfId="274"/>
    <tableColumn id="22" xr3:uid="{06B8A304-B934-4750-9726-D2F7FF4EAB98}" name="Review weekday_Monday" dataDxfId="273"/>
    <tableColumn id="23" xr3:uid="{94D0F028-99BF-4925-9068-D27C8DE6F566}" name="Review weekday_Saturday" dataDxfId="272"/>
    <tableColumn id="24" xr3:uid="{33D1F370-FAAB-4E14-8CC8-E6ECD7357982}" name="Review weekday_Sunday" dataDxfId="271"/>
    <tableColumn id="25" xr3:uid="{FB35C110-CF99-4FA0-9B16-1390A8EB0B16}" name="Review weekday_Thursday" dataDxfId="270"/>
    <tableColumn id="26" xr3:uid="{11B3DF8C-28B5-4DFA-82AD-381B46BC1097}" name="Review weekday_Tuesday" dataDxfId="269"/>
    <tableColumn id="27" xr3:uid="{749AC77A-67FB-4B61-97C6-E67033B7466A}" name="Review weekday_Wednesday" dataDxfId="268"/>
  </tableColumns>
  <tableStyleInfo name="TableStyleMedium9" showFirstColumn="1"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AE89BDC-C92A-4EBE-8D1E-8A8F136189F4}" name="Best Subsets Details" displayName="Best_Subsets_Details" ref="C21:I26" totalsRowShown="0" dataDxfId="258" tableBorderDxfId="266">
  <autoFilter ref="C21:I26" xr:uid="{75693971-7D71-4DA0-A147-38A1764A95E9}"/>
  <tableColumns count="7">
    <tableColumn id="1" xr3:uid="{8DAF08C0-1D46-4D98-9EFD-3964D98C7AC8}" name="Subset ID" dataDxfId="265"/>
    <tableColumn id="2" xr3:uid="{FE108E2B-72A0-4594-A24D-4306ED2BCD57}" name="#Coefficients" dataDxfId="264"/>
    <tableColumn id="3" xr3:uid="{BAD7EEA1-9B20-4AE5-B717-E2B8B6A5A9E0}" name="RSS" dataDxfId="263"/>
    <tableColumn id="4" xr3:uid="{5537F154-8BDC-4253-A211-4204EAD86387}" name="Mallows's Cp" dataDxfId="262"/>
    <tableColumn id="5" xr3:uid="{49889914-2885-48E1-873D-DB6986614A64}" name="R2" dataDxfId="261"/>
    <tableColumn id="6" xr3:uid="{71D6B3AF-3176-43AD-AC2E-F40F5CB246E9}" name="Adjusted R2" dataDxfId="260"/>
    <tableColumn id="7" xr3:uid="{DBF11BCC-B652-4A7F-832D-BE843EFE766F}" name="Probability" dataDxfId="259"/>
  </tableColumns>
  <tableStyleInfo name="TableStyleMedium10" showFirstColumn="1"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F6DF302A-5A54-4060-B13D-EF6A516332A6}" name="Training: Prediction Summary" displayName="Training__Prediction_Summary" ref="C12:D17" totalsRowShown="0">
  <autoFilter ref="C12:D17" xr:uid="{54A53761-84C2-4707-A936-664F1186E94E}"/>
  <tableColumns count="2">
    <tableColumn id="1" xr3:uid="{A4C777CE-EB1D-43F5-871B-FEB2E9ACEA5B}" name="Metric"/>
    <tableColumn id="2" xr3:uid="{62AFA2AD-D527-4249-A9BF-7BDA5342EF41}" name="Value"/>
  </tableColumns>
  <tableStyleInfo name="TableStyleMedium9"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12499855-CA65-4323-8A66-1FB481D1214B}" name="Validation: Prediction Summary" displayName="Validation__Prediction_Summary" ref="C12:D17" totalsRowShown="0">
  <autoFilter ref="C12:D17" xr:uid="{5F4F419E-328E-4FB2-BD04-DB6D4D1D9106}"/>
  <tableColumns count="2">
    <tableColumn id="1" xr3:uid="{65743734-E25D-4F7D-B32B-E349666AD2BB}" name="Metric"/>
    <tableColumn id="2" xr3:uid="{C3083ADE-01DB-4331-8040-D51C39DCDD1A}" name="Valu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 Id="rId4" Type="http://schemas.openxmlformats.org/officeDocument/2006/relationships/table" Target="../tables/table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table" Target="../tables/table13.xml"/><Relationship Id="rId4" Type="http://schemas.openxmlformats.org/officeDocument/2006/relationships/table" Target="../tables/table1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table" Target="../tables/table17.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table" Target="../tables/table22.xml"/><Relationship Id="rId1" Type="http://schemas.openxmlformats.org/officeDocument/2006/relationships/table" Target="../tables/table21.xml"/><Relationship Id="rId4" Type="http://schemas.openxmlformats.org/officeDocument/2006/relationships/table" Target="../tables/table2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table" Target="../tables/table25.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table" Target="../tables/table27.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table" Target="../tables/table30.xml"/><Relationship Id="rId1" Type="http://schemas.openxmlformats.org/officeDocument/2006/relationships/table" Target="../tables/table29.xml"/><Relationship Id="rId4" Type="http://schemas.openxmlformats.org/officeDocument/2006/relationships/table" Target="../tables/table32.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table" Target="../tables/table3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35.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36.xml"/></Relationships>
</file>

<file path=xl/worksheets/_rels/sheet26.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table" Target="../tables/table38.xml"/><Relationship Id="rId1" Type="http://schemas.openxmlformats.org/officeDocument/2006/relationships/table" Target="../tables/table37.xml"/><Relationship Id="rId4" Type="http://schemas.openxmlformats.org/officeDocument/2006/relationships/table" Target="../tables/table40.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table" Target="../tables/table41.xml"/></Relationships>
</file>

<file path=xl/worksheets/_rels/sheet28.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table" Target="../tables/table43.xml"/><Relationship Id="rId1" Type="http://schemas.openxmlformats.org/officeDocument/2006/relationships/vmlDrawing" Target="../drawings/vmlDrawing1.vml"/><Relationship Id="rId4" Type="http://schemas.openxmlformats.org/officeDocument/2006/relationships/comments" Target="../comments1.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table" Target="../tables/table46.xml"/><Relationship Id="rId1" Type="http://schemas.openxmlformats.org/officeDocument/2006/relationships/table" Target="../tables/table45.xml"/><Relationship Id="rId4" Type="http://schemas.openxmlformats.org/officeDocument/2006/relationships/table" Target="../tables/table48.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50.xml"/><Relationship Id="rId1" Type="http://schemas.openxmlformats.org/officeDocument/2006/relationships/table" Target="../tables/table49.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51.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52.xml"/></Relationships>
</file>

<file path=xl/worksheets/_rels/sheet3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6.xml.rels><?xml version="1.0" encoding="UTF-8" standalone="yes"?>
<Relationships xmlns="http://schemas.openxmlformats.org/package/2006/relationships"><Relationship Id="rId3" Type="http://schemas.openxmlformats.org/officeDocument/2006/relationships/table" Target="../tables/table54.xml"/><Relationship Id="rId2" Type="http://schemas.openxmlformats.org/officeDocument/2006/relationships/table" Target="../tables/table53.xml"/><Relationship Id="rId1" Type="http://schemas.openxmlformats.org/officeDocument/2006/relationships/vmlDrawing" Target="../drawings/vmlDrawing3.vml"/><Relationship Id="rId6" Type="http://schemas.openxmlformats.org/officeDocument/2006/relationships/comments" Target="../comments3.xml"/><Relationship Id="rId5" Type="http://schemas.openxmlformats.org/officeDocument/2006/relationships/table" Target="../tables/table56.xml"/><Relationship Id="rId4" Type="http://schemas.openxmlformats.org/officeDocument/2006/relationships/table" Target="../tables/table55.xml"/></Relationships>
</file>

<file path=xl/worksheets/_rels/sheet37.xml.rels><?xml version="1.0" encoding="UTF-8" standalone="yes"?>
<Relationships xmlns="http://schemas.openxmlformats.org/package/2006/relationships"><Relationship Id="rId3" Type="http://schemas.openxmlformats.org/officeDocument/2006/relationships/table" Target="../tables/table58.xml"/><Relationship Id="rId2" Type="http://schemas.openxmlformats.org/officeDocument/2006/relationships/table" Target="../tables/table57.xml"/><Relationship Id="rId1" Type="http://schemas.openxmlformats.org/officeDocument/2006/relationships/drawing" Target="../drawings/drawing1.xml"/></Relationships>
</file>

<file path=xl/worksheets/_rels/sheet38.xml.rels><?xml version="1.0" encoding="UTF-8" standalone="yes"?>
<Relationships xmlns="http://schemas.openxmlformats.org/package/2006/relationships"><Relationship Id="rId3" Type="http://schemas.openxmlformats.org/officeDocument/2006/relationships/table" Target="../tables/table59.xml"/><Relationship Id="rId2" Type="http://schemas.openxmlformats.org/officeDocument/2006/relationships/vmlDrawing" Target="../drawings/vmlDrawing4.vml"/><Relationship Id="rId1" Type="http://schemas.openxmlformats.org/officeDocument/2006/relationships/drawing" Target="../drawings/drawing2.xml"/><Relationship Id="rId5" Type="http://schemas.openxmlformats.org/officeDocument/2006/relationships/comments" Target="../comments4.xml"/><Relationship Id="rId4" Type="http://schemas.openxmlformats.org/officeDocument/2006/relationships/table" Target="../tables/table60.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0.xml.rels><?xml version="1.0" encoding="UTF-8" standalone="yes"?>
<Relationships xmlns="http://schemas.openxmlformats.org/package/2006/relationships"><Relationship Id="rId3" Type="http://schemas.openxmlformats.org/officeDocument/2006/relationships/table" Target="../tables/table63.xml"/><Relationship Id="rId2" Type="http://schemas.openxmlformats.org/officeDocument/2006/relationships/table" Target="../tables/table62.xml"/><Relationship Id="rId1" Type="http://schemas.openxmlformats.org/officeDocument/2006/relationships/table" Target="../tables/table61.xml"/><Relationship Id="rId4" Type="http://schemas.openxmlformats.org/officeDocument/2006/relationships/table" Target="../tables/table64.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66.xml"/><Relationship Id="rId1" Type="http://schemas.openxmlformats.org/officeDocument/2006/relationships/table" Target="../tables/table65.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67.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6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DDB2F-C306-4FEB-BA78-F1E92E236A51}">
  <sheetPr codeName="Sheet1">
    <tabColor theme="1" tint="0.34998626667073579"/>
  </sheetPr>
  <dimension ref="A1:T505"/>
  <sheetViews>
    <sheetView workbookViewId="0">
      <selection activeCell="D2" sqref="D2"/>
    </sheetView>
  </sheetViews>
  <sheetFormatPr defaultColWidth="8.85546875" defaultRowHeight="15" x14ac:dyDescent="0.25"/>
  <cols>
    <col min="1" max="1" width="20" bestFit="1" customWidth="1"/>
    <col min="2" max="2" width="13.42578125" bestFit="1" customWidth="1"/>
    <col min="3" max="3" width="18.7109375" bestFit="1" customWidth="1"/>
    <col min="4" max="4" width="15.140625" bestFit="1" customWidth="1"/>
    <col min="5" max="5" width="8.140625" bestFit="1" customWidth="1"/>
    <col min="6" max="6" width="15.42578125" bestFit="1" customWidth="1"/>
    <col min="7" max="7" width="15" bestFit="1" customWidth="1"/>
    <col min="8" max="9" width="7.28515625" bestFit="1" customWidth="1"/>
    <col min="10" max="10" width="14.140625" bestFit="1" customWidth="1"/>
    <col min="11" max="11" width="6.42578125" bestFit="1" customWidth="1"/>
    <col min="13" max="13" width="15" bestFit="1" customWidth="1"/>
    <col min="14" max="14" width="47.42578125" bestFit="1" customWidth="1"/>
    <col min="15" max="15" width="12.7109375" bestFit="1" customWidth="1"/>
    <col min="16" max="16" width="12" bestFit="1" customWidth="1"/>
    <col min="17" max="17" width="16.42578125" bestFit="1" customWidth="1"/>
    <col min="18" max="18" width="16.140625" bestFit="1" customWidth="1"/>
    <col min="19" max="19" width="16.28515625" bestFit="1" customWidth="1"/>
    <col min="20" max="20" width="18.42578125" bestFit="1" customWidth="1"/>
  </cols>
  <sheetData>
    <row r="1" spans="1:20"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row>
    <row r="2" spans="1:20" x14ac:dyDescent="0.25">
      <c r="A2" s="1" t="s">
        <v>20</v>
      </c>
      <c r="B2">
        <v>73</v>
      </c>
      <c r="C2">
        <v>27</v>
      </c>
      <c r="D2">
        <v>365</v>
      </c>
      <c r="E2">
        <v>5</v>
      </c>
      <c r="F2" s="1" t="s">
        <v>46</v>
      </c>
      <c r="G2" s="1" t="s">
        <v>41</v>
      </c>
      <c r="H2" s="1" t="s">
        <v>24</v>
      </c>
      <c r="I2" s="1" t="s">
        <v>24</v>
      </c>
      <c r="J2" s="1" t="s">
        <v>24</v>
      </c>
      <c r="K2" s="1" t="s">
        <v>24</v>
      </c>
      <c r="L2" s="1" t="s">
        <v>24</v>
      </c>
      <c r="M2" s="1" t="s">
        <v>24</v>
      </c>
      <c r="N2" s="1" t="s">
        <v>100</v>
      </c>
      <c r="O2">
        <v>5</v>
      </c>
      <c r="P2">
        <v>2700</v>
      </c>
      <c r="Q2" s="1" t="s">
        <v>26</v>
      </c>
      <c r="R2">
        <v>6</v>
      </c>
      <c r="S2" s="1" t="s">
        <v>47</v>
      </c>
      <c r="T2" s="1" t="s">
        <v>51</v>
      </c>
    </row>
    <row r="3" spans="1:20" x14ac:dyDescent="0.25">
      <c r="A3" s="1" t="s">
        <v>35</v>
      </c>
      <c r="B3">
        <v>576</v>
      </c>
      <c r="C3">
        <v>43</v>
      </c>
      <c r="D3">
        <v>340</v>
      </c>
      <c r="E3">
        <v>3</v>
      </c>
      <c r="F3" s="1" t="s">
        <v>21</v>
      </c>
      <c r="G3" s="1" t="s">
        <v>41</v>
      </c>
      <c r="H3" s="1" t="s">
        <v>24</v>
      </c>
      <c r="I3" s="1" t="s">
        <v>24</v>
      </c>
      <c r="J3" s="1" t="s">
        <v>23</v>
      </c>
      <c r="K3" s="1" t="s">
        <v>24</v>
      </c>
      <c r="L3" s="1" t="s">
        <v>24</v>
      </c>
      <c r="M3" s="1" t="s">
        <v>23</v>
      </c>
      <c r="N3" s="1" t="s">
        <v>70</v>
      </c>
      <c r="O3">
        <v>4</v>
      </c>
      <c r="P3">
        <v>3003</v>
      </c>
      <c r="Q3" s="1" t="s">
        <v>36</v>
      </c>
      <c r="R3">
        <v>3</v>
      </c>
      <c r="S3" s="1" t="s">
        <v>27</v>
      </c>
      <c r="T3" s="1" t="s">
        <v>58</v>
      </c>
    </row>
    <row r="4" spans="1:20" x14ac:dyDescent="0.25">
      <c r="A4" s="1" t="s">
        <v>48</v>
      </c>
      <c r="B4">
        <v>275</v>
      </c>
      <c r="C4">
        <v>79</v>
      </c>
      <c r="D4">
        <v>339</v>
      </c>
      <c r="E4">
        <v>4</v>
      </c>
      <c r="F4" s="1" t="s">
        <v>31</v>
      </c>
      <c r="G4" s="1" t="s">
        <v>41</v>
      </c>
      <c r="H4" s="1" t="s">
        <v>24</v>
      </c>
      <c r="I4" s="1" t="s">
        <v>24</v>
      </c>
      <c r="J4" s="1" t="s">
        <v>23</v>
      </c>
      <c r="K4" s="1" t="s">
        <v>23</v>
      </c>
      <c r="L4" s="1" t="s">
        <v>24</v>
      </c>
      <c r="M4" s="1" t="s">
        <v>24</v>
      </c>
      <c r="N4" s="1" t="s">
        <v>109</v>
      </c>
      <c r="O4">
        <v>35</v>
      </c>
      <c r="P4">
        <v>732</v>
      </c>
      <c r="Q4" s="1" t="s">
        <v>49</v>
      </c>
      <c r="R4">
        <v>7</v>
      </c>
      <c r="S4" s="1" t="s">
        <v>45</v>
      </c>
      <c r="T4" s="1" t="s">
        <v>53</v>
      </c>
    </row>
    <row r="5" spans="1:20" x14ac:dyDescent="0.25">
      <c r="A5" s="1" t="s">
        <v>20</v>
      </c>
      <c r="B5">
        <v>608</v>
      </c>
      <c r="C5">
        <v>117</v>
      </c>
      <c r="D5">
        <v>319</v>
      </c>
      <c r="E5">
        <v>5</v>
      </c>
      <c r="F5" s="1" t="s">
        <v>21</v>
      </c>
      <c r="G5" s="1" t="s">
        <v>29</v>
      </c>
      <c r="H5" s="1" t="s">
        <v>24</v>
      </c>
      <c r="I5" s="1" t="s">
        <v>24</v>
      </c>
      <c r="J5" s="1" t="s">
        <v>24</v>
      </c>
      <c r="K5" s="1" t="s">
        <v>24</v>
      </c>
      <c r="L5" s="1" t="s">
        <v>24</v>
      </c>
      <c r="M5" s="1" t="s">
        <v>24</v>
      </c>
      <c r="N5" s="1" t="s">
        <v>114</v>
      </c>
      <c r="O5">
        <v>3</v>
      </c>
      <c r="P5">
        <v>716</v>
      </c>
      <c r="Q5" s="1" t="s">
        <v>26</v>
      </c>
      <c r="R5">
        <v>5</v>
      </c>
      <c r="S5" s="1" t="s">
        <v>33</v>
      </c>
      <c r="T5" s="1" t="s">
        <v>34</v>
      </c>
    </row>
    <row r="6" spans="1:20" x14ac:dyDescent="0.25">
      <c r="A6" s="1" t="s">
        <v>20</v>
      </c>
      <c r="B6">
        <v>290</v>
      </c>
      <c r="C6">
        <v>263</v>
      </c>
      <c r="D6">
        <v>300</v>
      </c>
      <c r="E6">
        <v>4</v>
      </c>
      <c r="F6" s="1" t="s">
        <v>55</v>
      </c>
      <c r="G6" s="1" t="s">
        <v>29</v>
      </c>
      <c r="H6" s="1" t="s">
        <v>24</v>
      </c>
      <c r="I6" s="1" t="s">
        <v>24</v>
      </c>
      <c r="J6" s="1" t="s">
        <v>23</v>
      </c>
      <c r="K6" s="1" t="s">
        <v>23</v>
      </c>
      <c r="L6" s="1" t="s">
        <v>23</v>
      </c>
      <c r="M6" s="1" t="s">
        <v>24</v>
      </c>
      <c r="N6" s="1" t="s">
        <v>115</v>
      </c>
      <c r="O6">
        <v>3</v>
      </c>
      <c r="P6">
        <v>315</v>
      </c>
      <c r="Q6" s="1" t="s">
        <v>26</v>
      </c>
      <c r="R6">
        <v>10</v>
      </c>
      <c r="S6" s="1" t="s">
        <v>56</v>
      </c>
      <c r="T6" s="1" t="s">
        <v>34</v>
      </c>
    </row>
    <row r="7" spans="1:20" x14ac:dyDescent="0.25">
      <c r="A7" s="1" t="s">
        <v>20</v>
      </c>
      <c r="B7">
        <v>290</v>
      </c>
      <c r="C7">
        <v>263</v>
      </c>
      <c r="D7">
        <v>299</v>
      </c>
      <c r="E7">
        <v>4</v>
      </c>
      <c r="F7" s="1" t="s">
        <v>46</v>
      </c>
      <c r="G7" s="1" t="s">
        <v>41</v>
      </c>
      <c r="H7" s="1" t="s">
        <v>24</v>
      </c>
      <c r="I7" s="1" t="s">
        <v>24</v>
      </c>
      <c r="J7" s="1" t="s">
        <v>23</v>
      </c>
      <c r="K7" s="1" t="s">
        <v>24</v>
      </c>
      <c r="L7" s="1" t="s">
        <v>24</v>
      </c>
      <c r="M7" s="1" t="s">
        <v>24</v>
      </c>
      <c r="N7" s="1" t="s">
        <v>62</v>
      </c>
      <c r="O7">
        <v>3</v>
      </c>
      <c r="P7">
        <v>3981</v>
      </c>
      <c r="Q7" s="1" t="s">
        <v>26</v>
      </c>
      <c r="R7">
        <v>10</v>
      </c>
      <c r="S7" s="1" t="s">
        <v>52</v>
      </c>
      <c r="T7" s="1" t="s">
        <v>58</v>
      </c>
    </row>
    <row r="8" spans="1:20" x14ac:dyDescent="0.25">
      <c r="A8" s="1" t="s">
        <v>20</v>
      </c>
      <c r="B8">
        <v>235</v>
      </c>
      <c r="C8">
        <v>111</v>
      </c>
      <c r="D8">
        <v>267</v>
      </c>
      <c r="E8">
        <v>5</v>
      </c>
      <c r="F8" s="1" t="s">
        <v>31</v>
      </c>
      <c r="G8" s="1" t="s">
        <v>22</v>
      </c>
      <c r="H8" s="1" t="s">
        <v>24</v>
      </c>
      <c r="I8" s="1" t="s">
        <v>23</v>
      </c>
      <c r="J8" s="1" t="s">
        <v>23</v>
      </c>
      <c r="K8" s="1" t="s">
        <v>23</v>
      </c>
      <c r="L8" s="1" t="s">
        <v>24</v>
      </c>
      <c r="M8" s="1" t="s">
        <v>24</v>
      </c>
      <c r="N8" s="1" t="s">
        <v>105</v>
      </c>
      <c r="O8">
        <v>45</v>
      </c>
      <c r="P8">
        <v>188</v>
      </c>
      <c r="Q8" s="1" t="s">
        <v>26</v>
      </c>
      <c r="R8">
        <v>9</v>
      </c>
      <c r="S8" s="1" t="s">
        <v>45</v>
      </c>
      <c r="T8" s="1" t="s">
        <v>30</v>
      </c>
    </row>
    <row r="9" spans="1:20" x14ac:dyDescent="0.25">
      <c r="A9" s="1" t="s">
        <v>20</v>
      </c>
      <c r="B9">
        <v>415</v>
      </c>
      <c r="C9">
        <v>162</v>
      </c>
      <c r="D9">
        <v>265</v>
      </c>
      <c r="E9">
        <v>4</v>
      </c>
      <c r="F9" s="1" t="s">
        <v>55</v>
      </c>
      <c r="G9" s="1" t="s">
        <v>29</v>
      </c>
      <c r="H9" s="1" t="s">
        <v>24</v>
      </c>
      <c r="I9" s="1" t="s">
        <v>24</v>
      </c>
      <c r="J9" s="1" t="s">
        <v>24</v>
      </c>
      <c r="K9" s="1" t="s">
        <v>23</v>
      </c>
      <c r="L9" s="1" t="s">
        <v>23</v>
      </c>
      <c r="M9" s="1" t="s">
        <v>24</v>
      </c>
      <c r="N9" s="1" t="s">
        <v>117</v>
      </c>
      <c r="O9">
        <v>35</v>
      </c>
      <c r="P9">
        <v>787</v>
      </c>
      <c r="Q9" s="1" t="s">
        <v>26</v>
      </c>
      <c r="R9">
        <v>8</v>
      </c>
      <c r="S9" s="1" t="s">
        <v>56</v>
      </c>
      <c r="T9" s="1" t="s">
        <v>53</v>
      </c>
    </row>
    <row r="10" spans="1:20" x14ac:dyDescent="0.25">
      <c r="A10" s="1" t="s">
        <v>20</v>
      </c>
      <c r="B10">
        <v>775</v>
      </c>
      <c r="C10">
        <v>52</v>
      </c>
      <c r="D10">
        <v>255</v>
      </c>
      <c r="E10">
        <v>3</v>
      </c>
      <c r="F10" s="1" t="s">
        <v>31</v>
      </c>
      <c r="G10" s="1" t="s">
        <v>41</v>
      </c>
      <c r="H10" s="1" t="s">
        <v>24</v>
      </c>
      <c r="I10" s="1" t="s">
        <v>24</v>
      </c>
      <c r="J10" s="1" t="s">
        <v>23</v>
      </c>
      <c r="K10" s="1" t="s">
        <v>24</v>
      </c>
      <c r="L10" s="1" t="s">
        <v>24</v>
      </c>
      <c r="M10" s="1" t="s">
        <v>24</v>
      </c>
      <c r="N10" s="1" t="s">
        <v>102</v>
      </c>
      <c r="O10">
        <v>5</v>
      </c>
      <c r="P10">
        <v>1282</v>
      </c>
      <c r="Q10" s="1" t="s">
        <v>26</v>
      </c>
      <c r="R10">
        <v>2</v>
      </c>
      <c r="S10" s="1" t="s">
        <v>39</v>
      </c>
      <c r="T10" s="1" t="s">
        <v>51</v>
      </c>
    </row>
    <row r="11" spans="1:20" x14ac:dyDescent="0.25">
      <c r="A11" s="1" t="s">
        <v>87</v>
      </c>
      <c r="B11">
        <v>116</v>
      </c>
      <c r="C11">
        <v>78</v>
      </c>
      <c r="D11">
        <v>206</v>
      </c>
      <c r="E11">
        <v>5</v>
      </c>
      <c r="F11" s="1" t="s">
        <v>31</v>
      </c>
      <c r="G11" s="1" t="s">
        <v>41</v>
      </c>
      <c r="H11" s="1" t="s">
        <v>24</v>
      </c>
      <c r="I11" s="1" t="s">
        <v>24</v>
      </c>
      <c r="J11" s="1" t="s">
        <v>23</v>
      </c>
      <c r="K11" s="1" t="s">
        <v>24</v>
      </c>
      <c r="L11" s="1" t="s">
        <v>24</v>
      </c>
      <c r="M11" s="1" t="s">
        <v>24</v>
      </c>
      <c r="N11" s="1" t="s">
        <v>119</v>
      </c>
      <c r="O11">
        <v>5</v>
      </c>
      <c r="P11">
        <v>4027</v>
      </c>
      <c r="Q11" s="1" t="s">
        <v>44</v>
      </c>
      <c r="R11">
        <v>9</v>
      </c>
      <c r="S11" s="1" t="s">
        <v>42</v>
      </c>
      <c r="T11" s="1" t="s">
        <v>53</v>
      </c>
    </row>
    <row r="12" spans="1:20" x14ac:dyDescent="0.25">
      <c r="A12" s="1" t="s">
        <v>20</v>
      </c>
      <c r="B12">
        <v>333</v>
      </c>
      <c r="C12">
        <v>58</v>
      </c>
      <c r="D12">
        <v>200</v>
      </c>
      <c r="E12">
        <v>5</v>
      </c>
      <c r="F12" s="1" t="s">
        <v>46</v>
      </c>
      <c r="G12" s="1" t="s">
        <v>32</v>
      </c>
      <c r="H12" s="1" t="s">
        <v>24</v>
      </c>
      <c r="I12" s="1" t="s">
        <v>24</v>
      </c>
      <c r="J12" s="1" t="s">
        <v>23</v>
      </c>
      <c r="K12" s="1" t="s">
        <v>24</v>
      </c>
      <c r="L12" s="1" t="s">
        <v>24</v>
      </c>
      <c r="M12" s="1" t="s">
        <v>24</v>
      </c>
      <c r="N12" s="1" t="s">
        <v>106</v>
      </c>
      <c r="O12">
        <v>5</v>
      </c>
      <c r="P12">
        <v>2034</v>
      </c>
      <c r="Q12" s="1" t="s">
        <v>26</v>
      </c>
      <c r="R12">
        <v>4</v>
      </c>
      <c r="S12" s="1" t="s">
        <v>52</v>
      </c>
      <c r="T12" s="1" t="s">
        <v>53</v>
      </c>
    </row>
    <row r="13" spans="1:20" x14ac:dyDescent="0.25">
      <c r="A13" s="1" t="s">
        <v>20</v>
      </c>
      <c r="B13">
        <v>372</v>
      </c>
      <c r="C13">
        <v>78</v>
      </c>
      <c r="D13">
        <v>169</v>
      </c>
      <c r="E13">
        <v>4</v>
      </c>
      <c r="F13" s="1" t="s">
        <v>21</v>
      </c>
      <c r="G13" s="1" t="s">
        <v>29</v>
      </c>
      <c r="H13" s="1" t="s">
        <v>24</v>
      </c>
      <c r="I13" s="1" t="s">
        <v>24</v>
      </c>
      <c r="J13" s="1" t="s">
        <v>23</v>
      </c>
      <c r="K13" s="1" t="s">
        <v>23</v>
      </c>
      <c r="L13" s="1" t="s">
        <v>24</v>
      </c>
      <c r="M13" s="1" t="s">
        <v>24</v>
      </c>
      <c r="N13" s="1" t="s">
        <v>109</v>
      </c>
      <c r="O13">
        <v>35</v>
      </c>
      <c r="P13">
        <v>732</v>
      </c>
      <c r="Q13" s="1" t="s">
        <v>26</v>
      </c>
      <c r="R13">
        <v>4</v>
      </c>
      <c r="S13" s="1" t="s">
        <v>27</v>
      </c>
      <c r="T13" s="1" t="s">
        <v>53</v>
      </c>
    </row>
    <row r="14" spans="1:20" x14ac:dyDescent="0.25">
      <c r="A14" s="1" t="s">
        <v>37</v>
      </c>
      <c r="B14">
        <v>19</v>
      </c>
      <c r="C14">
        <v>12</v>
      </c>
      <c r="D14">
        <v>167</v>
      </c>
      <c r="E14">
        <v>4</v>
      </c>
      <c r="F14" s="1" t="s">
        <v>21</v>
      </c>
      <c r="G14" s="1" t="s">
        <v>22</v>
      </c>
      <c r="H14" s="1" t="s">
        <v>24</v>
      </c>
      <c r="I14" s="1" t="s">
        <v>24</v>
      </c>
      <c r="J14" s="1" t="s">
        <v>24</v>
      </c>
      <c r="K14" s="1" t="s">
        <v>24</v>
      </c>
      <c r="L14" s="1" t="s">
        <v>24</v>
      </c>
      <c r="M14" s="1" t="s">
        <v>24</v>
      </c>
      <c r="N14" s="1" t="s">
        <v>80</v>
      </c>
      <c r="O14">
        <v>4</v>
      </c>
      <c r="P14">
        <v>2884</v>
      </c>
      <c r="Q14" s="1" t="s">
        <v>26</v>
      </c>
      <c r="R14">
        <v>9</v>
      </c>
      <c r="S14" s="1" t="s">
        <v>33</v>
      </c>
      <c r="T14" s="1" t="s">
        <v>58</v>
      </c>
    </row>
    <row r="15" spans="1:20" x14ac:dyDescent="0.25">
      <c r="A15" s="1" t="s">
        <v>20</v>
      </c>
      <c r="B15">
        <v>96</v>
      </c>
      <c r="C15">
        <v>47</v>
      </c>
      <c r="D15">
        <v>161</v>
      </c>
      <c r="E15">
        <v>4</v>
      </c>
      <c r="F15" s="1" t="s">
        <v>46</v>
      </c>
      <c r="G15" s="1" t="s">
        <v>38</v>
      </c>
      <c r="H15" s="1" t="s">
        <v>24</v>
      </c>
      <c r="I15" s="1" t="s">
        <v>24</v>
      </c>
      <c r="J15" s="1" t="s">
        <v>23</v>
      </c>
      <c r="K15" s="1" t="s">
        <v>24</v>
      </c>
      <c r="L15" s="1" t="s">
        <v>24</v>
      </c>
      <c r="M15" s="1" t="s">
        <v>24</v>
      </c>
      <c r="N15" s="1" t="s">
        <v>123</v>
      </c>
      <c r="O15">
        <v>4</v>
      </c>
      <c r="P15">
        <v>826</v>
      </c>
      <c r="Q15" s="1" t="s">
        <v>26</v>
      </c>
      <c r="R15">
        <v>11</v>
      </c>
      <c r="S15" s="1" t="s">
        <v>47</v>
      </c>
      <c r="T15" s="1" t="s">
        <v>58</v>
      </c>
    </row>
    <row r="16" spans="1:20" x14ac:dyDescent="0.25">
      <c r="A16" s="1" t="s">
        <v>35</v>
      </c>
      <c r="B16">
        <v>262</v>
      </c>
      <c r="C16">
        <v>75</v>
      </c>
      <c r="D16">
        <v>150</v>
      </c>
      <c r="E16">
        <v>4</v>
      </c>
      <c r="F16" s="1" t="s">
        <v>46</v>
      </c>
      <c r="G16" s="1" t="s">
        <v>32</v>
      </c>
      <c r="H16" s="1" t="s">
        <v>24</v>
      </c>
      <c r="I16" s="1" t="s">
        <v>23</v>
      </c>
      <c r="J16" s="1" t="s">
        <v>23</v>
      </c>
      <c r="K16" s="1" t="s">
        <v>23</v>
      </c>
      <c r="L16" s="1" t="s">
        <v>24</v>
      </c>
      <c r="M16" s="1" t="s">
        <v>24</v>
      </c>
      <c r="N16" s="1" t="s">
        <v>105</v>
      </c>
      <c r="O16">
        <v>45</v>
      </c>
      <c r="P16">
        <v>188</v>
      </c>
      <c r="Q16" s="1" t="s">
        <v>36</v>
      </c>
      <c r="R16">
        <v>2</v>
      </c>
      <c r="S16" s="1" t="s">
        <v>52</v>
      </c>
      <c r="T16" s="1" t="s">
        <v>58</v>
      </c>
    </row>
    <row r="17" spans="1:20" x14ac:dyDescent="0.25">
      <c r="A17" s="1" t="s">
        <v>74</v>
      </c>
      <c r="B17">
        <v>156</v>
      </c>
      <c r="C17">
        <v>126</v>
      </c>
      <c r="D17">
        <v>142</v>
      </c>
      <c r="E17">
        <v>3</v>
      </c>
      <c r="F17" s="1" t="s">
        <v>55</v>
      </c>
      <c r="G17" s="1" t="s">
        <v>22</v>
      </c>
      <c r="H17" s="1" t="s">
        <v>24</v>
      </c>
      <c r="I17" s="1" t="s">
        <v>24</v>
      </c>
      <c r="J17" s="1" t="s">
        <v>23</v>
      </c>
      <c r="K17" s="1" t="s">
        <v>24</v>
      </c>
      <c r="L17" s="1" t="s">
        <v>24</v>
      </c>
      <c r="M17" s="1" t="s">
        <v>23</v>
      </c>
      <c r="N17" s="1" t="s">
        <v>70</v>
      </c>
      <c r="O17">
        <v>4</v>
      </c>
      <c r="P17">
        <v>3003</v>
      </c>
      <c r="Q17" s="1" t="s">
        <v>44</v>
      </c>
      <c r="R17">
        <v>8</v>
      </c>
      <c r="S17" s="1" t="s">
        <v>56</v>
      </c>
      <c r="T17" s="1" t="s">
        <v>30</v>
      </c>
    </row>
    <row r="18" spans="1:20" x14ac:dyDescent="0.25">
      <c r="A18" s="1" t="s">
        <v>81</v>
      </c>
      <c r="B18">
        <v>55</v>
      </c>
      <c r="C18">
        <v>55</v>
      </c>
      <c r="D18">
        <v>134</v>
      </c>
      <c r="E18">
        <v>5</v>
      </c>
      <c r="F18" s="1" t="s">
        <v>46</v>
      </c>
      <c r="G18" s="1" t="s">
        <v>41</v>
      </c>
      <c r="H18" s="1" t="s">
        <v>24</v>
      </c>
      <c r="I18" s="1" t="s">
        <v>24</v>
      </c>
      <c r="J18" s="1" t="s">
        <v>24</v>
      </c>
      <c r="K18" s="1" t="s">
        <v>24</v>
      </c>
      <c r="L18" s="1" t="s">
        <v>24</v>
      </c>
      <c r="M18" s="1" t="s">
        <v>24</v>
      </c>
      <c r="N18" s="1" t="s">
        <v>114</v>
      </c>
      <c r="O18">
        <v>3</v>
      </c>
      <c r="P18">
        <v>716</v>
      </c>
      <c r="Q18" s="1" t="s">
        <v>36</v>
      </c>
      <c r="R18">
        <v>5</v>
      </c>
      <c r="S18" s="1" t="s">
        <v>50</v>
      </c>
      <c r="T18" s="1" t="s">
        <v>51</v>
      </c>
    </row>
    <row r="19" spans="1:20" x14ac:dyDescent="0.25">
      <c r="A19" s="1" t="s">
        <v>20</v>
      </c>
      <c r="B19">
        <v>289</v>
      </c>
      <c r="C19">
        <v>28</v>
      </c>
      <c r="D19">
        <v>133</v>
      </c>
      <c r="E19">
        <v>4</v>
      </c>
      <c r="F19" s="1" t="s">
        <v>21</v>
      </c>
      <c r="G19" s="1" t="s">
        <v>32</v>
      </c>
      <c r="H19" s="1" t="s">
        <v>24</v>
      </c>
      <c r="I19" s="1" t="s">
        <v>24</v>
      </c>
      <c r="J19" s="1" t="s">
        <v>24</v>
      </c>
      <c r="K19" s="1" t="s">
        <v>23</v>
      </c>
      <c r="L19" s="1" t="s">
        <v>23</v>
      </c>
      <c r="M19" s="1" t="s">
        <v>24</v>
      </c>
      <c r="N19" s="1" t="s">
        <v>117</v>
      </c>
      <c r="O19">
        <v>35</v>
      </c>
      <c r="P19">
        <v>787</v>
      </c>
      <c r="Q19" s="1" t="s">
        <v>26</v>
      </c>
      <c r="R19">
        <v>5</v>
      </c>
      <c r="S19" s="1" t="s">
        <v>60</v>
      </c>
      <c r="T19" s="1" t="s">
        <v>40</v>
      </c>
    </row>
    <row r="20" spans="1:20" x14ac:dyDescent="0.25">
      <c r="A20" s="1" t="s">
        <v>20</v>
      </c>
      <c r="B20">
        <v>418</v>
      </c>
      <c r="C20">
        <v>32</v>
      </c>
      <c r="D20">
        <v>132</v>
      </c>
      <c r="E20">
        <v>2</v>
      </c>
      <c r="F20" s="1" t="s">
        <v>21</v>
      </c>
      <c r="G20" s="1" t="s">
        <v>41</v>
      </c>
      <c r="H20" s="1" t="s">
        <v>24</v>
      </c>
      <c r="I20" s="1" t="s">
        <v>24</v>
      </c>
      <c r="J20" s="1" t="s">
        <v>23</v>
      </c>
      <c r="K20" s="1" t="s">
        <v>24</v>
      </c>
      <c r="L20" s="1" t="s">
        <v>24</v>
      </c>
      <c r="M20" s="1" t="s">
        <v>23</v>
      </c>
      <c r="N20" s="1" t="s">
        <v>70</v>
      </c>
      <c r="O20">
        <v>4</v>
      </c>
      <c r="P20">
        <v>3003</v>
      </c>
      <c r="Q20" s="1" t="s">
        <v>26</v>
      </c>
      <c r="R20">
        <v>3</v>
      </c>
      <c r="S20" s="1" t="s">
        <v>33</v>
      </c>
      <c r="T20" s="1" t="s">
        <v>40</v>
      </c>
    </row>
    <row r="21" spans="1:20" x14ac:dyDescent="0.25">
      <c r="A21" s="1" t="s">
        <v>81</v>
      </c>
      <c r="B21">
        <v>118</v>
      </c>
      <c r="C21">
        <v>107</v>
      </c>
      <c r="D21">
        <v>131</v>
      </c>
      <c r="E21">
        <v>5</v>
      </c>
      <c r="F21" s="1" t="s">
        <v>31</v>
      </c>
      <c r="G21" s="1" t="s">
        <v>29</v>
      </c>
      <c r="H21" s="1" t="s">
        <v>24</v>
      </c>
      <c r="I21" s="1" t="s">
        <v>24</v>
      </c>
      <c r="J21" s="1" t="s">
        <v>23</v>
      </c>
      <c r="K21" s="1" t="s">
        <v>23</v>
      </c>
      <c r="L21" s="1" t="s">
        <v>24</v>
      </c>
      <c r="M21" s="1" t="s">
        <v>24</v>
      </c>
      <c r="N21" s="1" t="s">
        <v>109</v>
      </c>
      <c r="O21">
        <v>35</v>
      </c>
      <c r="P21">
        <v>732</v>
      </c>
      <c r="Q21" s="1" t="s">
        <v>36</v>
      </c>
      <c r="R21">
        <v>10</v>
      </c>
      <c r="S21" s="1" t="s">
        <v>39</v>
      </c>
      <c r="T21" s="1" t="s">
        <v>58</v>
      </c>
    </row>
    <row r="22" spans="1:20" x14ac:dyDescent="0.25">
      <c r="A22" s="1" t="s">
        <v>124</v>
      </c>
      <c r="B22">
        <v>189</v>
      </c>
      <c r="C22">
        <v>72</v>
      </c>
      <c r="D22">
        <v>129</v>
      </c>
      <c r="E22">
        <v>4</v>
      </c>
      <c r="F22" s="1" t="s">
        <v>21</v>
      </c>
      <c r="G22" s="1" t="s">
        <v>38</v>
      </c>
      <c r="H22" s="1" t="s">
        <v>24</v>
      </c>
      <c r="I22" s="1" t="s">
        <v>24</v>
      </c>
      <c r="J22" s="1" t="s">
        <v>23</v>
      </c>
      <c r="K22" s="1" t="s">
        <v>24</v>
      </c>
      <c r="L22" s="1" t="s">
        <v>24</v>
      </c>
      <c r="M22" s="1" t="s">
        <v>24</v>
      </c>
      <c r="N22" s="1" t="s">
        <v>123</v>
      </c>
      <c r="O22">
        <v>4</v>
      </c>
      <c r="P22">
        <v>826</v>
      </c>
      <c r="Q22" s="1" t="s">
        <v>36</v>
      </c>
      <c r="R22">
        <v>3</v>
      </c>
      <c r="S22" s="1" t="s">
        <v>33</v>
      </c>
      <c r="T22" s="1" t="s">
        <v>30</v>
      </c>
    </row>
    <row r="23" spans="1:20" x14ac:dyDescent="0.25">
      <c r="A23" s="1" t="s">
        <v>20</v>
      </c>
      <c r="B23">
        <v>167</v>
      </c>
      <c r="C23">
        <v>71</v>
      </c>
      <c r="D23">
        <v>119</v>
      </c>
      <c r="E23">
        <v>5</v>
      </c>
      <c r="F23" s="1" t="s">
        <v>21</v>
      </c>
      <c r="G23" s="1" t="s">
        <v>41</v>
      </c>
      <c r="H23" s="1" t="s">
        <v>24</v>
      </c>
      <c r="I23" s="1" t="s">
        <v>24</v>
      </c>
      <c r="J23" s="1" t="s">
        <v>24</v>
      </c>
      <c r="K23" s="1" t="s">
        <v>24</v>
      </c>
      <c r="L23" s="1" t="s">
        <v>24</v>
      </c>
      <c r="M23" s="1" t="s">
        <v>24</v>
      </c>
      <c r="N23" s="1" t="s">
        <v>114</v>
      </c>
      <c r="O23">
        <v>3</v>
      </c>
      <c r="P23">
        <v>716</v>
      </c>
      <c r="Q23" s="1" t="s">
        <v>26</v>
      </c>
      <c r="R23">
        <v>8</v>
      </c>
      <c r="S23" s="1" t="s">
        <v>27</v>
      </c>
      <c r="T23" s="1" t="s">
        <v>34</v>
      </c>
    </row>
    <row r="24" spans="1:20" x14ac:dyDescent="0.25">
      <c r="A24" s="1" t="s">
        <v>20</v>
      </c>
      <c r="B24">
        <v>167</v>
      </c>
      <c r="C24">
        <v>71</v>
      </c>
      <c r="D24">
        <v>119</v>
      </c>
      <c r="E24">
        <v>4</v>
      </c>
      <c r="F24" s="1" t="s">
        <v>55</v>
      </c>
      <c r="G24" s="1" t="s">
        <v>41</v>
      </c>
      <c r="H24" s="1" t="s">
        <v>24</v>
      </c>
      <c r="I24" s="1" t="s">
        <v>24</v>
      </c>
      <c r="J24" s="1" t="s">
        <v>24</v>
      </c>
      <c r="K24" s="1" t="s">
        <v>24</v>
      </c>
      <c r="L24" s="1" t="s">
        <v>24</v>
      </c>
      <c r="M24" s="1" t="s">
        <v>24</v>
      </c>
      <c r="N24" s="1" t="s">
        <v>114</v>
      </c>
      <c r="O24">
        <v>3</v>
      </c>
      <c r="P24">
        <v>716</v>
      </c>
      <c r="Q24" s="1" t="s">
        <v>26</v>
      </c>
      <c r="R24">
        <v>8</v>
      </c>
      <c r="S24" s="1" t="s">
        <v>59</v>
      </c>
      <c r="T24" s="1" t="s">
        <v>53</v>
      </c>
    </row>
    <row r="25" spans="1:20" x14ac:dyDescent="0.25">
      <c r="A25" s="1" t="s">
        <v>20</v>
      </c>
      <c r="B25">
        <v>131</v>
      </c>
      <c r="C25">
        <v>61</v>
      </c>
      <c r="D25">
        <v>116</v>
      </c>
      <c r="E25">
        <v>3</v>
      </c>
      <c r="F25" s="1" t="s">
        <v>55</v>
      </c>
      <c r="G25" s="1" t="s">
        <v>32</v>
      </c>
      <c r="H25" s="1" t="s">
        <v>24</v>
      </c>
      <c r="I25" s="1" t="s">
        <v>23</v>
      </c>
      <c r="J25" s="1" t="s">
        <v>23</v>
      </c>
      <c r="K25" s="1" t="s">
        <v>23</v>
      </c>
      <c r="L25" s="1" t="s">
        <v>24</v>
      </c>
      <c r="M25" s="1" t="s">
        <v>24</v>
      </c>
      <c r="N25" s="1" t="s">
        <v>105</v>
      </c>
      <c r="O25">
        <v>45</v>
      </c>
      <c r="P25">
        <v>188</v>
      </c>
      <c r="Q25" s="1" t="s">
        <v>26</v>
      </c>
      <c r="R25">
        <v>8</v>
      </c>
      <c r="S25" s="1" t="s">
        <v>57</v>
      </c>
      <c r="T25" s="1" t="s">
        <v>28</v>
      </c>
    </row>
    <row r="26" spans="1:20" x14ac:dyDescent="0.25">
      <c r="A26" s="1" t="s">
        <v>110</v>
      </c>
      <c r="B26">
        <v>240</v>
      </c>
      <c r="C26">
        <v>76</v>
      </c>
      <c r="D26">
        <v>115</v>
      </c>
      <c r="E26">
        <v>5</v>
      </c>
      <c r="F26" s="1" t="s">
        <v>46</v>
      </c>
      <c r="G26" s="1" t="s">
        <v>41</v>
      </c>
      <c r="H26" s="1" t="s">
        <v>24</v>
      </c>
      <c r="I26" s="1" t="s">
        <v>24</v>
      </c>
      <c r="J26" s="1" t="s">
        <v>23</v>
      </c>
      <c r="K26" s="1" t="s">
        <v>23</v>
      </c>
      <c r="L26" s="1" t="s">
        <v>24</v>
      </c>
      <c r="M26" s="1" t="s">
        <v>24</v>
      </c>
      <c r="N26" s="1" t="s">
        <v>109</v>
      </c>
      <c r="O26">
        <v>35</v>
      </c>
      <c r="P26">
        <v>732</v>
      </c>
      <c r="Q26" s="1" t="s">
        <v>36</v>
      </c>
      <c r="R26">
        <v>3</v>
      </c>
      <c r="S26" s="1" t="s">
        <v>50</v>
      </c>
      <c r="T26" s="1" t="s">
        <v>58</v>
      </c>
    </row>
    <row r="27" spans="1:20" x14ac:dyDescent="0.25">
      <c r="A27" s="1" t="s">
        <v>20</v>
      </c>
      <c r="B27">
        <v>252</v>
      </c>
      <c r="C27">
        <v>55</v>
      </c>
      <c r="D27">
        <v>113</v>
      </c>
      <c r="E27">
        <v>4</v>
      </c>
      <c r="F27" s="1" t="s">
        <v>21</v>
      </c>
      <c r="G27" s="1" t="s">
        <v>32</v>
      </c>
      <c r="H27" s="1" t="s">
        <v>24</v>
      </c>
      <c r="I27" s="1" t="s">
        <v>24</v>
      </c>
      <c r="J27" s="1" t="s">
        <v>23</v>
      </c>
      <c r="K27" s="1" t="s">
        <v>24</v>
      </c>
      <c r="L27" s="1" t="s">
        <v>24</v>
      </c>
      <c r="M27" s="1" t="s">
        <v>24</v>
      </c>
      <c r="N27" s="1" t="s">
        <v>95</v>
      </c>
      <c r="O27">
        <v>5</v>
      </c>
      <c r="P27">
        <v>3025</v>
      </c>
      <c r="Q27" s="1" t="s">
        <v>26</v>
      </c>
      <c r="R27">
        <v>8</v>
      </c>
      <c r="S27" s="1" t="s">
        <v>60</v>
      </c>
      <c r="T27" s="1" t="s">
        <v>58</v>
      </c>
    </row>
    <row r="28" spans="1:20" x14ac:dyDescent="0.25">
      <c r="A28" s="1" t="s">
        <v>20</v>
      </c>
      <c r="B28">
        <v>20</v>
      </c>
      <c r="C28">
        <v>19</v>
      </c>
      <c r="D28">
        <v>112</v>
      </c>
      <c r="E28">
        <v>4</v>
      </c>
      <c r="F28" s="1" t="s">
        <v>21</v>
      </c>
      <c r="G28" s="1" t="s">
        <v>32</v>
      </c>
      <c r="H28" s="1" t="s">
        <v>24</v>
      </c>
      <c r="I28" s="1" t="s">
        <v>24</v>
      </c>
      <c r="J28" s="1" t="s">
        <v>23</v>
      </c>
      <c r="K28" s="1" t="s">
        <v>24</v>
      </c>
      <c r="L28" s="1" t="s">
        <v>24</v>
      </c>
      <c r="M28" s="1" t="s">
        <v>24</v>
      </c>
      <c r="N28" s="1" t="s">
        <v>123</v>
      </c>
      <c r="O28">
        <v>4</v>
      </c>
      <c r="P28">
        <v>826</v>
      </c>
      <c r="Q28" s="1" t="s">
        <v>26</v>
      </c>
      <c r="R28">
        <v>5</v>
      </c>
      <c r="S28" s="1" t="s">
        <v>60</v>
      </c>
      <c r="T28" s="1" t="s">
        <v>40</v>
      </c>
    </row>
    <row r="29" spans="1:20" x14ac:dyDescent="0.25">
      <c r="A29" s="1" t="s">
        <v>20</v>
      </c>
      <c r="B29">
        <v>41</v>
      </c>
      <c r="C29">
        <v>9</v>
      </c>
      <c r="D29">
        <v>111</v>
      </c>
      <c r="E29">
        <v>5</v>
      </c>
      <c r="F29" s="1" t="s">
        <v>21</v>
      </c>
      <c r="G29" s="1" t="s">
        <v>29</v>
      </c>
      <c r="H29" s="1" t="s">
        <v>24</v>
      </c>
      <c r="I29" s="1" t="s">
        <v>24</v>
      </c>
      <c r="J29" s="1" t="s">
        <v>23</v>
      </c>
      <c r="K29" s="1" t="s">
        <v>24</v>
      </c>
      <c r="L29" s="1" t="s">
        <v>24</v>
      </c>
      <c r="M29" s="1" t="s">
        <v>24</v>
      </c>
      <c r="N29" s="1" t="s">
        <v>120</v>
      </c>
      <c r="O29">
        <v>5</v>
      </c>
      <c r="P29">
        <v>3933</v>
      </c>
      <c r="Q29" s="1" t="s">
        <v>26</v>
      </c>
      <c r="R29">
        <v>1</v>
      </c>
      <c r="S29" s="1" t="s">
        <v>33</v>
      </c>
      <c r="T29" s="1" t="s">
        <v>30</v>
      </c>
    </row>
    <row r="30" spans="1:20" x14ac:dyDescent="0.25">
      <c r="A30" s="1" t="s">
        <v>48</v>
      </c>
      <c r="B30">
        <v>79</v>
      </c>
      <c r="C30">
        <v>78</v>
      </c>
      <c r="D30">
        <v>105</v>
      </c>
      <c r="E30">
        <v>4</v>
      </c>
      <c r="F30" s="1" t="s">
        <v>46</v>
      </c>
      <c r="G30" s="1" t="s">
        <v>22</v>
      </c>
      <c r="H30" s="1" t="s">
        <v>24</v>
      </c>
      <c r="I30" s="1" t="s">
        <v>24</v>
      </c>
      <c r="J30" s="1" t="s">
        <v>24</v>
      </c>
      <c r="K30" s="1" t="s">
        <v>24</v>
      </c>
      <c r="L30" s="1" t="s">
        <v>24</v>
      </c>
      <c r="M30" s="1" t="s">
        <v>24</v>
      </c>
      <c r="N30" s="1" t="s">
        <v>85</v>
      </c>
      <c r="O30">
        <v>4</v>
      </c>
      <c r="P30">
        <v>1467</v>
      </c>
      <c r="Q30" s="1" t="s">
        <v>49</v>
      </c>
      <c r="R30">
        <v>7</v>
      </c>
      <c r="S30" s="1" t="s">
        <v>47</v>
      </c>
      <c r="T30" s="1" t="s">
        <v>51</v>
      </c>
    </row>
    <row r="31" spans="1:20" x14ac:dyDescent="0.25">
      <c r="A31" s="1" t="s">
        <v>88</v>
      </c>
      <c r="B31">
        <v>88</v>
      </c>
      <c r="C31">
        <v>15</v>
      </c>
      <c r="D31">
        <v>103</v>
      </c>
      <c r="E31">
        <v>4</v>
      </c>
      <c r="F31" s="1" t="s">
        <v>31</v>
      </c>
      <c r="G31" s="1" t="s">
        <v>29</v>
      </c>
      <c r="H31" s="1" t="s">
        <v>24</v>
      </c>
      <c r="I31" s="1" t="s">
        <v>24</v>
      </c>
      <c r="J31" s="1" t="s">
        <v>24</v>
      </c>
      <c r="K31" s="1" t="s">
        <v>24</v>
      </c>
      <c r="L31" s="1" t="s">
        <v>24</v>
      </c>
      <c r="M31" s="1" t="s">
        <v>24</v>
      </c>
      <c r="N31" s="1" t="s">
        <v>85</v>
      </c>
      <c r="O31">
        <v>4</v>
      </c>
      <c r="P31">
        <v>1467</v>
      </c>
      <c r="Q31" s="1" t="s">
        <v>44</v>
      </c>
      <c r="R31">
        <v>3</v>
      </c>
      <c r="S31" s="1" t="s">
        <v>42</v>
      </c>
      <c r="T31" s="1" t="s">
        <v>58</v>
      </c>
    </row>
    <row r="32" spans="1:20" x14ac:dyDescent="0.25">
      <c r="A32" s="1" t="s">
        <v>104</v>
      </c>
      <c r="B32">
        <v>320</v>
      </c>
      <c r="C32">
        <v>45</v>
      </c>
      <c r="D32">
        <v>102</v>
      </c>
      <c r="E32">
        <v>3</v>
      </c>
      <c r="F32" s="1" t="s">
        <v>21</v>
      </c>
      <c r="G32" s="1" t="s">
        <v>29</v>
      </c>
      <c r="H32" s="1" t="s">
        <v>24</v>
      </c>
      <c r="I32" s="1" t="s">
        <v>23</v>
      </c>
      <c r="J32" s="1" t="s">
        <v>23</v>
      </c>
      <c r="K32" s="1" t="s">
        <v>23</v>
      </c>
      <c r="L32" s="1" t="s">
        <v>24</v>
      </c>
      <c r="M32" s="1" t="s">
        <v>24</v>
      </c>
      <c r="N32" s="1" t="s">
        <v>105</v>
      </c>
      <c r="O32">
        <v>45</v>
      </c>
      <c r="P32">
        <v>188</v>
      </c>
      <c r="Q32" s="1" t="s">
        <v>44</v>
      </c>
      <c r="R32">
        <v>6</v>
      </c>
      <c r="S32" s="1" t="s">
        <v>27</v>
      </c>
      <c r="T32" s="1" t="s">
        <v>40</v>
      </c>
    </row>
    <row r="33" spans="1:20" x14ac:dyDescent="0.25">
      <c r="A33" s="1" t="s">
        <v>107</v>
      </c>
      <c r="B33">
        <v>73</v>
      </c>
      <c r="C33">
        <v>32</v>
      </c>
      <c r="D33">
        <v>99</v>
      </c>
      <c r="E33">
        <v>4</v>
      </c>
      <c r="F33" s="1" t="s">
        <v>31</v>
      </c>
      <c r="G33" s="1" t="s">
        <v>22</v>
      </c>
      <c r="H33" s="1" t="s">
        <v>24</v>
      </c>
      <c r="I33" s="1" t="s">
        <v>24</v>
      </c>
      <c r="J33" s="1" t="s">
        <v>23</v>
      </c>
      <c r="K33" s="1" t="s">
        <v>24</v>
      </c>
      <c r="L33" s="1" t="s">
        <v>24</v>
      </c>
      <c r="M33" s="1" t="s">
        <v>24</v>
      </c>
      <c r="N33" s="1" t="s">
        <v>106</v>
      </c>
      <c r="O33">
        <v>5</v>
      </c>
      <c r="P33">
        <v>2034</v>
      </c>
      <c r="Q33" s="1" t="s">
        <v>83</v>
      </c>
      <c r="R33">
        <v>10</v>
      </c>
      <c r="S33" s="1" t="s">
        <v>42</v>
      </c>
      <c r="T33" s="1" t="s">
        <v>28</v>
      </c>
    </row>
    <row r="34" spans="1:20" x14ac:dyDescent="0.25">
      <c r="A34" s="1" t="s">
        <v>37</v>
      </c>
      <c r="B34">
        <v>67</v>
      </c>
      <c r="C34">
        <v>46</v>
      </c>
      <c r="D34">
        <v>99</v>
      </c>
      <c r="E34">
        <v>5</v>
      </c>
      <c r="F34" s="1" t="s">
        <v>46</v>
      </c>
      <c r="G34" s="1" t="s">
        <v>41</v>
      </c>
      <c r="H34" s="1" t="s">
        <v>24</v>
      </c>
      <c r="I34" s="1" t="s">
        <v>24</v>
      </c>
      <c r="J34" s="1" t="s">
        <v>24</v>
      </c>
      <c r="K34" s="1" t="s">
        <v>24</v>
      </c>
      <c r="L34" s="1" t="s">
        <v>24</v>
      </c>
      <c r="M34" s="1" t="s">
        <v>24</v>
      </c>
      <c r="N34" s="1" t="s">
        <v>100</v>
      </c>
      <c r="O34">
        <v>5</v>
      </c>
      <c r="P34">
        <v>2700</v>
      </c>
      <c r="Q34" s="1" t="s">
        <v>26</v>
      </c>
      <c r="R34">
        <v>6</v>
      </c>
      <c r="S34" s="1" t="s">
        <v>52</v>
      </c>
      <c r="T34" s="1" t="s">
        <v>53</v>
      </c>
    </row>
    <row r="35" spans="1:20" x14ac:dyDescent="0.25">
      <c r="A35" s="1" t="s">
        <v>20</v>
      </c>
      <c r="B35">
        <v>103</v>
      </c>
      <c r="C35">
        <v>5</v>
      </c>
      <c r="D35">
        <v>98</v>
      </c>
      <c r="E35">
        <v>5</v>
      </c>
      <c r="F35" s="1" t="s">
        <v>55</v>
      </c>
      <c r="G35" s="1" t="s">
        <v>41</v>
      </c>
      <c r="H35" s="1" t="s">
        <v>24</v>
      </c>
      <c r="I35" s="1" t="s">
        <v>24</v>
      </c>
      <c r="J35" s="1" t="s">
        <v>23</v>
      </c>
      <c r="K35" s="1" t="s">
        <v>24</v>
      </c>
      <c r="L35" s="1" t="s">
        <v>24</v>
      </c>
      <c r="M35" s="1" t="s">
        <v>24</v>
      </c>
      <c r="N35" s="1" t="s">
        <v>92</v>
      </c>
      <c r="O35">
        <v>5</v>
      </c>
      <c r="P35">
        <v>2959</v>
      </c>
      <c r="Q35" s="1" t="s">
        <v>26</v>
      </c>
      <c r="R35">
        <v>7</v>
      </c>
      <c r="S35" s="1" t="s">
        <v>57</v>
      </c>
      <c r="T35" s="1" t="s">
        <v>58</v>
      </c>
    </row>
    <row r="36" spans="1:20" x14ac:dyDescent="0.25">
      <c r="A36" s="1" t="s">
        <v>35</v>
      </c>
      <c r="B36">
        <v>75</v>
      </c>
      <c r="C36">
        <v>19</v>
      </c>
      <c r="D36">
        <v>93</v>
      </c>
      <c r="E36">
        <v>4</v>
      </c>
      <c r="F36" s="1" t="s">
        <v>46</v>
      </c>
      <c r="G36" s="1" t="s">
        <v>22</v>
      </c>
      <c r="H36" s="1" t="s">
        <v>24</v>
      </c>
      <c r="I36" s="1" t="s">
        <v>24</v>
      </c>
      <c r="J36" s="1" t="s">
        <v>23</v>
      </c>
      <c r="K36" s="1" t="s">
        <v>24</v>
      </c>
      <c r="L36" s="1" t="s">
        <v>24</v>
      </c>
      <c r="M36" s="1" t="s">
        <v>24</v>
      </c>
      <c r="N36" s="1" t="s">
        <v>95</v>
      </c>
      <c r="O36">
        <v>5</v>
      </c>
      <c r="P36">
        <v>3025</v>
      </c>
      <c r="Q36" s="1" t="s">
        <v>36</v>
      </c>
      <c r="R36">
        <v>8</v>
      </c>
      <c r="S36" s="1" t="s">
        <v>52</v>
      </c>
      <c r="T36" s="1" t="s">
        <v>53</v>
      </c>
    </row>
    <row r="37" spans="1:20" x14ac:dyDescent="0.25">
      <c r="A37" s="1" t="s">
        <v>37</v>
      </c>
      <c r="B37">
        <v>160</v>
      </c>
      <c r="C37">
        <v>34</v>
      </c>
      <c r="D37">
        <v>88</v>
      </c>
      <c r="E37">
        <v>4</v>
      </c>
      <c r="F37" s="1" t="s">
        <v>21</v>
      </c>
      <c r="G37" s="1" t="s">
        <v>29</v>
      </c>
      <c r="H37" s="1" t="s">
        <v>24</v>
      </c>
      <c r="I37" s="1" t="s">
        <v>24</v>
      </c>
      <c r="J37" s="1" t="s">
        <v>23</v>
      </c>
      <c r="K37" s="1" t="s">
        <v>23</v>
      </c>
      <c r="L37" s="1" t="s">
        <v>24</v>
      </c>
      <c r="M37" s="1" t="s">
        <v>24</v>
      </c>
      <c r="N37" s="1" t="s">
        <v>109</v>
      </c>
      <c r="O37">
        <v>35</v>
      </c>
      <c r="P37">
        <v>732</v>
      </c>
      <c r="Q37" s="1" t="s">
        <v>26</v>
      </c>
      <c r="R37">
        <v>6</v>
      </c>
      <c r="S37" s="1" t="s">
        <v>27</v>
      </c>
      <c r="T37" s="1" t="s">
        <v>34</v>
      </c>
    </row>
    <row r="38" spans="1:20" x14ac:dyDescent="0.25">
      <c r="A38" s="1" t="s">
        <v>20</v>
      </c>
      <c r="B38">
        <v>46</v>
      </c>
      <c r="C38">
        <v>12</v>
      </c>
      <c r="D38">
        <v>87</v>
      </c>
      <c r="E38">
        <v>5</v>
      </c>
      <c r="F38" s="1" t="s">
        <v>21</v>
      </c>
      <c r="G38" s="1" t="s">
        <v>41</v>
      </c>
      <c r="H38" s="1" t="s">
        <v>24</v>
      </c>
      <c r="I38" s="1" t="s">
        <v>24</v>
      </c>
      <c r="J38" s="1" t="s">
        <v>23</v>
      </c>
      <c r="K38" s="1" t="s">
        <v>24</v>
      </c>
      <c r="L38" s="1" t="s">
        <v>24</v>
      </c>
      <c r="M38" s="1" t="s">
        <v>24</v>
      </c>
      <c r="N38" s="1" t="s">
        <v>106</v>
      </c>
      <c r="O38">
        <v>5</v>
      </c>
      <c r="P38">
        <v>2034</v>
      </c>
      <c r="Q38" s="1" t="s">
        <v>26</v>
      </c>
      <c r="R38">
        <v>3</v>
      </c>
      <c r="S38" s="1" t="s">
        <v>27</v>
      </c>
      <c r="T38" s="1" t="s">
        <v>40</v>
      </c>
    </row>
    <row r="39" spans="1:20" x14ac:dyDescent="0.25">
      <c r="A39" s="1" t="s">
        <v>35</v>
      </c>
      <c r="B39">
        <v>139</v>
      </c>
      <c r="C39">
        <v>20</v>
      </c>
      <c r="D39">
        <v>86</v>
      </c>
      <c r="E39">
        <v>5</v>
      </c>
      <c r="F39" s="1" t="s">
        <v>31</v>
      </c>
      <c r="G39" s="1" t="s">
        <v>22</v>
      </c>
      <c r="H39" s="1" t="s">
        <v>24</v>
      </c>
      <c r="I39" s="1" t="s">
        <v>24</v>
      </c>
      <c r="J39" s="1" t="s">
        <v>23</v>
      </c>
      <c r="K39" s="1" t="s">
        <v>24</v>
      </c>
      <c r="L39" s="1" t="s">
        <v>24</v>
      </c>
      <c r="M39" s="1" t="s">
        <v>24</v>
      </c>
      <c r="N39" s="1" t="s">
        <v>106</v>
      </c>
      <c r="O39">
        <v>5</v>
      </c>
      <c r="P39">
        <v>2034</v>
      </c>
      <c r="Q39" s="1" t="s">
        <v>36</v>
      </c>
      <c r="R39">
        <v>5</v>
      </c>
      <c r="S39" s="1" t="s">
        <v>45</v>
      </c>
      <c r="T39" s="1" t="s">
        <v>58</v>
      </c>
    </row>
    <row r="40" spans="1:20" x14ac:dyDescent="0.25">
      <c r="A40" s="1" t="s">
        <v>63</v>
      </c>
      <c r="B40">
        <v>169</v>
      </c>
      <c r="C40">
        <v>43</v>
      </c>
      <c r="D40">
        <v>85</v>
      </c>
      <c r="E40">
        <v>4</v>
      </c>
      <c r="F40" s="1" t="s">
        <v>31</v>
      </c>
      <c r="G40" s="1" t="s">
        <v>38</v>
      </c>
      <c r="H40" s="1" t="s">
        <v>24</v>
      </c>
      <c r="I40" s="1" t="s">
        <v>24</v>
      </c>
      <c r="J40" s="1" t="s">
        <v>23</v>
      </c>
      <c r="K40" s="1" t="s">
        <v>24</v>
      </c>
      <c r="L40" s="1" t="s">
        <v>24</v>
      </c>
      <c r="M40" s="1" t="s">
        <v>24</v>
      </c>
      <c r="N40" s="1" t="s">
        <v>123</v>
      </c>
      <c r="O40">
        <v>4</v>
      </c>
      <c r="P40">
        <v>826</v>
      </c>
      <c r="Q40" s="1" t="s">
        <v>64</v>
      </c>
      <c r="R40">
        <v>12</v>
      </c>
      <c r="S40" s="1" t="s">
        <v>42</v>
      </c>
      <c r="T40" s="1" t="s">
        <v>53</v>
      </c>
    </row>
    <row r="41" spans="1:20" x14ac:dyDescent="0.25">
      <c r="A41" s="1" t="s">
        <v>20</v>
      </c>
      <c r="B41">
        <v>161</v>
      </c>
      <c r="C41">
        <v>33</v>
      </c>
      <c r="D41">
        <v>85</v>
      </c>
      <c r="E41">
        <v>4</v>
      </c>
      <c r="F41" s="1" t="s">
        <v>21</v>
      </c>
      <c r="G41" s="1" t="s">
        <v>41</v>
      </c>
      <c r="H41" s="1" t="s">
        <v>24</v>
      </c>
      <c r="I41" s="1" t="s">
        <v>24</v>
      </c>
      <c r="J41" s="1" t="s">
        <v>23</v>
      </c>
      <c r="K41" s="1" t="s">
        <v>24</v>
      </c>
      <c r="L41" s="1" t="s">
        <v>24</v>
      </c>
      <c r="M41" s="1" t="s">
        <v>24</v>
      </c>
      <c r="N41" s="1" t="s">
        <v>90</v>
      </c>
      <c r="O41">
        <v>5</v>
      </c>
      <c r="P41">
        <v>3348</v>
      </c>
      <c r="Q41" s="1" t="s">
        <v>26</v>
      </c>
      <c r="R41">
        <v>3</v>
      </c>
      <c r="S41" s="1" t="s">
        <v>27</v>
      </c>
      <c r="T41" s="1" t="s">
        <v>30</v>
      </c>
    </row>
    <row r="42" spans="1:20" x14ac:dyDescent="0.25">
      <c r="A42" s="1" t="s">
        <v>20</v>
      </c>
      <c r="B42">
        <v>164</v>
      </c>
      <c r="C42">
        <v>48</v>
      </c>
      <c r="D42">
        <v>82</v>
      </c>
      <c r="E42">
        <v>5</v>
      </c>
      <c r="F42" s="1" t="s">
        <v>21</v>
      </c>
      <c r="G42" s="1" t="s">
        <v>41</v>
      </c>
      <c r="H42" s="1" t="s">
        <v>24</v>
      </c>
      <c r="I42" s="1" t="s">
        <v>24</v>
      </c>
      <c r="J42" s="1" t="s">
        <v>24</v>
      </c>
      <c r="K42" s="1" t="s">
        <v>24</v>
      </c>
      <c r="L42" s="1" t="s">
        <v>24</v>
      </c>
      <c r="M42" s="1" t="s">
        <v>24</v>
      </c>
      <c r="N42" s="1" t="s">
        <v>100</v>
      </c>
      <c r="O42">
        <v>5</v>
      </c>
      <c r="P42">
        <v>2700</v>
      </c>
      <c r="Q42" s="1" t="s">
        <v>26</v>
      </c>
      <c r="R42">
        <v>4</v>
      </c>
      <c r="S42" s="1" t="s">
        <v>27</v>
      </c>
      <c r="T42" s="1" t="s">
        <v>34</v>
      </c>
    </row>
    <row r="43" spans="1:20" x14ac:dyDescent="0.25">
      <c r="A43" s="1" t="s">
        <v>91</v>
      </c>
      <c r="B43">
        <v>153</v>
      </c>
      <c r="C43">
        <v>38</v>
      </c>
      <c r="D43">
        <v>81</v>
      </c>
      <c r="E43">
        <v>5</v>
      </c>
      <c r="F43" s="1" t="s">
        <v>21</v>
      </c>
      <c r="G43" s="1" t="s">
        <v>32</v>
      </c>
      <c r="H43" s="1" t="s">
        <v>24</v>
      </c>
      <c r="I43" s="1" t="s">
        <v>24</v>
      </c>
      <c r="J43" s="1" t="s">
        <v>23</v>
      </c>
      <c r="K43" s="1" t="s">
        <v>24</v>
      </c>
      <c r="L43" s="1" t="s">
        <v>24</v>
      </c>
      <c r="M43" s="1" t="s">
        <v>24</v>
      </c>
      <c r="N43" s="1" t="s">
        <v>90</v>
      </c>
      <c r="O43">
        <v>5</v>
      </c>
      <c r="P43">
        <v>3348</v>
      </c>
      <c r="Q43" s="1" t="s">
        <v>26</v>
      </c>
      <c r="R43">
        <v>10</v>
      </c>
      <c r="S43" s="1" t="s">
        <v>33</v>
      </c>
      <c r="T43" s="1" t="s">
        <v>40</v>
      </c>
    </row>
    <row r="44" spans="1:20" x14ac:dyDescent="0.25">
      <c r="A44" s="1" t="s">
        <v>35</v>
      </c>
      <c r="B44">
        <v>127</v>
      </c>
      <c r="C44">
        <v>40</v>
      </c>
      <c r="D44">
        <v>81</v>
      </c>
      <c r="E44">
        <v>4</v>
      </c>
      <c r="F44" s="1" t="s">
        <v>21</v>
      </c>
      <c r="G44" s="1" t="s">
        <v>41</v>
      </c>
      <c r="H44" s="1" t="s">
        <v>24</v>
      </c>
      <c r="I44" s="1" t="s">
        <v>24</v>
      </c>
      <c r="J44" s="1" t="s">
        <v>23</v>
      </c>
      <c r="K44" s="1" t="s">
        <v>24</v>
      </c>
      <c r="L44" s="1" t="s">
        <v>24</v>
      </c>
      <c r="M44" s="1" t="s">
        <v>24</v>
      </c>
      <c r="N44" s="1" t="s">
        <v>106</v>
      </c>
      <c r="O44">
        <v>5</v>
      </c>
      <c r="P44">
        <v>2034</v>
      </c>
      <c r="Q44" s="1" t="s">
        <v>36</v>
      </c>
      <c r="R44">
        <v>8</v>
      </c>
      <c r="S44" s="1" t="s">
        <v>33</v>
      </c>
      <c r="T44" s="1" t="s">
        <v>28</v>
      </c>
    </row>
    <row r="45" spans="1:20" x14ac:dyDescent="0.25">
      <c r="A45" s="1" t="s">
        <v>35</v>
      </c>
      <c r="B45">
        <v>127</v>
      </c>
      <c r="C45">
        <v>40</v>
      </c>
      <c r="D45">
        <v>80</v>
      </c>
      <c r="E45">
        <v>5</v>
      </c>
      <c r="F45" s="1" t="s">
        <v>21</v>
      </c>
      <c r="G45" s="1" t="s">
        <v>41</v>
      </c>
      <c r="H45" s="1" t="s">
        <v>24</v>
      </c>
      <c r="I45" s="1" t="s">
        <v>24</v>
      </c>
      <c r="J45" s="1" t="s">
        <v>23</v>
      </c>
      <c r="K45" s="1" t="s">
        <v>24</v>
      </c>
      <c r="L45" s="1" t="s">
        <v>24</v>
      </c>
      <c r="M45" s="1" t="s">
        <v>24</v>
      </c>
      <c r="N45" s="1" t="s">
        <v>92</v>
      </c>
      <c r="O45">
        <v>5</v>
      </c>
      <c r="P45">
        <v>2959</v>
      </c>
      <c r="Q45" s="1" t="s">
        <v>36</v>
      </c>
      <c r="R45">
        <v>8</v>
      </c>
      <c r="S45" s="1" t="s">
        <v>33</v>
      </c>
      <c r="T45" s="1" t="s">
        <v>51</v>
      </c>
    </row>
    <row r="46" spans="1:20" x14ac:dyDescent="0.25">
      <c r="A46" s="1" t="s">
        <v>37</v>
      </c>
      <c r="B46">
        <v>36</v>
      </c>
      <c r="C46">
        <v>30</v>
      </c>
      <c r="D46">
        <v>80</v>
      </c>
      <c r="E46">
        <v>5</v>
      </c>
      <c r="F46" s="1" t="s">
        <v>31</v>
      </c>
      <c r="G46" s="1" t="s">
        <v>32</v>
      </c>
      <c r="H46" s="1" t="s">
        <v>24</v>
      </c>
      <c r="I46" s="1" t="s">
        <v>24</v>
      </c>
      <c r="J46" s="1" t="s">
        <v>23</v>
      </c>
      <c r="K46" s="1" t="s">
        <v>24</v>
      </c>
      <c r="L46" s="1" t="s">
        <v>24</v>
      </c>
      <c r="M46" s="1" t="s">
        <v>24</v>
      </c>
      <c r="N46" s="1" t="s">
        <v>95</v>
      </c>
      <c r="O46">
        <v>5</v>
      </c>
      <c r="P46">
        <v>3025</v>
      </c>
      <c r="Q46" s="1" t="s">
        <v>26</v>
      </c>
      <c r="R46">
        <v>8</v>
      </c>
      <c r="S46" s="1" t="s">
        <v>39</v>
      </c>
      <c r="T46" s="1" t="s">
        <v>30</v>
      </c>
    </row>
    <row r="47" spans="1:20" x14ac:dyDescent="0.25">
      <c r="A47" s="1" t="s">
        <v>35</v>
      </c>
      <c r="B47">
        <v>52</v>
      </c>
      <c r="C47">
        <v>48</v>
      </c>
      <c r="D47">
        <v>78</v>
      </c>
      <c r="E47">
        <v>3</v>
      </c>
      <c r="F47" s="1" t="s">
        <v>55</v>
      </c>
      <c r="G47" s="1" t="s">
        <v>22</v>
      </c>
      <c r="H47" s="1" t="s">
        <v>24</v>
      </c>
      <c r="I47" s="1" t="s">
        <v>24</v>
      </c>
      <c r="J47" s="1" t="s">
        <v>23</v>
      </c>
      <c r="K47" s="1" t="s">
        <v>24</v>
      </c>
      <c r="L47" s="1" t="s">
        <v>24</v>
      </c>
      <c r="M47" s="1" t="s">
        <v>24</v>
      </c>
      <c r="N47" s="1" t="s">
        <v>95</v>
      </c>
      <c r="O47">
        <v>5</v>
      </c>
      <c r="P47">
        <v>3025</v>
      </c>
      <c r="Q47" s="1" t="s">
        <v>36</v>
      </c>
      <c r="R47">
        <v>8</v>
      </c>
      <c r="S47" s="1" t="s">
        <v>56</v>
      </c>
      <c r="T47" s="1" t="s">
        <v>34</v>
      </c>
    </row>
    <row r="48" spans="1:20" x14ac:dyDescent="0.25">
      <c r="A48" s="1" t="s">
        <v>78</v>
      </c>
      <c r="B48">
        <v>159</v>
      </c>
      <c r="C48">
        <v>43</v>
      </c>
      <c r="D48">
        <v>78</v>
      </c>
      <c r="E48">
        <v>5</v>
      </c>
      <c r="F48" s="1" t="s">
        <v>55</v>
      </c>
      <c r="G48" s="1" t="s">
        <v>32</v>
      </c>
      <c r="H48" s="1" t="s">
        <v>24</v>
      </c>
      <c r="I48" s="1" t="s">
        <v>24</v>
      </c>
      <c r="J48" s="1" t="s">
        <v>23</v>
      </c>
      <c r="K48" s="1" t="s">
        <v>23</v>
      </c>
      <c r="L48" s="1" t="s">
        <v>24</v>
      </c>
      <c r="M48" s="1" t="s">
        <v>24</v>
      </c>
      <c r="N48" s="1" t="s">
        <v>109</v>
      </c>
      <c r="O48">
        <v>35</v>
      </c>
      <c r="P48">
        <v>732</v>
      </c>
      <c r="Q48" s="1" t="s">
        <v>26</v>
      </c>
      <c r="R48">
        <v>4</v>
      </c>
      <c r="S48" s="1" t="s">
        <v>57</v>
      </c>
      <c r="T48" s="1" t="s">
        <v>51</v>
      </c>
    </row>
    <row r="49" spans="1:20" x14ac:dyDescent="0.25">
      <c r="A49" s="1" t="s">
        <v>20</v>
      </c>
      <c r="B49">
        <v>110</v>
      </c>
      <c r="C49">
        <v>19</v>
      </c>
      <c r="D49">
        <v>76</v>
      </c>
      <c r="E49">
        <v>4</v>
      </c>
      <c r="F49" s="1" t="s">
        <v>21</v>
      </c>
      <c r="G49" s="1" t="s">
        <v>29</v>
      </c>
      <c r="H49" s="1" t="s">
        <v>24</v>
      </c>
      <c r="I49" s="1" t="s">
        <v>24</v>
      </c>
      <c r="J49" s="1" t="s">
        <v>23</v>
      </c>
      <c r="K49" s="1" t="s">
        <v>24</v>
      </c>
      <c r="L49" s="1" t="s">
        <v>24</v>
      </c>
      <c r="M49" s="1" t="s">
        <v>24</v>
      </c>
      <c r="N49" s="1" t="s">
        <v>102</v>
      </c>
      <c r="O49">
        <v>5</v>
      </c>
      <c r="P49">
        <v>1282</v>
      </c>
      <c r="Q49" s="1" t="s">
        <v>26</v>
      </c>
      <c r="R49">
        <v>2</v>
      </c>
      <c r="S49" s="1" t="s">
        <v>60</v>
      </c>
      <c r="T49" s="1" t="s">
        <v>40</v>
      </c>
    </row>
    <row r="50" spans="1:20" x14ac:dyDescent="0.25">
      <c r="A50" s="1" t="s">
        <v>20</v>
      </c>
      <c r="B50">
        <v>119</v>
      </c>
      <c r="C50">
        <v>21</v>
      </c>
      <c r="D50">
        <v>75</v>
      </c>
      <c r="E50">
        <v>3</v>
      </c>
      <c r="F50" s="1" t="s">
        <v>21</v>
      </c>
      <c r="G50" s="1" t="s">
        <v>29</v>
      </c>
      <c r="H50" s="1" t="s">
        <v>23</v>
      </c>
      <c r="I50" s="1" t="s">
        <v>24</v>
      </c>
      <c r="J50" s="1" t="s">
        <v>23</v>
      </c>
      <c r="K50" s="1" t="s">
        <v>23</v>
      </c>
      <c r="L50" s="1" t="s">
        <v>24</v>
      </c>
      <c r="M50" s="1" t="s">
        <v>24</v>
      </c>
      <c r="N50" s="1" t="s">
        <v>25</v>
      </c>
      <c r="O50">
        <v>3</v>
      </c>
      <c r="P50">
        <v>3773</v>
      </c>
      <c r="Q50" s="1" t="s">
        <v>26</v>
      </c>
      <c r="R50">
        <v>3</v>
      </c>
      <c r="S50" s="1" t="s">
        <v>27</v>
      </c>
      <c r="T50" s="1" t="s">
        <v>30</v>
      </c>
    </row>
    <row r="51" spans="1:20" x14ac:dyDescent="0.25">
      <c r="A51" s="1" t="s">
        <v>20</v>
      </c>
      <c r="B51">
        <v>17</v>
      </c>
      <c r="C51">
        <v>17</v>
      </c>
      <c r="D51">
        <v>74</v>
      </c>
      <c r="E51">
        <v>5</v>
      </c>
      <c r="F51" s="1" t="s">
        <v>31</v>
      </c>
      <c r="G51" s="1" t="s">
        <v>41</v>
      </c>
      <c r="H51" s="1" t="s">
        <v>24</v>
      </c>
      <c r="I51" s="1" t="s">
        <v>24</v>
      </c>
      <c r="J51" s="1" t="s">
        <v>23</v>
      </c>
      <c r="K51" s="1" t="s">
        <v>24</v>
      </c>
      <c r="L51" s="1" t="s">
        <v>24</v>
      </c>
      <c r="M51" s="1" t="s">
        <v>24</v>
      </c>
      <c r="N51" s="1" t="s">
        <v>92</v>
      </c>
      <c r="O51">
        <v>5</v>
      </c>
      <c r="P51">
        <v>2959</v>
      </c>
      <c r="Q51" s="1" t="s">
        <v>26</v>
      </c>
      <c r="R51">
        <v>10</v>
      </c>
      <c r="S51" s="1" t="s">
        <v>39</v>
      </c>
      <c r="T51" s="1" t="s">
        <v>34</v>
      </c>
    </row>
    <row r="52" spans="1:20" x14ac:dyDescent="0.25">
      <c r="A52" s="1" t="s">
        <v>20</v>
      </c>
      <c r="B52">
        <v>65</v>
      </c>
      <c r="C52">
        <v>24</v>
      </c>
      <c r="D52">
        <v>72</v>
      </c>
      <c r="E52">
        <v>3</v>
      </c>
      <c r="F52" s="1" t="s">
        <v>21</v>
      </c>
      <c r="G52" s="1" t="s">
        <v>29</v>
      </c>
      <c r="H52" s="1" t="s">
        <v>24</v>
      </c>
      <c r="I52" s="1" t="s">
        <v>24</v>
      </c>
      <c r="J52" s="1" t="s">
        <v>23</v>
      </c>
      <c r="K52" s="1" t="s">
        <v>23</v>
      </c>
      <c r="L52" s="1" t="s">
        <v>23</v>
      </c>
      <c r="M52" s="1" t="s">
        <v>24</v>
      </c>
      <c r="N52" s="1" t="s">
        <v>115</v>
      </c>
      <c r="O52">
        <v>3</v>
      </c>
      <c r="P52">
        <v>315</v>
      </c>
      <c r="Q52" s="1" t="s">
        <v>26</v>
      </c>
      <c r="R52">
        <v>6</v>
      </c>
      <c r="S52" s="1" t="s">
        <v>27</v>
      </c>
      <c r="T52" s="1" t="s">
        <v>58</v>
      </c>
    </row>
    <row r="53" spans="1:20" x14ac:dyDescent="0.25">
      <c r="A53" s="1" t="s">
        <v>35</v>
      </c>
      <c r="B53">
        <v>57</v>
      </c>
      <c r="C53">
        <v>20</v>
      </c>
      <c r="D53">
        <v>71</v>
      </c>
      <c r="E53">
        <v>5</v>
      </c>
      <c r="F53" s="1" t="s">
        <v>31</v>
      </c>
      <c r="G53" s="1" t="s">
        <v>29</v>
      </c>
      <c r="H53" s="1" t="s">
        <v>24</v>
      </c>
      <c r="I53" s="1" t="s">
        <v>24</v>
      </c>
      <c r="J53" s="1" t="s">
        <v>23</v>
      </c>
      <c r="K53" s="1" t="s">
        <v>24</v>
      </c>
      <c r="L53" s="1" t="s">
        <v>24</v>
      </c>
      <c r="M53" s="1" t="s">
        <v>24</v>
      </c>
      <c r="N53" s="1" t="s">
        <v>95</v>
      </c>
      <c r="O53">
        <v>5</v>
      </c>
      <c r="P53">
        <v>3025</v>
      </c>
      <c r="Q53" s="1" t="s">
        <v>36</v>
      </c>
      <c r="R53">
        <v>0</v>
      </c>
      <c r="S53" s="1" t="s">
        <v>45</v>
      </c>
      <c r="T53" s="1" t="s">
        <v>30</v>
      </c>
    </row>
    <row r="54" spans="1:20" x14ac:dyDescent="0.25">
      <c r="A54" s="1" t="s">
        <v>20</v>
      </c>
      <c r="B54">
        <v>17</v>
      </c>
      <c r="C54">
        <v>14</v>
      </c>
      <c r="D54">
        <v>70</v>
      </c>
      <c r="E54">
        <v>5</v>
      </c>
      <c r="F54" s="1" t="s">
        <v>31</v>
      </c>
      <c r="G54" s="1" t="s">
        <v>22</v>
      </c>
      <c r="H54" s="1" t="s">
        <v>24</v>
      </c>
      <c r="I54" s="1" t="s">
        <v>23</v>
      </c>
      <c r="J54" s="1" t="s">
        <v>23</v>
      </c>
      <c r="K54" s="1" t="s">
        <v>23</v>
      </c>
      <c r="L54" s="1" t="s">
        <v>24</v>
      </c>
      <c r="M54" s="1" t="s">
        <v>24</v>
      </c>
      <c r="N54" s="1" t="s">
        <v>105</v>
      </c>
      <c r="O54">
        <v>45</v>
      </c>
      <c r="P54">
        <v>188</v>
      </c>
      <c r="Q54" s="1" t="s">
        <v>26</v>
      </c>
      <c r="R54">
        <v>10</v>
      </c>
      <c r="S54" s="1" t="s">
        <v>39</v>
      </c>
      <c r="T54" s="1" t="s">
        <v>53</v>
      </c>
    </row>
    <row r="55" spans="1:20" x14ac:dyDescent="0.25">
      <c r="A55" s="1" t="s">
        <v>68</v>
      </c>
      <c r="B55">
        <v>184</v>
      </c>
      <c r="C55">
        <v>52</v>
      </c>
      <c r="D55">
        <v>70</v>
      </c>
      <c r="E55">
        <v>5</v>
      </c>
      <c r="F55" s="1" t="s">
        <v>46</v>
      </c>
      <c r="G55" s="1" t="s">
        <v>41</v>
      </c>
      <c r="H55" s="1" t="s">
        <v>24</v>
      </c>
      <c r="I55" s="1" t="s">
        <v>23</v>
      </c>
      <c r="J55" s="1" t="s">
        <v>23</v>
      </c>
      <c r="K55" s="1" t="s">
        <v>23</v>
      </c>
      <c r="L55" s="1" t="s">
        <v>24</v>
      </c>
      <c r="M55" s="1" t="s">
        <v>24</v>
      </c>
      <c r="N55" s="1" t="s">
        <v>105</v>
      </c>
      <c r="O55">
        <v>45</v>
      </c>
      <c r="P55">
        <v>188</v>
      </c>
      <c r="Q55" s="1" t="s">
        <v>36</v>
      </c>
      <c r="R55">
        <v>3</v>
      </c>
      <c r="S55" s="1" t="s">
        <v>52</v>
      </c>
      <c r="T55" s="1" t="s">
        <v>51</v>
      </c>
    </row>
    <row r="56" spans="1:20" x14ac:dyDescent="0.25">
      <c r="A56" s="1" t="s">
        <v>35</v>
      </c>
      <c r="B56">
        <v>85</v>
      </c>
      <c r="C56">
        <v>43</v>
      </c>
      <c r="D56">
        <v>68</v>
      </c>
      <c r="E56">
        <v>5</v>
      </c>
      <c r="F56" s="1" t="s">
        <v>55</v>
      </c>
      <c r="G56" s="1" t="s">
        <v>22</v>
      </c>
      <c r="H56" s="1" t="s">
        <v>24</v>
      </c>
      <c r="I56" s="1" t="s">
        <v>24</v>
      </c>
      <c r="J56" s="1" t="s">
        <v>23</v>
      </c>
      <c r="K56" s="1" t="s">
        <v>24</v>
      </c>
      <c r="L56" s="1" t="s">
        <v>24</v>
      </c>
      <c r="M56" s="1" t="s">
        <v>24</v>
      </c>
      <c r="N56" s="1" t="s">
        <v>106</v>
      </c>
      <c r="O56">
        <v>5</v>
      </c>
      <c r="P56">
        <v>2034</v>
      </c>
      <c r="Q56" s="1" t="s">
        <v>36</v>
      </c>
      <c r="R56">
        <v>5</v>
      </c>
      <c r="S56" s="1" t="s">
        <v>56</v>
      </c>
      <c r="T56" s="1" t="s">
        <v>51</v>
      </c>
    </row>
    <row r="57" spans="1:20" x14ac:dyDescent="0.25">
      <c r="A57" s="1" t="s">
        <v>20</v>
      </c>
      <c r="B57">
        <v>48</v>
      </c>
      <c r="C57">
        <v>21</v>
      </c>
      <c r="D57">
        <v>67</v>
      </c>
      <c r="E57">
        <v>4</v>
      </c>
      <c r="F57" s="1" t="s">
        <v>21</v>
      </c>
      <c r="G57" s="1" t="s">
        <v>41</v>
      </c>
      <c r="H57" s="1" t="s">
        <v>24</v>
      </c>
      <c r="I57" s="1" t="s">
        <v>24</v>
      </c>
      <c r="J57" s="1" t="s">
        <v>23</v>
      </c>
      <c r="K57" s="1" t="s">
        <v>24</v>
      </c>
      <c r="L57" s="1" t="s">
        <v>24</v>
      </c>
      <c r="M57" s="1" t="s">
        <v>24</v>
      </c>
      <c r="N57" s="1" t="s">
        <v>90</v>
      </c>
      <c r="O57">
        <v>5</v>
      </c>
      <c r="P57">
        <v>3348</v>
      </c>
      <c r="Q57" s="1" t="s">
        <v>26</v>
      </c>
      <c r="R57">
        <v>13</v>
      </c>
      <c r="S57" s="1" t="s">
        <v>60</v>
      </c>
      <c r="T57" s="1" t="s">
        <v>53</v>
      </c>
    </row>
    <row r="58" spans="1:20" x14ac:dyDescent="0.25">
      <c r="A58" s="1" t="s">
        <v>63</v>
      </c>
      <c r="B58">
        <v>85</v>
      </c>
      <c r="C58">
        <v>37</v>
      </c>
      <c r="D58">
        <v>65</v>
      </c>
      <c r="E58">
        <v>5</v>
      </c>
      <c r="F58" s="1" t="s">
        <v>46</v>
      </c>
      <c r="G58" s="1" t="s">
        <v>32</v>
      </c>
      <c r="H58" s="1" t="s">
        <v>24</v>
      </c>
      <c r="I58" s="1" t="s">
        <v>24</v>
      </c>
      <c r="J58" s="1" t="s">
        <v>23</v>
      </c>
      <c r="K58" s="1" t="s">
        <v>24</v>
      </c>
      <c r="L58" s="1" t="s">
        <v>24</v>
      </c>
      <c r="M58" s="1" t="s">
        <v>24</v>
      </c>
      <c r="N58" s="1" t="s">
        <v>122</v>
      </c>
      <c r="O58">
        <v>4</v>
      </c>
      <c r="P58">
        <v>2916</v>
      </c>
      <c r="Q58" s="1" t="s">
        <v>64</v>
      </c>
      <c r="R58">
        <v>4</v>
      </c>
      <c r="S58" s="1" t="s">
        <v>52</v>
      </c>
      <c r="T58" s="1" t="s">
        <v>30</v>
      </c>
    </row>
    <row r="59" spans="1:20" x14ac:dyDescent="0.25">
      <c r="A59" s="1" t="s">
        <v>37</v>
      </c>
      <c r="B59">
        <v>123</v>
      </c>
      <c r="C59">
        <v>26</v>
      </c>
      <c r="D59">
        <v>63</v>
      </c>
      <c r="E59">
        <v>5</v>
      </c>
      <c r="F59" s="1" t="s">
        <v>21</v>
      </c>
      <c r="G59" s="1" t="s">
        <v>41</v>
      </c>
      <c r="H59" s="1" t="s">
        <v>24</v>
      </c>
      <c r="I59" s="1" t="s">
        <v>24</v>
      </c>
      <c r="J59" s="1" t="s">
        <v>23</v>
      </c>
      <c r="K59" s="1" t="s">
        <v>24</v>
      </c>
      <c r="L59" s="1" t="s">
        <v>24</v>
      </c>
      <c r="M59" s="1" t="s">
        <v>24</v>
      </c>
      <c r="N59" s="1" t="s">
        <v>122</v>
      </c>
      <c r="O59">
        <v>4</v>
      </c>
      <c r="P59">
        <v>2916</v>
      </c>
      <c r="Q59" s="1" t="s">
        <v>26</v>
      </c>
      <c r="R59">
        <v>4</v>
      </c>
      <c r="S59" s="1" t="s">
        <v>60</v>
      </c>
      <c r="T59" s="1" t="s">
        <v>34</v>
      </c>
    </row>
    <row r="60" spans="1:20" x14ac:dyDescent="0.25">
      <c r="A60" s="1" t="s">
        <v>35</v>
      </c>
      <c r="B60">
        <v>130</v>
      </c>
      <c r="C60">
        <v>41</v>
      </c>
      <c r="D60">
        <v>61</v>
      </c>
      <c r="E60">
        <v>4</v>
      </c>
      <c r="F60" s="1" t="s">
        <v>46</v>
      </c>
      <c r="G60" s="1" t="s">
        <v>29</v>
      </c>
      <c r="H60" s="1" t="s">
        <v>24</v>
      </c>
      <c r="I60" s="1" t="s">
        <v>24</v>
      </c>
      <c r="J60" s="1" t="s">
        <v>24</v>
      </c>
      <c r="K60" s="1" t="s">
        <v>24</v>
      </c>
      <c r="L60" s="1" t="s">
        <v>24</v>
      </c>
      <c r="M60" s="1" t="s">
        <v>24</v>
      </c>
      <c r="N60" s="1" t="s">
        <v>85</v>
      </c>
      <c r="O60">
        <v>4</v>
      </c>
      <c r="P60">
        <v>1467</v>
      </c>
      <c r="Q60" s="1" t="s">
        <v>36</v>
      </c>
      <c r="R60">
        <v>3</v>
      </c>
      <c r="S60" s="1" t="s">
        <v>47</v>
      </c>
      <c r="T60" s="1" t="s">
        <v>40</v>
      </c>
    </row>
    <row r="61" spans="1:20" x14ac:dyDescent="0.25">
      <c r="A61" s="1" t="s">
        <v>112</v>
      </c>
      <c r="B61">
        <v>82</v>
      </c>
      <c r="C61">
        <v>14</v>
      </c>
      <c r="D61">
        <v>61</v>
      </c>
      <c r="E61">
        <v>3</v>
      </c>
      <c r="F61" s="1" t="s">
        <v>31</v>
      </c>
      <c r="G61" s="1" t="s">
        <v>32</v>
      </c>
      <c r="H61" s="1" t="s">
        <v>24</v>
      </c>
      <c r="I61" s="1" t="s">
        <v>24</v>
      </c>
      <c r="J61" s="1" t="s">
        <v>23</v>
      </c>
      <c r="K61" s="1" t="s">
        <v>23</v>
      </c>
      <c r="L61" s="1" t="s">
        <v>23</v>
      </c>
      <c r="M61" s="1" t="s">
        <v>24</v>
      </c>
      <c r="N61" s="1" t="s">
        <v>115</v>
      </c>
      <c r="O61">
        <v>3</v>
      </c>
      <c r="P61">
        <v>315</v>
      </c>
      <c r="Q61" s="1" t="s">
        <v>26</v>
      </c>
      <c r="R61">
        <v>1</v>
      </c>
      <c r="S61" s="1" t="s">
        <v>42</v>
      </c>
      <c r="T61" s="1" t="s">
        <v>51</v>
      </c>
    </row>
    <row r="62" spans="1:20" x14ac:dyDescent="0.25">
      <c r="A62" s="1" t="s">
        <v>37</v>
      </c>
      <c r="B62">
        <v>66</v>
      </c>
      <c r="C62">
        <v>33</v>
      </c>
      <c r="D62">
        <v>60</v>
      </c>
      <c r="E62">
        <v>5</v>
      </c>
      <c r="F62" s="1" t="s">
        <v>31</v>
      </c>
      <c r="G62" s="1" t="s">
        <v>41</v>
      </c>
      <c r="H62" s="1" t="s">
        <v>24</v>
      </c>
      <c r="I62" s="1" t="s">
        <v>24</v>
      </c>
      <c r="J62" s="1" t="s">
        <v>23</v>
      </c>
      <c r="K62" s="1" t="s">
        <v>24</v>
      </c>
      <c r="L62" s="1" t="s">
        <v>24</v>
      </c>
      <c r="M62" s="1" t="s">
        <v>24</v>
      </c>
      <c r="N62" s="1" t="s">
        <v>95</v>
      </c>
      <c r="O62">
        <v>5</v>
      </c>
      <c r="P62">
        <v>3025</v>
      </c>
      <c r="Q62" s="1" t="s">
        <v>26</v>
      </c>
      <c r="R62">
        <v>10</v>
      </c>
      <c r="S62" s="1" t="s">
        <v>42</v>
      </c>
      <c r="T62" s="1" t="s">
        <v>34</v>
      </c>
    </row>
    <row r="63" spans="1:20" x14ac:dyDescent="0.25">
      <c r="A63" s="1" t="s">
        <v>20</v>
      </c>
      <c r="B63">
        <v>63</v>
      </c>
      <c r="C63">
        <v>16</v>
      </c>
      <c r="D63">
        <v>59</v>
      </c>
      <c r="E63">
        <v>3</v>
      </c>
      <c r="F63" s="1" t="s">
        <v>55</v>
      </c>
      <c r="G63" s="1" t="s">
        <v>41</v>
      </c>
      <c r="H63" s="1" t="s">
        <v>24</v>
      </c>
      <c r="I63" s="1" t="s">
        <v>24</v>
      </c>
      <c r="J63" s="1" t="s">
        <v>23</v>
      </c>
      <c r="K63" s="1" t="s">
        <v>24</v>
      </c>
      <c r="L63" s="1" t="s">
        <v>24</v>
      </c>
      <c r="M63" s="1" t="s">
        <v>24</v>
      </c>
      <c r="N63" s="1" t="s">
        <v>123</v>
      </c>
      <c r="O63">
        <v>4</v>
      </c>
      <c r="P63">
        <v>826</v>
      </c>
      <c r="Q63" s="1" t="s">
        <v>26</v>
      </c>
      <c r="R63">
        <v>11</v>
      </c>
      <c r="S63" s="1" t="s">
        <v>56</v>
      </c>
      <c r="T63" s="1" t="s">
        <v>51</v>
      </c>
    </row>
    <row r="64" spans="1:20" x14ac:dyDescent="0.25">
      <c r="A64" s="1" t="s">
        <v>20</v>
      </c>
      <c r="B64">
        <v>121</v>
      </c>
      <c r="C64">
        <v>13</v>
      </c>
      <c r="D64">
        <v>59</v>
      </c>
      <c r="E64">
        <v>2</v>
      </c>
      <c r="F64" s="1" t="s">
        <v>31</v>
      </c>
      <c r="G64" s="1" t="s">
        <v>41</v>
      </c>
      <c r="H64" s="1" t="s">
        <v>24</v>
      </c>
      <c r="I64" s="1" t="s">
        <v>24</v>
      </c>
      <c r="J64" s="1" t="s">
        <v>23</v>
      </c>
      <c r="K64" s="1" t="s">
        <v>24</v>
      </c>
      <c r="L64" s="1" t="s">
        <v>24</v>
      </c>
      <c r="M64" s="1" t="s">
        <v>24</v>
      </c>
      <c r="N64" s="1" t="s">
        <v>122</v>
      </c>
      <c r="O64">
        <v>4</v>
      </c>
      <c r="P64">
        <v>2916</v>
      </c>
      <c r="Q64" s="1" t="s">
        <v>26</v>
      </c>
      <c r="R64">
        <v>9</v>
      </c>
      <c r="S64" s="1" t="s">
        <v>39</v>
      </c>
      <c r="T64" s="1" t="s">
        <v>40</v>
      </c>
    </row>
    <row r="65" spans="1:20" x14ac:dyDescent="0.25">
      <c r="A65" s="1" t="s">
        <v>37</v>
      </c>
      <c r="B65">
        <v>20</v>
      </c>
      <c r="C65">
        <v>5</v>
      </c>
      <c r="D65">
        <v>59</v>
      </c>
      <c r="E65">
        <v>3</v>
      </c>
      <c r="F65" s="1" t="s">
        <v>55</v>
      </c>
      <c r="G65" s="1" t="s">
        <v>41</v>
      </c>
      <c r="H65" s="1" t="s">
        <v>24</v>
      </c>
      <c r="I65" s="1" t="s">
        <v>24</v>
      </c>
      <c r="J65" s="1" t="s">
        <v>23</v>
      </c>
      <c r="K65" s="1" t="s">
        <v>24</v>
      </c>
      <c r="L65" s="1" t="s">
        <v>24</v>
      </c>
      <c r="M65" s="1" t="s">
        <v>24</v>
      </c>
      <c r="N65" s="1" t="s">
        <v>62</v>
      </c>
      <c r="O65">
        <v>3</v>
      </c>
      <c r="P65">
        <v>3981</v>
      </c>
      <c r="Q65" s="1" t="s">
        <v>26</v>
      </c>
      <c r="R65">
        <v>8</v>
      </c>
      <c r="S65" s="1" t="s">
        <v>56</v>
      </c>
      <c r="T65" s="1" t="s">
        <v>34</v>
      </c>
    </row>
    <row r="66" spans="1:20" x14ac:dyDescent="0.25">
      <c r="A66" s="1" t="s">
        <v>20</v>
      </c>
      <c r="B66">
        <v>102</v>
      </c>
      <c r="C66">
        <v>24</v>
      </c>
      <c r="D66">
        <v>58</v>
      </c>
      <c r="E66">
        <v>2</v>
      </c>
      <c r="F66" s="1" t="s">
        <v>46</v>
      </c>
      <c r="G66" s="1" t="s">
        <v>32</v>
      </c>
      <c r="H66" s="1" t="s">
        <v>23</v>
      </c>
      <c r="I66" s="1" t="s">
        <v>24</v>
      </c>
      <c r="J66" s="1" t="s">
        <v>23</v>
      </c>
      <c r="K66" s="1" t="s">
        <v>23</v>
      </c>
      <c r="L66" s="1" t="s">
        <v>24</v>
      </c>
      <c r="M66" s="1" t="s">
        <v>24</v>
      </c>
      <c r="N66" s="1" t="s">
        <v>25</v>
      </c>
      <c r="O66">
        <v>3</v>
      </c>
      <c r="P66">
        <v>3773</v>
      </c>
      <c r="Q66" s="1" t="s">
        <v>26</v>
      </c>
      <c r="R66">
        <v>9</v>
      </c>
      <c r="S66" s="1" t="s">
        <v>47</v>
      </c>
      <c r="T66" s="1" t="s">
        <v>30</v>
      </c>
    </row>
    <row r="67" spans="1:20" x14ac:dyDescent="0.25">
      <c r="A67" s="1" t="s">
        <v>48</v>
      </c>
      <c r="B67">
        <v>106</v>
      </c>
      <c r="C67">
        <v>37</v>
      </c>
      <c r="D67">
        <v>58</v>
      </c>
      <c r="E67">
        <v>4</v>
      </c>
      <c r="F67" s="1" t="s">
        <v>31</v>
      </c>
      <c r="G67" s="1" t="s">
        <v>29</v>
      </c>
      <c r="H67" s="1" t="s">
        <v>24</v>
      </c>
      <c r="I67" s="1" t="s">
        <v>24</v>
      </c>
      <c r="J67" s="1" t="s">
        <v>23</v>
      </c>
      <c r="K67" s="1" t="s">
        <v>24</v>
      </c>
      <c r="L67" s="1" t="s">
        <v>24</v>
      </c>
      <c r="M67" s="1" t="s">
        <v>24</v>
      </c>
      <c r="N67" s="1" t="s">
        <v>108</v>
      </c>
      <c r="O67">
        <v>35</v>
      </c>
      <c r="P67">
        <v>1228</v>
      </c>
      <c r="Q67" s="1" t="s">
        <v>49</v>
      </c>
      <c r="R67">
        <v>3</v>
      </c>
      <c r="S67" s="1" t="s">
        <v>42</v>
      </c>
      <c r="T67" s="1" t="s">
        <v>51</v>
      </c>
    </row>
    <row r="68" spans="1:20" x14ac:dyDescent="0.25">
      <c r="A68" s="1" t="s">
        <v>112</v>
      </c>
      <c r="B68">
        <v>88</v>
      </c>
      <c r="C68">
        <v>19</v>
      </c>
      <c r="D68">
        <v>58</v>
      </c>
      <c r="E68">
        <v>5</v>
      </c>
      <c r="F68" s="1" t="s">
        <v>55</v>
      </c>
      <c r="G68" s="1" t="s">
        <v>22</v>
      </c>
      <c r="H68" s="1" t="s">
        <v>24</v>
      </c>
      <c r="I68" s="1" t="s">
        <v>24</v>
      </c>
      <c r="J68" s="1" t="s">
        <v>23</v>
      </c>
      <c r="K68" s="1" t="s">
        <v>23</v>
      </c>
      <c r="L68" s="1" t="s">
        <v>24</v>
      </c>
      <c r="M68" s="1" t="s">
        <v>24</v>
      </c>
      <c r="N68" s="1" t="s">
        <v>109</v>
      </c>
      <c r="O68">
        <v>35</v>
      </c>
      <c r="P68">
        <v>732</v>
      </c>
      <c r="Q68" s="1" t="s">
        <v>26</v>
      </c>
      <c r="R68">
        <v>1</v>
      </c>
      <c r="S68" s="1" t="s">
        <v>56</v>
      </c>
      <c r="T68" s="1" t="s">
        <v>51</v>
      </c>
    </row>
    <row r="69" spans="1:20" x14ac:dyDescent="0.25">
      <c r="A69" s="1" t="s">
        <v>20</v>
      </c>
      <c r="B69">
        <v>19</v>
      </c>
      <c r="C69">
        <v>8</v>
      </c>
      <c r="D69">
        <v>56</v>
      </c>
      <c r="E69">
        <v>4</v>
      </c>
      <c r="F69" s="1" t="s">
        <v>46</v>
      </c>
      <c r="G69" s="1" t="s">
        <v>41</v>
      </c>
      <c r="H69" s="1" t="s">
        <v>24</v>
      </c>
      <c r="I69" s="1" t="s">
        <v>24</v>
      </c>
      <c r="J69" s="1" t="s">
        <v>23</v>
      </c>
      <c r="K69" s="1" t="s">
        <v>24</v>
      </c>
      <c r="L69" s="1" t="s">
        <v>24</v>
      </c>
      <c r="M69" s="1" t="s">
        <v>24</v>
      </c>
      <c r="N69" s="1" t="s">
        <v>92</v>
      </c>
      <c r="O69">
        <v>5</v>
      </c>
      <c r="P69">
        <v>2959</v>
      </c>
      <c r="Q69" s="1" t="s">
        <v>26</v>
      </c>
      <c r="R69">
        <v>10</v>
      </c>
      <c r="S69" s="1" t="s">
        <v>52</v>
      </c>
      <c r="T69" s="1" t="s">
        <v>53</v>
      </c>
    </row>
    <row r="70" spans="1:20" x14ac:dyDescent="0.25">
      <c r="A70" s="1" t="s">
        <v>37</v>
      </c>
      <c r="B70">
        <v>41</v>
      </c>
      <c r="C70">
        <v>10</v>
      </c>
      <c r="D70">
        <v>56</v>
      </c>
      <c r="E70">
        <v>5</v>
      </c>
      <c r="F70" s="1" t="s">
        <v>46</v>
      </c>
      <c r="G70" s="1" t="s">
        <v>32</v>
      </c>
      <c r="H70" s="1" t="s">
        <v>24</v>
      </c>
      <c r="I70" s="1" t="s">
        <v>24</v>
      </c>
      <c r="J70" s="1" t="s">
        <v>23</v>
      </c>
      <c r="K70" s="1" t="s">
        <v>24</v>
      </c>
      <c r="L70" s="1" t="s">
        <v>24</v>
      </c>
      <c r="M70" s="1" t="s">
        <v>24</v>
      </c>
      <c r="N70" s="1" t="s">
        <v>92</v>
      </c>
      <c r="O70">
        <v>5</v>
      </c>
      <c r="P70">
        <v>2959</v>
      </c>
      <c r="Q70" s="1" t="s">
        <v>26</v>
      </c>
      <c r="R70">
        <v>4</v>
      </c>
      <c r="S70" s="1" t="s">
        <v>52</v>
      </c>
      <c r="T70" s="1" t="s">
        <v>34</v>
      </c>
    </row>
    <row r="71" spans="1:20" x14ac:dyDescent="0.25">
      <c r="A71" s="1" t="s">
        <v>20</v>
      </c>
      <c r="B71">
        <v>16</v>
      </c>
      <c r="C71">
        <v>13</v>
      </c>
      <c r="D71">
        <v>55</v>
      </c>
      <c r="E71">
        <v>5</v>
      </c>
      <c r="F71" s="1" t="s">
        <v>21</v>
      </c>
      <c r="G71" s="1" t="s">
        <v>41</v>
      </c>
      <c r="H71" s="1" t="s">
        <v>24</v>
      </c>
      <c r="I71" s="1" t="s">
        <v>24</v>
      </c>
      <c r="J71" s="1" t="s">
        <v>24</v>
      </c>
      <c r="K71" s="1" t="s">
        <v>24</v>
      </c>
      <c r="L71" s="1" t="s">
        <v>24</v>
      </c>
      <c r="M71" s="1" t="s">
        <v>24</v>
      </c>
      <c r="N71" s="1" t="s">
        <v>100</v>
      </c>
      <c r="O71">
        <v>5</v>
      </c>
      <c r="P71">
        <v>2700</v>
      </c>
      <c r="Q71" s="1" t="s">
        <v>26</v>
      </c>
      <c r="R71">
        <v>9</v>
      </c>
      <c r="S71" s="1" t="s">
        <v>60</v>
      </c>
      <c r="T71" s="1" t="s">
        <v>40</v>
      </c>
    </row>
    <row r="72" spans="1:20" x14ac:dyDescent="0.25">
      <c r="A72" s="1" t="s">
        <v>81</v>
      </c>
      <c r="B72">
        <v>113</v>
      </c>
      <c r="C72">
        <v>15</v>
      </c>
      <c r="D72">
        <v>55</v>
      </c>
      <c r="E72">
        <v>5</v>
      </c>
      <c r="F72" s="1" t="s">
        <v>31</v>
      </c>
      <c r="G72" s="1" t="s">
        <v>32</v>
      </c>
      <c r="H72" s="1" t="s">
        <v>24</v>
      </c>
      <c r="I72" s="1" t="s">
        <v>24</v>
      </c>
      <c r="J72" s="1" t="s">
        <v>23</v>
      </c>
      <c r="K72" s="1" t="s">
        <v>24</v>
      </c>
      <c r="L72" s="1" t="s">
        <v>24</v>
      </c>
      <c r="M72" s="1" t="s">
        <v>24</v>
      </c>
      <c r="N72" s="1" t="s">
        <v>92</v>
      </c>
      <c r="O72">
        <v>5</v>
      </c>
      <c r="P72">
        <v>2959</v>
      </c>
      <c r="Q72" s="1" t="s">
        <v>36</v>
      </c>
      <c r="R72">
        <v>8</v>
      </c>
      <c r="S72" s="1" t="s">
        <v>45</v>
      </c>
      <c r="T72" s="1" t="s">
        <v>28</v>
      </c>
    </row>
    <row r="73" spans="1:20" x14ac:dyDescent="0.25">
      <c r="A73" s="1" t="s">
        <v>35</v>
      </c>
      <c r="B73">
        <v>95</v>
      </c>
      <c r="C73">
        <v>37</v>
      </c>
      <c r="D73">
        <v>55</v>
      </c>
      <c r="E73">
        <v>4</v>
      </c>
      <c r="F73" s="1" t="s">
        <v>31</v>
      </c>
      <c r="G73" s="1" t="s">
        <v>22</v>
      </c>
      <c r="H73" s="1" t="s">
        <v>24</v>
      </c>
      <c r="I73" s="1" t="s">
        <v>24</v>
      </c>
      <c r="J73" s="1" t="s">
        <v>23</v>
      </c>
      <c r="K73" s="1" t="s">
        <v>23</v>
      </c>
      <c r="L73" s="1" t="s">
        <v>24</v>
      </c>
      <c r="M73" s="1" t="s">
        <v>24</v>
      </c>
      <c r="N73" s="1" t="s">
        <v>109</v>
      </c>
      <c r="O73">
        <v>35</v>
      </c>
      <c r="P73">
        <v>732</v>
      </c>
      <c r="Q73" s="1" t="s">
        <v>36</v>
      </c>
      <c r="R73">
        <v>6</v>
      </c>
      <c r="S73" s="1" t="s">
        <v>39</v>
      </c>
      <c r="T73" s="1" t="s">
        <v>40</v>
      </c>
    </row>
    <row r="74" spans="1:20" x14ac:dyDescent="0.25">
      <c r="A74" s="1" t="s">
        <v>37</v>
      </c>
      <c r="B74">
        <v>136</v>
      </c>
      <c r="C74">
        <v>20</v>
      </c>
      <c r="D74">
        <v>55</v>
      </c>
      <c r="E74">
        <v>5</v>
      </c>
      <c r="F74" s="1" t="s">
        <v>46</v>
      </c>
      <c r="G74" s="1" t="s">
        <v>32</v>
      </c>
      <c r="H74" s="1" t="s">
        <v>24</v>
      </c>
      <c r="I74" s="1" t="s">
        <v>24</v>
      </c>
      <c r="J74" s="1" t="s">
        <v>23</v>
      </c>
      <c r="K74" s="1" t="s">
        <v>24</v>
      </c>
      <c r="L74" s="1" t="s">
        <v>24</v>
      </c>
      <c r="M74" s="1" t="s">
        <v>24</v>
      </c>
      <c r="N74" s="1" t="s">
        <v>102</v>
      </c>
      <c r="O74">
        <v>5</v>
      </c>
      <c r="P74">
        <v>1282</v>
      </c>
      <c r="Q74" s="1" t="s">
        <v>26</v>
      </c>
      <c r="R74">
        <v>3</v>
      </c>
      <c r="S74" s="1" t="s">
        <v>50</v>
      </c>
      <c r="T74" s="1" t="s">
        <v>53</v>
      </c>
    </row>
    <row r="75" spans="1:20" x14ac:dyDescent="0.25">
      <c r="A75" s="1" t="s">
        <v>20</v>
      </c>
      <c r="B75">
        <v>148</v>
      </c>
      <c r="C75">
        <v>33</v>
      </c>
      <c r="D75">
        <v>55</v>
      </c>
      <c r="E75">
        <v>4</v>
      </c>
      <c r="F75" s="1" t="s">
        <v>55</v>
      </c>
      <c r="G75" s="1" t="s">
        <v>29</v>
      </c>
      <c r="H75" s="1" t="s">
        <v>24</v>
      </c>
      <c r="I75" s="1" t="s">
        <v>23</v>
      </c>
      <c r="J75" s="1" t="s">
        <v>23</v>
      </c>
      <c r="K75" s="1" t="s">
        <v>23</v>
      </c>
      <c r="L75" s="1" t="s">
        <v>24</v>
      </c>
      <c r="M75" s="1" t="s">
        <v>24</v>
      </c>
      <c r="N75" s="1" t="s">
        <v>105</v>
      </c>
      <c r="O75">
        <v>45</v>
      </c>
      <c r="P75">
        <v>188</v>
      </c>
      <c r="Q75" s="1" t="s">
        <v>26</v>
      </c>
      <c r="R75">
        <v>3</v>
      </c>
      <c r="S75" s="1" t="s">
        <v>59</v>
      </c>
      <c r="T75" s="1" t="s">
        <v>51</v>
      </c>
    </row>
    <row r="76" spans="1:20" x14ac:dyDescent="0.25">
      <c r="A76" s="1" t="s">
        <v>20</v>
      </c>
      <c r="B76">
        <v>56</v>
      </c>
      <c r="C76">
        <v>16</v>
      </c>
      <c r="D76">
        <v>54</v>
      </c>
      <c r="E76">
        <v>4</v>
      </c>
      <c r="F76" s="1" t="s">
        <v>31</v>
      </c>
      <c r="G76" s="1" t="s">
        <v>29</v>
      </c>
      <c r="H76" s="1" t="s">
        <v>24</v>
      </c>
      <c r="I76" s="1" t="s">
        <v>24</v>
      </c>
      <c r="J76" s="1" t="s">
        <v>23</v>
      </c>
      <c r="K76" s="1" t="s">
        <v>24</v>
      </c>
      <c r="L76" s="1" t="s">
        <v>24</v>
      </c>
      <c r="M76" s="1" t="s">
        <v>24</v>
      </c>
      <c r="N76" s="1" t="s">
        <v>122</v>
      </c>
      <c r="O76">
        <v>4</v>
      </c>
      <c r="P76">
        <v>2916</v>
      </c>
      <c r="Q76" s="1" t="s">
        <v>26</v>
      </c>
      <c r="R76">
        <v>9</v>
      </c>
      <c r="S76" s="1" t="s">
        <v>42</v>
      </c>
      <c r="T76" s="1" t="s">
        <v>40</v>
      </c>
    </row>
    <row r="77" spans="1:20" x14ac:dyDescent="0.25">
      <c r="A77" s="1" t="s">
        <v>35</v>
      </c>
      <c r="B77">
        <v>74</v>
      </c>
      <c r="C77">
        <v>47</v>
      </c>
      <c r="D77">
        <v>54</v>
      </c>
      <c r="E77">
        <v>4</v>
      </c>
      <c r="F77" s="1" t="s">
        <v>21</v>
      </c>
      <c r="G77" s="1" t="s">
        <v>41</v>
      </c>
      <c r="H77" s="1" t="s">
        <v>24</v>
      </c>
      <c r="I77" s="1" t="s">
        <v>24</v>
      </c>
      <c r="J77" s="1" t="s">
        <v>23</v>
      </c>
      <c r="K77" s="1" t="s">
        <v>24</v>
      </c>
      <c r="L77" s="1" t="s">
        <v>24</v>
      </c>
      <c r="M77" s="1" t="s">
        <v>24</v>
      </c>
      <c r="N77" s="1" t="s">
        <v>62</v>
      </c>
      <c r="O77">
        <v>3</v>
      </c>
      <c r="P77">
        <v>3981</v>
      </c>
      <c r="Q77" s="1" t="s">
        <v>36</v>
      </c>
      <c r="R77">
        <v>7</v>
      </c>
      <c r="S77" s="1" t="s">
        <v>60</v>
      </c>
      <c r="T77" s="1" t="s">
        <v>51</v>
      </c>
    </row>
    <row r="78" spans="1:20" x14ac:dyDescent="0.25">
      <c r="A78" s="1" t="s">
        <v>20</v>
      </c>
      <c r="B78">
        <v>21</v>
      </c>
      <c r="C78">
        <v>18</v>
      </c>
      <c r="D78">
        <v>53</v>
      </c>
      <c r="E78">
        <v>5</v>
      </c>
      <c r="F78" s="1" t="s">
        <v>46</v>
      </c>
      <c r="G78" s="1" t="s">
        <v>41</v>
      </c>
      <c r="H78" s="1" t="s">
        <v>24</v>
      </c>
      <c r="I78" s="1" t="s">
        <v>23</v>
      </c>
      <c r="J78" s="1" t="s">
        <v>23</v>
      </c>
      <c r="K78" s="1" t="s">
        <v>23</v>
      </c>
      <c r="L78" s="1" t="s">
        <v>24</v>
      </c>
      <c r="M78" s="1" t="s">
        <v>24</v>
      </c>
      <c r="N78" s="1" t="s">
        <v>105</v>
      </c>
      <c r="O78">
        <v>45</v>
      </c>
      <c r="P78">
        <v>188</v>
      </c>
      <c r="Q78" s="1" t="s">
        <v>26</v>
      </c>
      <c r="R78">
        <v>11</v>
      </c>
      <c r="S78" s="1" t="s">
        <v>50</v>
      </c>
      <c r="T78" s="1" t="s">
        <v>51</v>
      </c>
    </row>
    <row r="79" spans="1:20" x14ac:dyDescent="0.25">
      <c r="A79" s="1" t="s">
        <v>43</v>
      </c>
      <c r="B79">
        <v>44</v>
      </c>
      <c r="C79">
        <v>35</v>
      </c>
      <c r="D79">
        <v>53</v>
      </c>
      <c r="E79">
        <v>5</v>
      </c>
      <c r="F79" s="1" t="s">
        <v>31</v>
      </c>
      <c r="G79" s="1" t="s">
        <v>41</v>
      </c>
      <c r="H79" s="1" t="s">
        <v>24</v>
      </c>
      <c r="I79" s="1" t="s">
        <v>24</v>
      </c>
      <c r="J79" s="1" t="s">
        <v>23</v>
      </c>
      <c r="K79" s="1" t="s">
        <v>24</v>
      </c>
      <c r="L79" s="1" t="s">
        <v>24</v>
      </c>
      <c r="M79" s="1" t="s">
        <v>24</v>
      </c>
      <c r="N79" s="1" t="s">
        <v>120</v>
      </c>
      <c r="O79">
        <v>5</v>
      </c>
      <c r="P79">
        <v>3933</v>
      </c>
      <c r="Q79" s="1" t="s">
        <v>44</v>
      </c>
      <c r="R79">
        <v>6</v>
      </c>
      <c r="S79" s="1" t="s">
        <v>39</v>
      </c>
      <c r="T79" s="1" t="s">
        <v>40</v>
      </c>
    </row>
    <row r="80" spans="1:20" x14ac:dyDescent="0.25">
      <c r="A80" s="1" t="s">
        <v>37</v>
      </c>
      <c r="B80">
        <v>49</v>
      </c>
      <c r="C80">
        <v>22</v>
      </c>
      <c r="D80">
        <v>53</v>
      </c>
      <c r="E80">
        <v>3</v>
      </c>
      <c r="F80" s="1" t="s">
        <v>55</v>
      </c>
      <c r="G80" s="1" t="s">
        <v>41</v>
      </c>
      <c r="H80" s="1" t="s">
        <v>24</v>
      </c>
      <c r="I80" s="1" t="s">
        <v>23</v>
      </c>
      <c r="J80" s="1" t="s">
        <v>23</v>
      </c>
      <c r="K80" s="1" t="s">
        <v>23</v>
      </c>
      <c r="L80" s="1" t="s">
        <v>24</v>
      </c>
      <c r="M80" s="1" t="s">
        <v>24</v>
      </c>
      <c r="N80" s="1" t="s">
        <v>105</v>
      </c>
      <c r="O80">
        <v>45</v>
      </c>
      <c r="P80">
        <v>188</v>
      </c>
      <c r="Q80" s="1" t="s">
        <v>26</v>
      </c>
      <c r="R80">
        <v>5</v>
      </c>
      <c r="S80" s="1" t="s">
        <v>59</v>
      </c>
      <c r="T80" s="1" t="s">
        <v>53</v>
      </c>
    </row>
    <row r="81" spans="1:20" x14ac:dyDescent="0.25">
      <c r="A81" s="1" t="s">
        <v>43</v>
      </c>
      <c r="B81">
        <v>116</v>
      </c>
      <c r="C81">
        <v>44</v>
      </c>
      <c r="D81">
        <v>53</v>
      </c>
      <c r="E81">
        <v>4</v>
      </c>
      <c r="F81" s="1" t="s">
        <v>55</v>
      </c>
      <c r="G81" s="1" t="s">
        <v>41</v>
      </c>
      <c r="H81" s="1" t="s">
        <v>24</v>
      </c>
      <c r="I81" s="1" t="s">
        <v>24</v>
      </c>
      <c r="J81" s="1" t="s">
        <v>23</v>
      </c>
      <c r="K81" s="1" t="s">
        <v>23</v>
      </c>
      <c r="L81" s="1" t="s">
        <v>23</v>
      </c>
      <c r="M81" s="1" t="s">
        <v>24</v>
      </c>
      <c r="N81" s="1" t="s">
        <v>115</v>
      </c>
      <c r="O81">
        <v>3</v>
      </c>
      <c r="P81">
        <v>315</v>
      </c>
      <c r="Q81" s="1" t="s">
        <v>44</v>
      </c>
      <c r="R81">
        <v>5</v>
      </c>
      <c r="S81" s="1" t="s">
        <v>57</v>
      </c>
      <c r="T81" s="1" t="s">
        <v>34</v>
      </c>
    </row>
    <row r="82" spans="1:20" x14ac:dyDescent="0.25">
      <c r="A82" s="1" t="s">
        <v>20</v>
      </c>
      <c r="B82">
        <v>114</v>
      </c>
      <c r="C82">
        <v>42</v>
      </c>
      <c r="D82">
        <v>52</v>
      </c>
      <c r="E82">
        <v>4</v>
      </c>
      <c r="F82" s="1" t="s">
        <v>21</v>
      </c>
      <c r="G82" s="1" t="s">
        <v>29</v>
      </c>
      <c r="H82" s="1" t="s">
        <v>24</v>
      </c>
      <c r="I82" s="1" t="s">
        <v>24</v>
      </c>
      <c r="J82" s="1" t="s">
        <v>23</v>
      </c>
      <c r="K82" s="1" t="s">
        <v>24</v>
      </c>
      <c r="L82" s="1" t="s">
        <v>24</v>
      </c>
      <c r="M82" s="1" t="s">
        <v>24</v>
      </c>
      <c r="N82" s="1" t="s">
        <v>62</v>
      </c>
      <c r="O82">
        <v>3</v>
      </c>
      <c r="P82">
        <v>3981</v>
      </c>
      <c r="Q82" s="1" t="s">
        <v>26</v>
      </c>
      <c r="R82">
        <v>11</v>
      </c>
      <c r="S82" s="1" t="s">
        <v>27</v>
      </c>
      <c r="T82" s="1" t="s">
        <v>34</v>
      </c>
    </row>
    <row r="83" spans="1:20" x14ac:dyDescent="0.25">
      <c r="A83" s="1" t="s">
        <v>86</v>
      </c>
      <c r="B83">
        <v>79</v>
      </c>
      <c r="C83">
        <v>39</v>
      </c>
      <c r="D83">
        <v>51</v>
      </c>
      <c r="E83">
        <v>3</v>
      </c>
      <c r="F83" s="1" t="s">
        <v>21</v>
      </c>
      <c r="G83" s="1" t="s">
        <v>41</v>
      </c>
      <c r="H83" s="1" t="s">
        <v>24</v>
      </c>
      <c r="I83" s="1" t="s">
        <v>24</v>
      </c>
      <c r="J83" s="1" t="s">
        <v>24</v>
      </c>
      <c r="K83" s="1" t="s">
        <v>24</v>
      </c>
      <c r="L83" s="1" t="s">
        <v>24</v>
      </c>
      <c r="M83" s="1" t="s">
        <v>24</v>
      </c>
      <c r="N83" s="1" t="s">
        <v>85</v>
      </c>
      <c r="O83">
        <v>4</v>
      </c>
      <c r="P83">
        <v>1467</v>
      </c>
      <c r="Q83" s="1" t="s">
        <v>44</v>
      </c>
      <c r="R83">
        <v>5</v>
      </c>
      <c r="S83" s="1" t="s">
        <v>33</v>
      </c>
      <c r="T83" s="1" t="s">
        <v>51</v>
      </c>
    </row>
    <row r="84" spans="1:20" x14ac:dyDescent="0.25">
      <c r="A84" s="1" t="s">
        <v>20</v>
      </c>
      <c r="B84">
        <v>137</v>
      </c>
      <c r="C84">
        <v>42</v>
      </c>
      <c r="D84">
        <v>51</v>
      </c>
      <c r="E84">
        <v>3</v>
      </c>
      <c r="F84" s="1" t="s">
        <v>31</v>
      </c>
      <c r="G84" s="1" t="s">
        <v>41</v>
      </c>
      <c r="H84" s="1" t="s">
        <v>24</v>
      </c>
      <c r="I84" s="1" t="s">
        <v>24</v>
      </c>
      <c r="J84" s="1" t="s">
        <v>23</v>
      </c>
      <c r="K84" s="1" t="s">
        <v>24</v>
      </c>
      <c r="L84" s="1" t="s">
        <v>24</v>
      </c>
      <c r="M84" s="1" t="s">
        <v>24</v>
      </c>
      <c r="N84" s="1" t="s">
        <v>122</v>
      </c>
      <c r="O84">
        <v>4</v>
      </c>
      <c r="P84">
        <v>2916</v>
      </c>
      <c r="Q84" s="1" t="s">
        <v>26</v>
      </c>
      <c r="R84">
        <v>5</v>
      </c>
      <c r="S84" s="1" t="s">
        <v>45</v>
      </c>
      <c r="T84" s="1" t="s">
        <v>53</v>
      </c>
    </row>
    <row r="85" spans="1:20" x14ac:dyDescent="0.25">
      <c r="A85" s="1" t="s">
        <v>20</v>
      </c>
      <c r="B85">
        <v>27</v>
      </c>
      <c r="C85">
        <v>12</v>
      </c>
      <c r="D85">
        <v>51</v>
      </c>
      <c r="E85">
        <v>5</v>
      </c>
      <c r="F85" s="1" t="s">
        <v>31</v>
      </c>
      <c r="G85" s="1" t="s">
        <v>22</v>
      </c>
      <c r="H85" s="1" t="s">
        <v>24</v>
      </c>
      <c r="I85" s="1" t="s">
        <v>24</v>
      </c>
      <c r="J85" s="1" t="s">
        <v>24</v>
      </c>
      <c r="K85" s="1" t="s">
        <v>23</v>
      </c>
      <c r="L85" s="1" t="s">
        <v>23</v>
      </c>
      <c r="M85" s="1" t="s">
        <v>24</v>
      </c>
      <c r="N85" s="1" t="s">
        <v>117</v>
      </c>
      <c r="O85">
        <v>35</v>
      </c>
      <c r="P85">
        <v>787</v>
      </c>
      <c r="Q85" s="1" t="s">
        <v>26</v>
      </c>
      <c r="R85">
        <v>4</v>
      </c>
      <c r="S85" s="1" t="s">
        <v>39</v>
      </c>
      <c r="T85" s="1" t="s">
        <v>40</v>
      </c>
    </row>
    <row r="86" spans="1:20" x14ac:dyDescent="0.25">
      <c r="A86" s="1" t="s">
        <v>101</v>
      </c>
      <c r="B86">
        <v>130</v>
      </c>
      <c r="C86">
        <v>19</v>
      </c>
      <c r="D86">
        <v>49</v>
      </c>
      <c r="E86">
        <v>3</v>
      </c>
      <c r="F86" s="1" t="s">
        <v>46</v>
      </c>
      <c r="G86" s="1" t="s">
        <v>41</v>
      </c>
      <c r="H86" s="1" t="s">
        <v>24</v>
      </c>
      <c r="I86" s="1" t="s">
        <v>24</v>
      </c>
      <c r="J86" s="1" t="s">
        <v>23</v>
      </c>
      <c r="K86" s="1" t="s">
        <v>24</v>
      </c>
      <c r="L86" s="1" t="s">
        <v>24</v>
      </c>
      <c r="M86" s="1" t="s">
        <v>24</v>
      </c>
      <c r="N86" s="1" t="s">
        <v>122</v>
      </c>
      <c r="O86">
        <v>4</v>
      </c>
      <c r="P86">
        <v>2916</v>
      </c>
      <c r="Q86" s="1" t="s">
        <v>26</v>
      </c>
      <c r="R86">
        <v>6</v>
      </c>
      <c r="S86" s="1" t="s">
        <v>47</v>
      </c>
      <c r="T86" s="1" t="s">
        <v>53</v>
      </c>
    </row>
    <row r="87" spans="1:20" x14ac:dyDescent="0.25">
      <c r="A87" s="1" t="s">
        <v>37</v>
      </c>
      <c r="B87">
        <v>21</v>
      </c>
      <c r="C87">
        <v>16</v>
      </c>
      <c r="D87">
        <v>48</v>
      </c>
      <c r="E87">
        <v>5</v>
      </c>
      <c r="F87" s="1" t="s">
        <v>21</v>
      </c>
      <c r="G87" s="1" t="s">
        <v>41</v>
      </c>
      <c r="H87" s="1" t="s">
        <v>24</v>
      </c>
      <c r="I87" s="1" t="s">
        <v>24</v>
      </c>
      <c r="J87" s="1" t="s">
        <v>24</v>
      </c>
      <c r="K87" s="1" t="s">
        <v>24</v>
      </c>
      <c r="L87" s="1" t="s">
        <v>24</v>
      </c>
      <c r="M87" s="1" t="s">
        <v>24</v>
      </c>
      <c r="N87" s="1" t="s">
        <v>80</v>
      </c>
      <c r="O87">
        <v>4</v>
      </c>
      <c r="P87">
        <v>2884</v>
      </c>
      <c r="Q87" s="1" t="s">
        <v>26</v>
      </c>
      <c r="R87">
        <v>12</v>
      </c>
      <c r="S87" s="1" t="s">
        <v>60</v>
      </c>
      <c r="T87" s="1" t="s">
        <v>28</v>
      </c>
    </row>
    <row r="88" spans="1:20" x14ac:dyDescent="0.25">
      <c r="A88" s="1" t="s">
        <v>20</v>
      </c>
      <c r="B88">
        <v>50</v>
      </c>
      <c r="C88">
        <v>39</v>
      </c>
      <c r="D88">
        <v>48</v>
      </c>
      <c r="E88">
        <v>2</v>
      </c>
      <c r="F88" s="1" t="s">
        <v>21</v>
      </c>
      <c r="G88" s="1" t="s">
        <v>32</v>
      </c>
      <c r="H88" s="1" t="s">
        <v>24</v>
      </c>
      <c r="I88" s="1" t="s">
        <v>24</v>
      </c>
      <c r="J88" s="1" t="s">
        <v>23</v>
      </c>
      <c r="K88" s="1" t="s">
        <v>24</v>
      </c>
      <c r="L88" s="1" t="s">
        <v>24</v>
      </c>
      <c r="M88" s="1" t="s">
        <v>24</v>
      </c>
      <c r="N88" s="1" t="s">
        <v>108</v>
      </c>
      <c r="O88">
        <v>35</v>
      </c>
      <c r="P88">
        <v>1228</v>
      </c>
      <c r="Q88" s="1" t="s">
        <v>26</v>
      </c>
      <c r="R88">
        <v>10</v>
      </c>
      <c r="S88" s="1" t="s">
        <v>27</v>
      </c>
      <c r="T88" s="1" t="s">
        <v>28</v>
      </c>
    </row>
    <row r="89" spans="1:20" x14ac:dyDescent="0.25">
      <c r="A89" s="1" t="s">
        <v>121</v>
      </c>
      <c r="B89">
        <v>77</v>
      </c>
      <c r="C89">
        <v>18</v>
      </c>
      <c r="D89">
        <v>48</v>
      </c>
      <c r="E89">
        <v>4</v>
      </c>
      <c r="F89" s="1" t="s">
        <v>46</v>
      </c>
      <c r="G89" s="1" t="s">
        <v>32</v>
      </c>
      <c r="H89" s="1" t="s">
        <v>24</v>
      </c>
      <c r="I89" s="1" t="s">
        <v>24</v>
      </c>
      <c r="J89" s="1" t="s">
        <v>23</v>
      </c>
      <c r="K89" s="1" t="s">
        <v>24</v>
      </c>
      <c r="L89" s="1" t="s">
        <v>24</v>
      </c>
      <c r="M89" s="1" t="s">
        <v>24</v>
      </c>
      <c r="N89" s="1" t="s">
        <v>120</v>
      </c>
      <c r="O89">
        <v>5</v>
      </c>
      <c r="P89">
        <v>3933</v>
      </c>
      <c r="Q89" s="1" t="s">
        <v>44</v>
      </c>
      <c r="R89">
        <v>10</v>
      </c>
      <c r="S89" s="1" t="s">
        <v>50</v>
      </c>
      <c r="T89" s="1" t="s">
        <v>34</v>
      </c>
    </row>
    <row r="90" spans="1:20" x14ac:dyDescent="0.25">
      <c r="A90" s="1" t="s">
        <v>20</v>
      </c>
      <c r="B90">
        <v>75</v>
      </c>
      <c r="C90">
        <v>37</v>
      </c>
      <c r="D90">
        <v>48</v>
      </c>
      <c r="E90">
        <v>5</v>
      </c>
      <c r="F90" s="1" t="s">
        <v>46</v>
      </c>
      <c r="G90" s="1" t="s">
        <v>41</v>
      </c>
      <c r="H90" s="1" t="s">
        <v>24</v>
      </c>
      <c r="I90" s="1" t="s">
        <v>24</v>
      </c>
      <c r="J90" s="1" t="s">
        <v>23</v>
      </c>
      <c r="K90" s="1" t="s">
        <v>23</v>
      </c>
      <c r="L90" s="1" t="s">
        <v>24</v>
      </c>
      <c r="M90" s="1" t="s">
        <v>24</v>
      </c>
      <c r="N90" s="1" t="s">
        <v>109</v>
      </c>
      <c r="O90">
        <v>35</v>
      </c>
      <c r="P90">
        <v>732</v>
      </c>
      <c r="Q90" s="1" t="s">
        <v>26</v>
      </c>
      <c r="R90">
        <v>6</v>
      </c>
      <c r="S90" s="1" t="s">
        <v>50</v>
      </c>
      <c r="T90" s="1" t="s">
        <v>34</v>
      </c>
    </row>
    <row r="91" spans="1:20" x14ac:dyDescent="0.25">
      <c r="A91" s="1" t="s">
        <v>20</v>
      </c>
      <c r="B91">
        <v>125</v>
      </c>
      <c r="C91">
        <v>35</v>
      </c>
      <c r="D91">
        <v>48</v>
      </c>
      <c r="E91">
        <v>5</v>
      </c>
      <c r="F91" s="1" t="s">
        <v>31</v>
      </c>
      <c r="G91" s="1" t="s">
        <v>29</v>
      </c>
      <c r="H91" s="1" t="s">
        <v>24</v>
      </c>
      <c r="I91" s="1" t="s">
        <v>24</v>
      </c>
      <c r="J91" s="1" t="s">
        <v>24</v>
      </c>
      <c r="K91" s="1" t="s">
        <v>24</v>
      </c>
      <c r="L91" s="1" t="s">
        <v>24</v>
      </c>
      <c r="M91" s="1" t="s">
        <v>24</v>
      </c>
      <c r="N91" s="1" t="s">
        <v>100</v>
      </c>
      <c r="O91">
        <v>5</v>
      </c>
      <c r="P91">
        <v>2700</v>
      </c>
      <c r="Q91" s="1" t="s">
        <v>26</v>
      </c>
      <c r="R91">
        <v>4</v>
      </c>
      <c r="S91" s="1" t="s">
        <v>42</v>
      </c>
      <c r="T91" s="1" t="s">
        <v>53</v>
      </c>
    </row>
    <row r="92" spans="1:20" x14ac:dyDescent="0.25">
      <c r="A92" s="1" t="s">
        <v>20</v>
      </c>
      <c r="B92">
        <v>38</v>
      </c>
      <c r="C92">
        <v>22</v>
      </c>
      <c r="D92">
        <v>47</v>
      </c>
      <c r="E92">
        <v>4</v>
      </c>
      <c r="F92" s="1" t="s">
        <v>31</v>
      </c>
      <c r="G92" s="1" t="s">
        <v>29</v>
      </c>
      <c r="H92" s="1" t="s">
        <v>24</v>
      </c>
      <c r="I92" s="1" t="s">
        <v>24</v>
      </c>
      <c r="J92" s="1" t="s">
        <v>23</v>
      </c>
      <c r="K92" s="1" t="s">
        <v>24</v>
      </c>
      <c r="L92" s="1" t="s">
        <v>24</v>
      </c>
      <c r="M92" s="1" t="s">
        <v>24</v>
      </c>
      <c r="N92" s="1" t="s">
        <v>123</v>
      </c>
      <c r="O92">
        <v>4</v>
      </c>
      <c r="P92">
        <v>826</v>
      </c>
      <c r="Q92" s="1" t="s">
        <v>26</v>
      </c>
      <c r="R92">
        <v>4</v>
      </c>
      <c r="S92" s="1" t="s">
        <v>42</v>
      </c>
      <c r="T92" s="1" t="s">
        <v>58</v>
      </c>
    </row>
    <row r="93" spans="1:20" x14ac:dyDescent="0.25">
      <c r="A93" s="1" t="s">
        <v>20</v>
      </c>
      <c r="B93">
        <v>182</v>
      </c>
      <c r="C93">
        <v>24</v>
      </c>
      <c r="D93">
        <v>47</v>
      </c>
      <c r="E93">
        <v>4</v>
      </c>
      <c r="F93" s="1" t="s">
        <v>55</v>
      </c>
      <c r="G93" s="1" t="s">
        <v>32</v>
      </c>
      <c r="H93" s="1" t="s">
        <v>24</v>
      </c>
      <c r="I93" s="1" t="s">
        <v>24</v>
      </c>
      <c r="J93" s="1" t="s">
        <v>24</v>
      </c>
      <c r="K93" s="1" t="s">
        <v>23</v>
      </c>
      <c r="L93" s="1" t="s">
        <v>23</v>
      </c>
      <c r="M93" s="1" t="s">
        <v>24</v>
      </c>
      <c r="N93" s="1" t="s">
        <v>117</v>
      </c>
      <c r="O93">
        <v>35</v>
      </c>
      <c r="P93">
        <v>787</v>
      </c>
      <c r="Q93" s="1" t="s">
        <v>26</v>
      </c>
      <c r="R93">
        <v>2</v>
      </c>
      <c r="S93" s="1" t="s">
        <v>59</v>
      </c>
      <c r="T93" s="1" t="s">
        <v>53</v>
      </c>
    </row>
    <row r="94" spans="1:20" x14ac:dyDescent="0.25">
      <c r="A94" s="1" t="s">
        <v>20</v>
      </c>
      <c r="B94">
        <v>95</v>
      </c>
      <c r="C94">
        <v>34</v>
      </c>
      <c r="D94">
        <v>46</v>
      </c>
      <c r="E94">
        <v>5</v>
      </c>
      <c r="F94" s="1" t="s">
        <v>46</v>
      </c>
      <c r="G94" s="1" t="s">
        <v>29</v>
      </c>
      <c r="H94" s="1" t="s">
        <v>24</v>
      </c>
      <c r="I94" s="1" t="s">
        <v>24</v>
      </c>
      <c r="J94" s="1" t="s">
        <v>23</v>
      </c>
      <c r="K94" s="1" t="s">
        <v>24</v>
      </c>
      <c r="L94" s="1" t="s">
        <v>24</v>
      </c>
      <c r="M94" s="1" t="s">
        <v>24</v>
      </c>
      <c r="N94" s="1" t="s">
        <v>119</v>
      </c>
      <c r="O94">
        <v>5</v>
      </c>
      <c r="P94">
        <v>4027</v>
      </c>
      <c r="Q94" s="1" t="s">
        <v>26</v>
      </c>
      <c r="R94">
        <v>6</v>
      </c>
      <c r="S94" s="1" t="s">
        <v>47</v>
      </c>
      <c r="T94" s="1" t="s">
        <v>53</v>
      </c>
    </row>
    <row r="95" spans="1:20" x14ac:dyDescent="0.25">
      <c r="A95" s="1" t="s">
        <v>94</v>
      </c>
      <c r="B95">
        <v>86</v>
      </c>
      <c r="C95">
        <v>12</v>
      </c>
      <c r="D95">
        <v>46</v>
      </c>
      <c r="E95">
        <v>4</v>
      </c>
      <c r="F95" s="1" t="s">
        <v>55</v>
      </c>
      <c r="G95" s="1" t="s">
        <v>41</v>
      </c>
      <c r="H95" s="1" t="s">
        <v>24</v>
      </c>
      <c r="I95" s="1" t="s">
        <v>24</v>
      </c>
      <c r="J95" s="1" t="s">
        <v>23</v>
      </c>
      <c r="K95" s="1" t="s">
        <v>23</v>
      </c>
      <c r="L95" s="1" t="s">
        <v>24</v>
      </c>
      <c r="M95" s="1" t="s">
        <v>24</v>
      </c>
      <c r="N95" s="1" t="s">
        <v>109</v>
      </c>
      <c r="O95">
        <v>35</v>
      </c>
      <c r="P95">
        <v>732</v>
      </c>
      <c r="Q95" s="1" t="s">
        <v>36</v>
      </c>
      <c r="R95">
        <v>5</v>
      </c>
      <c r="S95" s="1" t="s">
        <v>59</v>
      </c>
      <c r="T95" s="1" t="s">
        <v>53</v>
      </c>
    </row>
    <row r="96" spans="1:20" x14ac:dyDescent="0.25">
      <c r="A96" s="1" t="s">
        <v>37</v>
      </c>
      <c r="B96">
        <v>101</v>
      </c>
      <c r="C96">
        <v>35</v>
      </c>
      <c r="D96">
        <v>46</v>
      </c>
      <c r="E96">
        <v>5</v>
      </c>
      <c r="F96" s="1" t="s">
        <v>21</v>
      </c>
      <c r="G96" s="1" t="s">
        <v>22</v>
      </c>
      <c r="H96" s="1" t="s">
        <v>24</v>
      </c>
      <c r="I96" s="1" t="s">
        <v>24</v>
      </c>
      <c r="J96" s="1" t="s">
        <v>24</v>
      </c>
      <c r="K96" s="1" t="s">
        <v>23</v>
      </c>
      <c r="L96" s="1" t="s">
        <v>23</v>
      </c>
      <c r="M96" s="1" t="s">
        <v>24</v>
      </c>
      <c r="N96" s="1" t="s">
        <v>117</v>
      </c>
      <c r="O96">
        <v>35</v>
      </c>
      <c r="P96">
        <v>787</v>
      </c>
      <c r="Q96" s="1" t="s">
        <v>26</v>
      </c>
      <c r="R96">
        <v>5</v>
      </c>
      <c r="S96" s="1" t="s">
        <v>60</v>
      </c>
      <c r="T96" s="1" t="s">
        <v>34</v>
      </c>
    </row>
    <row r="97" spans="1:20" x14ac:dyDescent="0.25">
      <c r="A97" s="1" t="s">
        <v>35</v>
      </c>
      <c r="B97">
        <v>45</v>
      </c>
      <c r="C97">
        <v>12</v>
      </c>
      <c r="D97">
        <v>46</v>
      </c>
      <c r="E97">
        <v>4</v>
      </c>
      <c r="F97" s="1" t="s">
        <v>31</v>
      </c>
      <c r="G97" s="1" t="s">
        <v>41</v>
      </c>
      <c r="H97" s="1" t="s">
        <v>23</v>
      </c>
      <c r="I97" s="1" t="s">
        <v>24</v>
      </c>
      <c r="J97" s="1" t="s">
        <v>23</v>
      </c>
      <c r="K97" s="1" t="s">
        <v>23</v>
      </c>
      <c r="L97" s="1" t="s">
        <v>24</v>
      </c>
      <c r="M97" s="1" t="s">
        <v>24</v>
      </c>
      <c r="N97" s="1" t="s">
        <v>25</v>
      </c>
      <c r="O97">
        <v>3</v>
      </c>
      <c r="P97">
        <v>3773</v>
      </c>
      <c r="Q97" s="1" t="s">
        <v>36</v>
      </c>
      <c r="R97">
        <v>4</v>
      </c>
      <c r="S97" s="1" t="s">
        <v>42</v>
      </c>
      <c r="T97" s="1" t="s">
        <v>30</v>
      </c>
    </row>
    <row r="98" spans="1:20" x14ac:dyDescent="0.25">
      <c r="A98" s="1" t="s">
        <v>82</v>
      </c>
      <c r="B98">
        <v>119</v>
      </c>
      <c r="C98">
        <v>20</v>
      </c>
      <c r="D98">
        <v>46</v>
      </c>
      <c r="E98">
        <v>5</v>
      </c>
      <c r="F98" s="1" t="s">
        <v>46</v>
      </c>
      <c r="G98" s="1" t="s">
        <v>22</v>
      </c>
      <c r="H98" s="1" t="s">
        <v>24</v>
      </c>
      <c r="I98" s="1" t="s">
        <v>24</v>
      </c>
      <c r="J98" s="1" t="s">
        <v>24</v>
      </c>
      <c r="K98" s="1" t="s">
        <v>24</v>
      </c>
      <c r="L98" s="1" t="s">
        <v>24</v>
      </c>
      <c r="M98" s="1" t="s">
        <v>24</v>
      </c>
      <c r="N98" s="1" t="s">
        <v>114</v>
      </c>
      <c r="O98">
        <v>3</v>
      </c>
      <c r="P98">
        <v>716</v>
      </c>
      <c r="Q98" s="1" t="s">
        <v>44</v>
      </c>
      <c r="R98">
        <v>1</v>
      </c>
      <c r="S98" s="1" t="s">
        <v>47</v>
      </c>
      <c r="T98" s="1" t="s">
        <v>53</v>
      </c>
    </row>
    <row r="99" spans="1:20" x14ac:dyDescent="0.25">
      <c r="A99" s="1" t="s">
        <v>37</v>
      </c>
      <c r="B99">
        <v>7</v>
      </c>
      <c r="C99">
        <v>5</v>
      </c>
      <c r="D99">
        <v>45</v>
      </c>
      <c r="E99">
        <v>4</v>
      </c>
      <c r="F99" s="1" t="s">
        <v>31</v>
      </c>
      <c r="G99" s="1" t="s">
        <v>32</v>
      </c>
      <c r="H99" s="1" t="s">
        <v>24</v>
      </c>
      <c r="I99" s="1" t="s">
        <v>24</v>
      </c>
      <c r="J99" s="1" t="s">
        <v>23</v>
      </c>
      <c r="K99" s="1" t="s">
        <v>24</v>
      </c>
      <c r="L99" s="1" t="s">
        <v>24</v>
      </c>
      <c r="M99" s="1" t="s">
        <v>24</v>
      </c>
      <c r="N99" s="1" t="s">
        <v>108</v>
      </c>
      <c r="O99">
        <v>35</v>
      </c>
      <c r="P99">
        <v>1228</v>
      </c>
      <c r="Q99" s="1" t="s">
        <v>26</v>
      </c>
      <c r="R99">
        <v>10</v>
      </c>
      <c r="S99" s="1" t="s">
        <v>42</v>
      </c>
      <c r="T99" s="1" t="s">
        <v>58</v>
      </c>
    </row>
    <row r="100" spans="1:20" x14ac:dyDescent="0.25">
      <c r="A100" s="1" t="s">
        <v>20</v>
      </c>
      <c r="B100">
        <v>102</v>
      </c>
      <c r="C100">
        <v>17</v>
      </c>
      <c r="D100">
        <v>45</v>
      </c>
      <c r="E100">
        <v>5</v>
      </c>
      <c r="F100" s="1" t="s">
        <v>31</v>
      </c>
      <c r="G100" s="1" t="s">
        <v>29</v>
      </c>
      <c r="H100" s="1" t="s">
        <v>24</v>
      </c>
      <c r="I100" s="1" t="s">
        <v>24</v>
      </c>
      <c r="J100" s="1" t="s">
        <v>23</v>
      </c>
      <c r="K100" s="1" t="s">
        <v>24</v>
      </c>
      <c r="L100" s="1" t="s">
        <v>24</v>
      </c>
      <c r="M100" s="1" t="s">
        <v>24</v>
      </c>
      <c r="N100" s="1" t="s">
        <v>92</v>
      </c>
      <c r="O100">
        <v>5</v>
      </c>
      <c r="P100">
        <v>2959</v>
      </c>
      <c r="Q100" s="1" t="s">
        <v>26</v>
      </c>
      <c r="R100">
        <v>2</v>
      </c>
      <c r="S100" s="1" t="s">
        <v>42</v>
      </c>
      <c r="T100" s="1" t="s">
        <v>58</v>
      </c>
    </row>
    <row r="101" spans="1:20" x14ac:dyDescent="0.25">
      <c r="A101" s="1" t="s">
        <v>20</v>
      </c>
      <c r="B101">
        <v>50</v>
      </c>
      <c r="C101">
        <v>19</v>
      </c>
      <c r="D101">
        <v>45</v>
      </c>
      <c r="E101">
        <v>5</v>
      </c>
      <c r="F101" s="1" t="s">
        <v>55</v>
      </c>
      <c r="G101" s="1" t="s">
        <v>29</v>
      </c>
      <c r="H101" s="1" t="s">
        <v>24</v>
      </c>
      <c r="I101" s="1" t="s">
        <v>24</v>
      </c>
      <c r="J101" s="1" t="s">
        <v>23</v>
      </c>
      <c r="K101" s="1" t="s">
        <v>24</v>
      </c>
      <c r="L101" s="1" t="s">
        <v>24</v>
      </c>
      <c r="M101" s="1" t="s">
        <v>24</v>
      </c>
      <c r="N101" s="1" t="s">
        <v>92</v>
      </c>
      <c r="O101">
        <v>5</v>
      </c>
      <c r="P101">
        <v>2959</v>
      </c>
      <c r="Q101" s="1" t="s">
        <v>26</v>
      </c>
      <c r="R101">
        <v>0</v>
      </c>
      <c r="S101" s="1" t="s">
        <v>59</v>
      </c>
      <c r="T101" s="1" t="s">
        <v>30</v>
      </c>
    </row>
    <row r="102" spans="1:20" x14ac:dyDescent="0.25">
      <c r="A102" s="1" t="s">
        <v>48</v>
      </c>
      <c r="B102">
        <v>35</v>
      </c>
      <c r="C102">
        <v>24</v>
      </c>
      <c r="D102">
        <v>43</v>
      </c>
      <c r="E102">
        <v>5</v>
      </c>
      <c r="F102" s="1" t="s">
        <v>55</v>
      </c>
      <c r="G102" s="1" t="s">
        <v>41</v>
      </c>
      <c r="H102" s="1" t="s">
        <v>24</v>
      </c>
      <c r="I102" s="1" t="s">
        <v>24</v>
      </c>
      <c r="J102" s="1" t="s">
        <v>23</v>
      </c>
      <c r="K102" s="1" t="s">
        <v>24</v>
      </c>
      <c r="L102" s="1" t="s">
        <v>24</v>
      </c>
      <c r="M102" s="1" t="s">
        <v>24</v>
      </c>
      <c r="N102" s="1" t="s">
        <v>90</v>
      </c>
      <c r="O102">
        <v>5</v>
      </c>
      <c r="P102">
        <v>3348</v>
      </c>
      <c r="Q102" s="1" t="s">
        <v>49</v>
      </c>
      <c r="R102">
        <v>4</v>
      </c>
      <c r="S102" s="1" t="s">
        <v>59</v>
      </c>
      <c r="T102" s="1" t="s">
        <v>53</v>
      </c>
    </row>
    <row r="103" spans="1:20" x14ac:dyDescent="0.25">
      <c r="A103" s="1" t="s">
        <v>35</v>
      </c>
      <c r="B103">
        <v>26</v>
      </c>
      <c r="C103">
        <v>18</v>
      </c>
      <c r="D103">
        <v>43</v>
      </c>
      <c r="E103">
        <v>5</v>
      </c>
      <c r="F103" s="1" t="s">
        <v>55</v>
      </c>
      <c r="G103" s="1" t="s">
        <v>22</v>
      </c>
      <c r="H103" s="1" t="s">
        <v>24</v>
      </c>
      <c r="I103" s="1" t="s">
        <v>24</v>
      </c>
      <c r="J103" s="1" t="s">
        <v>23</v>
      </c>
      <c r="K103" s="1" t="s">
        <v>24</v>
      </c>
      <c r="L103" s="1" t="s">
        <v>24</v>
      </c>
      <c r="M103" s="1" t="s">
        <v>24</v>
      </c>
      <c r="N103" s="1" t="s">
        <v>120</v>
      </c>
      <c r="O103">
        <v>5</v>
      </c>
      <c r="P103">
        <v>3933</v>
      </c>
      <c r="Q103" s="1" t="s">
        <v>36</v>
      </c>
      <c r="R103">
        <v>4</v>
      </c>
      <c r="S103" s="1" t="s">
        <v>59</v>
      </c>
      <c r="T103" s="1" t="s">
        <v>58</v>
      </c>
    </row>
    <row r="104" spans="1:20" x14ac:dyDescent="0.25">
      <c r="A104" s="1" t="s">
        <v>20</v>
      </c>
      <c r="B104">
        <v>116</v>
      </c>
      <c r="C104">
        <v>12</v>
      </c>
      <c r="D104">
        <v>43</v>
      </c>
      <c r="E104">
        <v>4</v>
      </c>
      <c r="F104" s="1" t="s">
        <v>21</v>
      </c>
      <c r="G104" s="1" t="s">
        <v>22</v>
      </c>
      <c r="H104" s="1" t="s">
        <v>24</v>
      </c>
      <c r="I104" s="1" t="s">
        <v>24</v>
      </c>
      <c r="J104" s="1" t="s">
        <v>23</v>
      </c>
      <c r="K104" s="1" t="s">
        <v>24</v>
      </c>
      <c r="L104" s="1" t="s">
        <v>24</v>
      </c>
      <c r="M104" s="1" t="s">
        <v>24</v>
      </c>
      <c r="N104" s="1" t="s">
        <v>122</v>
      </c>
      <c r="O104">
        <v>4</v>
      </c>
      <c r="P104">
        <v>2916</v>
      </c>
      <c r="Q104" s="1" t="s">
        <v>26</v>
      </c>
      <c r="R104">
        <v>4</v>
      </c>
      <c r="S104" s="1" t="s">
        <v>33</v>
      </c>
      <c r="T104" s="1" t="s">
        <v>40</v>
      </c>
    </row>
    <row r="105" spans="1:20" x14ac:dyDescent="0.25">
      <c r="A105" s="1" t="s">
        <v>35</v>
      </c>
      <c r="B105">
        <v>60</v>
      </c>
      <c r="C105">
        <v>7</v>
      </c>
      <c r="D105">
        <v>42</v>
      </c>
      <c r="E105">
        <v>5</v>
      </c>
      <c r="F105" s="1" t="s">
        <v>31</v>
      </c>
      <c r="G105" s="1" t="s">
        <v>41</v>
      </c>
      <c r="H105" s="1" t="s">
        <v>24</v>
      </c>
      <c r="I105" s="1" t="s">
        <v>24</v>
      </c>
      <c r="J105" s="1" t="s">
        <v>23</v>
      </c>
      <c r="K105" s="1" t="s">
        <v>24</v>
      </c>
      <c r="L105" s="1" t="s">
        <v>24</v>
      </c>
      <c r="M105" s="1" t="s">
        <v>24</v>
      </c>
      <c r="N105" s="1" t="s">
        <v>108</v>
      </c>
      <c r="O105">
        <v>35</v>
      </c>
      <c r="P105">
        <v>1228</v>
      </c>
      <c r="Q105" s="1" t="s">
        <v>36</v>
      </c>
      <c r="R105">
        <v>8</v>
      </c>
      <c r="S105" s="1" t="s">
        <v>39</v>
      </c>
      <c r="T105" s="1" t="s">
        <v>40</v>
      </c>
    </row>
    <row r="106" spans="1:20" x14ac:dyDescent="0.25">
      <c r="A106" s="1" t="s">
        <v>37</v>
      </c>
      <c r="B106">
        <v>46</v>
      </c>
      <c r="C106">
        <v>39</v>
      </c>
      <c r="D106">
        <v>42</v>
      </c>
      <c r="E106">
        <v>4</v>
      </c>
      <c r="F106" s="1" t="s">
        <v>31</v>
      </c>
      <c r="G106" s="1" t="s">
        <v>29</v>
      </c>
      <c r="H106" s="1" t="s">
        <v>24</v>
      </c>
      <c r="I106" s="1" t="s">
        <v>24</v>
      </c>
      <c r="J106" s="1" t="s">
        <v>23</v>
      </c>
      <c r="K106" s="1" t="s">
        <v>23</v>
      </c>
      <c r="L106" s="1" t="s">
        <v>24</v>
      </c>
      <c r="M106" s="1" t="s">
        <v>24</v>
      </c>
      <c r="N106" s="1" t="s">
        <v>109</v>
      </c>
      <c r="O106">
        <v>35</v>
      </c>
      <c r="P106">
        <v>732</v>
      </c>
      <c r="Q106" s="1" t="s">
        <v>26</v>
      </c>
      <c r="R106">
        <v>6</v>
      </c>
      <c r="S106" s="1" t="s">
        <v>45</v>
      </c>
      <c r="T106" s="1" t="s">
        <v>51</v>
      </c>
    </row>
    <row r="107" spans="1:20" x14ac:dyDescent="0.25">
      <c r="A107" s="1" t="s">
        <v>35</v>
      </c>
      <c r="B107">
        <v>26</v>
      </c>
      <c r="C107">
        <v>22</v>
      </c>
      <c r="D107">
        <v>42</v>
      </c>
      <c r="E107">
        <v>5</v>
      </c>
      <c r="F107" s="1" t="s">
        <v>55</v>
      </c>
      <c r="G107" s="1" t="s">
        <v>41</v>
      </c>
      <c r="H107" s="1" t="s">
        <v>24</v>
      </c>
      <c r="I107" s="1" t="s">
        <v>24</v>
      </c>
      <c r="J107" s="1" t="s">
        <v>23</v>
      </c>
      <c r="K107" s="1" t="s">
        <v>24</v>
      </c>
      <c r="L107" s="1" t="s">
        <v>24</v>
      </c>
      <c r="M107" s="1" t="s">
        <v>24</v>
      </c>
      <c r="N107" s="1" t="s">
        <v>120</v>
      </c>
      <c r="O107">
        <v>5</v>
      </c>
      <c r="P107">
        <v>3933</v>
      </c>
      <c r="Q107" s="1" t="s">
        <v>36</v>
      </c>
      <c r="R107">
        <v>5</v>
      </c>
      <c r="S107" s="1" t="s">
        <v>57</v>
      </c>
      <c r="T107" s="1" t="s">
        <v>53</v>
      </c>
    </row>
    <row r="108" spans="1:20" x14ac:dyDescent="0.25">
      <c r="A108" s="1" t="s">
        <v>20</v>
      </c>
      <c r="B108">
        <v>169</v>
      </c>
      <c r="C108">
        <v>25</v>
      </c>
      <c r="D108">
        <v>41</v>
      </c>
      <c r="E108">
        <v>5</v>
      </c>
      <c r="F108" s="1" t="s">
        <v>21</v>
      </c>
      <c r="G108" s="1" t="s">
        <v>22</v>
      </c>
      <c r="H108" s="1" t="s">
        <v>24</v>
      </c>
      <c r="I108" s="1" t="s">
        <v>24</v>
      </c>
      <c r="J108" s="1" t="s">
        <v>23</v>
      </c>
      <c r="K108" s="1" t="s">
        <v>24</v>
      </c>
      <c r="L108" s="1" t="s">
        <v>24</v>
      </c>
      <c r="M108" s="1" t="s">
        <v>24</v>
      </c>
      <c r="N108" s="1" t="s">
        <v>106</v>
      </c>
      <c r="O108">
        <v>5</v>
      </c>
      <c r="P108">
        <v>2034</v>
      </c>
      <c r="Q108" s="1" t="s">
        <v>26</v>
      </c>
      <c r="R108">
        <v>8</v>
      </c>
      <c r="S108" s="1" t="s">
        <v>60</v>
      </c>
      <c r="T108" s="1" t="s">
        <v>40</v>
      </c>
    </row>
    <row r="109" spans="1:20" x14ac:dyDescent="0.25">
      <c r="A109" s="1" t="s">
        <v>37</v>
      </c>
      <c r="B109">
        <v>112</v>
      </c>
      <c r="C109">
        <v>34</v>
      </c>
      <c r="D109">
        <v>41</v>
      </c>
      <c r="E109">
        <v>5</v>
      </c>
      <c r="F109" s="1" t="s">
        <v>55</v>
      </c>
      <c r="G109" s="1" t="s">
        <v>32</v>
      </c>
      <c r="H109" s="1" t="s">
        <v>24</v>
      </c>
      <c r="I109" s="1" t="s">
        <v>24</v>
      </c>
      <c r="J109" s="1" t="s">
        <v>23</v>
      </c>
      <c r="K109" s="1" t="s">
        <v>24</v>
      </c>
      <c r="L109" s="1" t="s">
        <v>24</v>
      </c>
      <c r="M109" s="1" t="s">
        <v>24</v>
      </c>
      <c r="N109" s="1" t="s">
        <v>108</v>
      </c>
      <c r="O109">
        <v>35</v>
      </c>
      <c r="P109">
        <v>1228</v>
      </c>
      <c r="Q109" s="1" t="s">
        <v>26</v>
      </c>
      <c r="R109">
        <v>7</v>
      </c>
      <c r="S109" s="1" t="s">
        <v>56</v>
      </c>
      <c r="T109" s="1" t="s">
        <v>53</v>
      </c>
    </row>
    <row r="110" spans="1:20" x14ac:dyDescent="0.25">
      <c r="A110" s="1" t="s">
        <v>43</v>
      </c>
      <c r="B110">
        <v>69</v>
      </c>
      <c r="C110">
        <v>58</v>
      </c>
      <c r="D110">
        <v>41</v>
      </c>
      <c r="E110">
        <v>5</v>
      </c>
      <c r="F110" s="1" t="s">
        <v>21</v>
      </c>
      <c r="G110" s="1" t="s">
        <v>29</v>
      </c>
      <c r="H110" s="1" t="s">
        <v>24</v>
      </c>
      <c r="I110" s="1" t="s">
        <v>24</v>
      </c>
      <c r="J110" s="1" t="s">
        <v>23</v>
      </c>
      <c r="K110" s="1" t="s">
        <v>24</v>
      </c>
      <c r="L110" s="1" t="s">
        <v>24</v>
      </c>
      <c r="M110" s="1" t="s">
        <v>24</v>
      </c>
      <c r="N110" s="1" t="s">
        <v>102</v>
      </c>
      <c r="O110">
        <v>5</v>
      </c>
      <c r="P110">
        <v>1282</v>
      </c>
      <c r="Q110" s="1" t="s">
        <v>44</v>
      </c>
      <c r="R110">
        <v>5</v>
      </c>
      <c r="S110" s="1" t="s">
        <v>27</v>
      </c>
      <c r="T110" s="1" t="s">
        <v>34</v>
      </c>
    </row>
    <row r="111" spans="1:20" x14ac:dyDescent="0.25">
      <c r="A111" s="1" t="s">
        <v>35</v>
      </c>
      <c r="B111">
        <v>15</v>
      </c>
      <c r="C111">
        <v>6</v>
      </c>
      <c r="D111">
        <v>39</v>
      </c>
      <c r="E111">
        <v>1</v>
      </c>
      <c r="F111" s="1" t="s">
        <v>31</v>
      </c>
      <c r="G111" s="1" t="s">
        <v>41</v>
      </c>
      <c r="H111" s="1" t="s">
        <v>24</v>
      </c>
      <c r="I111" s="1" t="s">
        <v>24</v>
      </c>
      <c r="J111" s="1" t="s">
        <v>23</v>
      </c>
      <c r="K111" s="1" t="s">
        <v>24</v>
      </c>
      <c r="L111" s="1" t="s">
        <v>24</v>
      </c>
      <c r="M111" s="1" t="s">
        <v>24</v>
      </c>
      <c r="N111" s="1" t="s">
        <v>90</v>
      </c>
      <c r="O111">
        <v>5</v>
      </c>
      <c r="P111">
        <v>3348</v>
      </c>
      <c r="Q111" s="1" t="s">
        <v>36</v>
      </c>
      <c r="R111">
        <v>4</v>
      </c>
      <c r="S111" s="1" t="s">
        <v>45</v>
      </c>
      <c r="T111" s="1" t="s">
        <v>53</v>
      </c>
    </row>
    <row r="112" spans="1:20" x14ac:dyDescent="0.25">
      <c r="A112" s="1" t="s">
        <v>37</v>
      </c>
      <c r="B112">
        <v>17</v>
      </c>
      <c r="C112">
        <v>10</v>
      </c>
      <c r="D112">
        <v>39</v>
      </c>
      <c r="E112">
        <v>5</v>
      </c>
      <c r="F112" s="1" t="s">
        <v>55</v>
      </c>
      <c r="G112" s="1" t="s">
        <v>22</v>
      </c>
      <c r="H112" s="1" t="s">
        <v>24</v>
      </c>
      <c r="I112" s="1" t="s">
        <v>24</v>
      </c>
      <c r="J112" s="1" t="s">
        <v>23</v>
      </c>
      <c r="K112" s="1" t="s">
        <v>24</v>
      </c>
      <c r="L112" s="1" t="s">
        <v>24</v>
      </c>
      <c r="M112" s="1" t="s">
        <v>24</v>
      </c>
      <c r="N112" s="1" t="s">
        <v>120</v>
      </c>
      <c r="O112">
        <v>5</v>
      </c>
      <c r="P112">
        <v>3933</v>
      </c>
      <c r="Q112" s="1" t="s">
        <v>26</v>
      </c>
      <c r="R112">
        <v>3</v>
      </c>
      <c r="S112" s="1" t="s">
        <v>59</v>
      </c>
      <c r="T112" s="1" t="s">
        <v>34</v>
      </c>
    </row>
    <row r="113" spans="1:20" x14ac:dyDescent="0.25">
      <c r="A113" s="1" t="s">
        <v>37</v>
      </c>
      <c r="B113">
        <v>73</v>
      </c>
      <c r="C113">
        <v>4</v>
      </c>
      <c r="D113">
        <v>39</v>
      </c>
      <c r="E113">
        <v>3</v>
      </c>
      <c r="F113" s="1" t="s">
        <v>31</v>
      </c>
      <c r="G113" s="1" t="s">
        <v>22</v>
      </c>
      <c r="H113" s="1" t="s">
        <v>24</v>
      </c>
      <c r="I113" s="1" t="s">
        <v>24</v>
      </c>
      <c r="J113" s="1" t="s">
        <v>23</v>
      </c>
      <c r="K113" s="1" t="s">
        <v>24</v>
      </c>
      <c r="L113" s="1" t="s">
        <v>24</v>
      </c>
      <c r="M113" s="1" t="s">
        <v>24</v>
      </c>
      <c r="N113" s="1" t="s">
        <v>122</v>
      </c>
      <c r="O113">
        <v>4</v>
      </c>
      <c r="P113">
        <v>2916</v>
      </c>
      <c r="Q113" s="1" t="s">
        <v>26</v>
      </c>
      <c r="R113">
        <v>3</v>
      </c>
      <c r="S113" s="1" t="s">
        <v>42</v>
      </c>
      <c r="T113" s="1" t="s">
        <v>58</v>
      </c>
    </row>
    <row r="114" spans="1:20" x14ac:dyDescent="0.25">
      <c r="A114" s="1" t="s">
        <v>99</v>
      </c>
      <c r="B114">
        <v>37</v>
      </c>
      <c r="C114">
        <v>31</v>
      </c>
      <c r="D114">
        <v>38</v>
      </c>
      <c r="E114">
        <v>5</v>
      </c>
      <c r="F114" s="1" t="s">
        <v>31</v>
      </c>
      <c r="G114" s="1" t="s">
        <v>32</v>
      </c>
      <c r="H114" s="1" t="s">
        <v>24</v>
      </c>
      <c r="I114" s="1" t="s">
        <v>24</v>
      </c>
      <c r="J114" s="1" t="s">
        <v>23</v>
      </c>
      <c r="K114" s="1" t="s">
        <v>24</v>
      </c>
      <c r="L114" s="1" t="s">
        <v>24</v>
      </c>
      <c r="M114" s="1" t="s">
        <v>24</v>
      </c>
      <c r="N114" s="1" t="s">
        <v>108</v>
      </c>
      <c r="O114">
        <v>35</v>
      </c>
      <c r="P114">
        <v>1228</v>
      </c>
      <c r="Q114" s="1" t="s">
        <v>83</v>
      </c>
      <c r="R114">
        <v>9</v>
      </c>
      <c r="S114" s="1" t="s">
        <v>45</v>
      </c>
      <c r="T114" s="1" t="s">
        <v>30</v>
      </c>
    </row>
    <row r="115" spans="1:20" x14ac:dyDescent="0.25">
      <c r="A115" s="1" t="s">
        <v>37</v>
      </c>
      <c r="B115">
        <v>69</v>
      </c>
      <c r="C115">
        <v>22</v>
      </c>
      <c r="D115">
        <v>38</v>
      </c>
      <c r="E115">
        <v>5</v>
      </c>
      <c r="F115" s="1" t="s">
        <v>31</v>
      </c>
      <c r="G115" s="1" t="s">
        <v>32</v>
      </c>
      <c r="H115" s="1" t="s">
        <v>24</v>
      </c>
      <c r="I115" s="1" t="s">
        <v>24</v>
      </c>
      <c r="J115" s="1" t="s">
        <v>24</v>
      </c>
      <c r="K115" s="1" t="s">
        <v>23</v>
      </c>
      <c r="L115" s="1" t="s">
        <v>23</v>
      </c>
      <c r="M115" s="1" t="s">
        <v>24</v>
      </c>
      <c r="N115" s="1" t="s">
        <v>117</v>
      </c>
      <c r="O115">
        <v>35</v>
      </c>
      <c r="P115">
        <v>787</v>
      </c>
      <c r="Q115" s="1" t="s">
        <v>26</v>
      </c>
      <c r="R115">
        <v>6</v>
      </c>
      <c r="S115" s="1" t="s">
        <v>42</v>
      </c>
      <c r="T115" s="1" t="s">
        <v>28</v>
      </c>
    </row>
    <row r="116" spans="1:20" x14ac:dyDescent="0.25">
      <c r="A116" s="1" t="s">
        <v>48</v>
      </c>
      <c r="B116">
        <v>30</v>
      </c>
      <c r="C116">
        <v>12</v>
      </c>
      <c r="D116">
        <v>38</v>
      </c>
      <c r="E116">
        <v>5</v>
      </c>
      <c r="F116" s="1" t="s">
        <v>46</v>
      </c>
      <c r="G116" s="1" t="s">
        <v>41</v>
      </c>
      <c r="H116" s="1" t="s">
        <v>24</v>
      </c>
      <c r="I116" s="1" t="s">
        <v>24</v>
      </c>
      <c r="J116" s="1" t="s">
        <v>23</v>
      </c>
      <c r="K116" s="1" t="s">
        <v>24</v>
      </c>
      <c r="L116" s="1" t="s">
        <v>24</v>
      </c>
      <c r="M116" s="1" t="s">
        <v>24</v>
      </c>
      <c r="N116" s="1" t="s">
        <v>122</v>
      </c>
      <c r="O116">
        <v>4</v>
      </c>
      <c r="P116">
        <v>2916</v>
      </c>
      <c r="Q116" s="1" t="s">
        <v>49</v>
      </c>
      <c r="R116">
        <v>4</v>
      </c>
      <c r="S116" s="1" t="s">
        <v>47</v>
      </c>
      <c r="T116" s="1" t="s">
        <v>34</v>
      </c>
    </row>
    <row r="117" spans="1:20" x14ac:dyDescent="0.25">
      <c r="A117" s="1" t="s">
        <v>78</v>
      </c>
      <c r="B117">
        <v>97</v>
      </c>
      <c r="C117">
        <v>31</v>
      </c>
      <c r="D117">
        <v>37</v>
      </c>
      <c r="E117">
        <v>4</v>
      </c>
      <c r="F117" s="1" t="s">
        <v>46</v>
      </c>
      <c r="G117" s="1" t="s">
        <v>41</v>
      </c>
      <c r="H117" s="1" t="s">
        <v>24</v>
      </c>
      <c r="I117" s="1" t="s">
        <v>24</v>
      </c>
      <c r="J117" s="1" t="s">
        <v>24</v>
      </c>
      <c r="K117" s="1" t="s">
        <v>24</v>
      </c>
      <c r="L117" s="1" t="s">
        <v>24</v>
      </c>
      <c r="M117" s="1" t="s">
        <v>24</v>
      </c>
      <c r="N117" s="1" t="s">
        <v>80</v>
      </c>
      <c r="O117">
        <v>4</v>
      </c>
      <c r="P117">
        <v>2884</v>
      </c>
      <c r="Q117" s="1" t="s">
        <v>83</v>
      </c>
      <c r="R117">
        <v>8</v>
      </c>
      <c r="S117" s="1" t="s">
        <v>52</v>
      </c>
      <c r="T117" s="1" t="s">
        <v>34</v>
      </c>
    </row>
    <row r="118" spans="1:20" x14ac:dyDescent="0.25">
      <c r="A118" s="1" t="s">
        <v>35</v>
      </c>
      <c r="B118">
        <v>59</v>
      </c>
      <c r="C118">
        <v>56</v>
      </c>
      <c r="D118">
        <v>37</v>
      </c>
      <c r="E118">
        <v>3</v>
      </c>
      <c r="F118" s="1" t="s">
        <v>46</v>
      </c>
      <c r="G118" s="1" t="s">
        <v>32</v>
      </c>
      <c r="H118" s="1" t="s">
        <v>24</v>
      </c>
      <c r="I118" s="1" t="s">
        <v>24</v>
      </c>
      <c r="J118" s="1" t="s">
        <v>23</v>
      </c>
      <c r="K118" s="1" t="s">
        <v>24</v>
      </c>
      <c r="L118" s="1" t="s">
        <v>24</v>
      </c>
      <c r="M118" s="1" t="s">
        <v>24</v>
      </c>
      <c r="N118" s="1" t="s">
        <v>90</v>
      </c>
      <c r="O118">
        <v>5</v>
      </c>
      <c r="P118">
        <v>3348</v>
      </c>
      <c r="Q118" s="1" t="s">
        <v>36</v>
      </c>
      <c r="R118">
        <v>6</v>
      </c>
      <c r="S118" s="1" t="s">
        <v>50</v>
      </c>
      <c r="T118" s="1" t="s">
        <v>40</v>
      </c>
    </row>
    <row r="119" spans="1:20" x14ac:dyDescent="0.25">
      <c r="A119" s="1" t="s">
        <v>71</v>
      </c>
      <c r="B119">
        <v>102</v>
      </c>
      <c r="C119">
        <v>25</v>
      </c>
      <c r="D119">
        <v>37</v>
      </c>
      <c r="E119">
        <v>5</v>
      </c>
      <c r="F119" s="1" t="s">
        <v>46</v>
      </c>
      <c r="G119" s="1" t="s">
        <v>32</v>
      </c>
      <c r="H119" s="1" t="s">
        <v>24</v>
      </c>
      <c r="I119" s="1" t="s">
        <v>24</v>
      </c>
      <c r="J119" s="1" t="s">
        <v>23</v>
      </c>
      <c r="K119" s="1" t="s">
        <v>24</v>
      </c>
      <c r="L119" s="1" t="s">
        <v>24</v>
      </c>
      <c r="M119" s="1" t="s">
        <v>24</v>
      </c>
      <c r="N119" s="1" t="s">
        <v>120</v>
      </c>
      <c r="O119">
        <v>5</v>
      </c>
      <c r="P119">
        <v>3933</v>
      </c>
      <c r="Q119" s="1" t="s">
        <v>36</v>
      </c>
      <c r="R119">
        <v>6</v>
      </c>
      <c r="S119" s="1" t="s">
        <v>52</v>
      </c>
      <c r="T119" s="1" t="s">
        <v>53</v>
      </c>
    </row>
    <row r="120" spans="1:20" x14ac:dyDescent="0.25">
      <c r="A120" s="1" t="s">
        <v>20</v>
      </c>
      <c r="B120">
        <v>25</v>
      </c>
      <c r="C120">
        <v>22</v>
      </c>
      <c r="D120">
        <v>36</v>
      </c>
      <c r="E120">
        <v>1</v>
      </c>
      <c r="F120" s="1" t="s">
        <v>46</v>
      </c>
      <c r="G120" s="1" t="s">
        <v>38</v>
      </c>
      <c r="H120" s="1" t="s">
        <v>24</v>
      </c>
      <c r="I120" s="1" t="s">
        <v>24</v>
      </c>
      <c r="J120" s="1" t="s">
        <v>23</v>
      </c>
      <c r="K120" s="1" t="s">
        <v>24</v>
      </c>
      <c r="L120" s="1" t="s">
        <v>24</v>
      </c>
      <c r="M120" s="1" t="s">
        <v>24</v>
      </c>
      <c r="N120" s="1" t="s">
        <v>90</v>
      </c>
      <c r="O120">
        <v>5</v>
      </c>
      <c r="P120">
        <v>3348</v>
      </c>
      <c r="Q120" s="1" t="s">
        <v>26</v>
      </c>
      <c r="R120">
        <v>9</v>
      </c>
      <c r="S120" s="1" t="s">
        <v>47</v>
      </c>
      <c r="T120" s="1" t="s">
        <v>40</v>
      </c>
    </row>
    <row r="121" spans="1:20" x14ac:dyDescent="0.25">
      <c r="A121" s="1" t="s">
        <v>20</v>
      </c>
      <c r="B121">
        <v>42</v>
      </c>
      <c r="C121">
        <v>11</v>
      </c>
      <c r="D121">
        <v>36</v>
      </c>
      <c r="E121">
        <v>5</v>
      </c>
      <c r="F121" s="1" t="s">
        <v>21</v>
      </c>
      <c r="G121" s="1" t="s">
        <v>41</v>
      </c>
      <c r="H121" s="1" t="s">
        <v>24</v>
      </c>
      <c r="I121" s="1" t="s">
        <v>24</v>
      </c>
      <c r="J121" s="1" t="s">
        <v>23</v>
      </c>
      <c r="K121" s="1" t="s">
        <v>24</v>
      </c>
      <c r="L121" s="1" t="s">
        <v>24</v>
      </c>
      <c r="M121" s="1" t="s">
        <v>24</v>
      </c>
      <c r="N121" s="1" t="s">
        <v>108</v>
      </c>
      <c r="O121">
        <v>35</v>
      </c>
      <c r="P121">
        <v>1228</v>
      </c>
      <c r="Q121" s="1" t="s">
        <v>26</v>
      </c>
      <c r="R121">
        <v>7</v>
      </c>
      <c r="S121" s="1" t="s">
        <v>60</v>
      </c>
      <c r="T121" s="1" t="s">
        <v>58</v>
      </c>
    </row>
    <row r="122" spans="1:20" x14ac:dyDescent="0.25">
      <c r="A122" s="1" t="s">
        <v>73</v>
      </c>
      <c r="B122">
        <v>36</v>
      </c>
      <c r="C122">
        <v>19</v>
      </c>
      <c r="D122">
        <v>36</v>
      </c>
      <c r="E122">
        <v>2</v>
      </c>
      <c r="F122" s="1" t="s">
        <v>46</v>
      </c>
      <c r="G122" s="1" t="s">
        <v>38</v>
      </c>
      <c r="H122" s="1" t="s">
        <v>24</v>
      </c>
      <c r="I122" s="1" t="s">
        <v>24</v>
      </c>
      <c r="J122" s="1" t="s">
        <v>23</v>
      </c>
      <c r="K122" s="1" t="s">
        <v>24</v>
      </c>
      <c r="L122" s="1" t="s">
        <v>24</v>
      </c>
      <c r="M122" s="1" t="s">
        <v>23</v>
      </c>
      <c r="N122" s="1" t="s">
        <v>70</v>
      </c>
      <c r="O122">
        <v>4</v>
      </c>
      <c r="P122">
        <v>3003</v>
      </c>
      <c r="Q122" s="1" t="s">
        <v>36</v>
      </c>
      <c r="R122">
        <v>5</v>
      </c>
      <c r="S122" s="1" t="s">
        <v>52</v>
      </c>
      <c r="T122" s="1" t="s">
        <v>28</v>
      </c>
    </row>
    <row r="123" spans="1:20" x14ac:dyDescent="0.25">
      <c r="A123" s="1" t="s">
        <v>20</v>
      </c>
      <c r="B123">
        <v>84</v>
      </c>
      <c r="C123">
        <v>18</v>
      </c>
      <c r="D123">
        <v>36</v>
      </c>
      <c r="E123">
        <v>5</v>
      </c>
      <c r="F123" s="1" t="s">
        <v>21</v>
      </c>
      <c r="G123" s="1" t="s">
        <v>32</v>
      </c>
      <c r="H123" s="1" t="s">
        <v>24</v>
      </c>
      <c r="I123" s="1" t="s">
        <v>24</v>
      </c>
      <c r="J123" s="1" t="s">
        <v>23</v>
      </c>
      <c r="K123" s="1" t="s">
        <v>23</v>
      </c>
      <c r="L123" s="1" t="s">
        <v>24</v>
      </c>
      <c r="M123" s="1" t="s">
        <v>24</v>
      </c>
      <c r="N123" s="1" t="s">
        <v>109</v>
      </c>
      <c r="O123">
        <v>35</v>
      </c>
      <c r="P123">
        <v>732</v>
      </c>
      <c r="Q123" s="1" t="s">
        <v>26</v>
      </c>
      <c r="R123">
        <v>4</v>
      </c>
      <c r="S123" s="1" t="s">
        <v>33</v>
      </c>
      <c r="T123" s="1" t="s">
        <v>51</v>
      </c>
    </row>
    <row r="124" spans="1:20" x14ac:dyDescent="0.25">
      <c r="A124" s="1" t="s">
        <v>35</v>
      </c>
      <c r="B124">
        <v>87</v>
      </c>
      <c r="C124">
        <v>18</v>
      </c>
      <c r="D124">
        <v>36</v>
      </c>
      <c r="E124">
        <v>3</v>
      </c>
      <c r="F124" s="1" t="s">
        <v>21</v>
      </c>
      <c r="G124" s="1" t="s">
        <v>29</v>
      </c>
      <c r="H124" s="1" t="s">
        <v>24</v>
      </c>
      <c r="I124" s="1" t="s">
        <v>24</v>
      </c>
      <c r="J124" s="1" t="s">
        <v>23</v>
      </c>
      <c r="K124" s="1" t="s">
        <v>24</v>
      </c>
      <c r="L124" s="1" t="s">
        <v>24</v>
      </c>
      <c r="M124" s="1" t="s">
        <v>24</v>
      </c>
      <c r="N124" s="1" t="s">
        <v>62</v>
      </c>
      <c r="O124">
        <v>3</v>
      </c>
      <c r="P124">
        <v>3981</v>
      </c>
      <c r="Q124" s="1" t="s">
        <v>36</v>
      </c>
      <c r="R124">
        <v>3</v>
      </c>
      <c r="S124" s="1" t="s">
        <v>33</v>
      </c>
      <c r="T124" s="1" t="s">
        <v>28</v>
      </c>
    </row>
    <row r="125" spans="1:20" x14ac:dyDescent="0.25">
      <c r="A125" s="1" t="s">
        <v>78</v>
      </c>
      <c r="B125">
        <v>56</v>
      </c>
      <c r="C125">
        <v>14</v>
      </c>
      <c r="D125">
        <v>36</v>
      </c>
      <c r="E125">
        <v>5</v>
      </c>
      <c r="F125" s="1" t="s">
        <v>21</v>
      </c>
      <c r="G125" s="1" t="s">
        <v>41</v>
      </c>
      <c r="H125" s="1" t="s">
        <v>24</v>
      </c>
      <c r="I125" s="1" t="s">
        <v>24</v>
      </c>
      <c r="J125" s="1" t="s">
        <v>23</v>
      </c>
      <c r="K125" s="1" t="s">
        <v>24</v>
      </c>
      <c r="L125" s="1" t="s">
        <v>24</v>
      </c>
      <c r="M125" s="1" t="s">
        <v>23</v>
      </c>
      <c r="N125" s="1" t="s">
        <v>70</v>
      </c>
      <c r="O125">
        <v>4</v>
      </c>
      <c r="P125">
        <v>3003</v>
      </c>
      <c r="Q125" s="1" t="s">
        <v>26</v>
      </c>
      <c r="R125">
        <v>3</v>
      </c>
      <c r="S125" s="1" t="s">
        <v>60</v>
      </c>
      <c r="T125" s="1" t="s">
        <v>58</v>
      </c>
    </row>
    <row r="126" spans="1:20" x14ac:dyDescent="0.25">
      <c r="A126" s="1" t="s">
        <v>99</v>
      </c>
      <c r="B126">
        <v>31</v>
      </c>
      <c r="C126">
        <v>25</v>
      </c>
      <c r="D126">
        <v>35</v>
      </c>
      <c r="E126">
        <v>3</v>
      </c>
      <c r="F126" s="1" t="s">
        <v>55</v>
      </c>
      <c r="G126" s="1" t="s">
        <v>32</v>
      </c>
      <c r="H126" s="1" t="s">
        <v>24</v>
      </c>
      <c r="I126" s="1" t="s">
        <v>24</v>
      </c>
      <c r="J126" s="1" t="s">
        <v>23</v>
      </c>
      <c r="K126" s="1" t="s">
        <v>24</v>
      </c>
      <c r="L126" s="1" t="s">
        <v>24</v>
      </c>
      <c r="M126" s="1" t="s">
        <v>24</v>
      </c>
      <c r="N126" s="1" t="s">
        <v>95</v>
      </c>
      <c r="O126">
        <v>5</v>
      </c>
      <c r="P126">
        <v>3025</v>
      </c>
      <c r="Q126" s="1" t="s">
        <v>83</v>
      </c>
      <c r="R126">
        <v>7</v>
      </c>
      <c r="S126" s="1" t="s">
        <v>59</v>
      </c>
      <c r="T126" s="1" t="s">
        <v>53</v>
      </c>
    </row>
    <row r="127" spans="1:20" x14ac:dyDescent="0.25">
      <c r="A127" s="1" t="s">
        <v>35</v>
      </c>
      <c r="B127">
        <v>63</v>
      </c>
      <c r="C127">
        <v>27</v>
      </c>
      <c r="D127">
        <v>35</v>
      </c>
      <c r="E127">
        <v>4</v>
      </c>
      <c r="F127" s="1" t="s">
        <v>31</v>
      </c>
      <c r="G127" s="1" t="s">
        <v>41</v>
      </c>
      <c r="H127" s="1" t="s">
        <v>24</v>
      </c>
      <c r="I127" s="1" t="s">
        <v>24</v>
      </c>
      <c r="J127" s="1" t="s">
        <v>23</v>
      </c>
      <c r="K127" s="1" t="s">
        <v>24</v>
      </c>
      <c r="L127" s="1" t="s">
        <v>24</v>
      </c>
      <c r="M127" s="1" t="s">
        <v>24</v>
      </c>
      <c r="N127" s="1" t="s">
        <v>90</v>
      </c>
      <c r="O127">
        <v>5</v>
      </c>
      <c r="P127">
        <v>3348</v>
      </c>
      <c r="Q127" s="1" t="s">
        <v>36</v>
      </c>
      <c r="R127">
        <v>5</v>
      </c>
      <c r="S127" s="1" t="s">
        <v>45</v>
      </c>
      <c r="T127" s="1" t="s">
        <v>51</v>
      </c>
    </row>
    <row r="128" spans="1:20" x14ac:dyDescent="0.25">
      <c r="A128" s="1" t="s">
        <v>20</v>
      </c>
      <c r="B128">
        <v>34</v>
      </c>
      <c r="C128">
        <v>12</v>
      </c>
      <c r="D128">
        <v>35</v>
      </c>
      <c r="E128">
        <v>4</v>
      </c>
      <c r="F128" s="1" t="s">
        <v>31</v>
      </c>
      <c r="G128" s="1" t="s">
        <v>41</v>
      </c>
      <c r="H128" s="1" t="s">
        <v>24</v>
      </c>
      <c r="I128" s="1" t="s">
        <v>24</v>
      </c>
      <c r="J128" s="1" t="s">
        <v>24</v>
      </c>
      <c r="K128" s="1" t="s">
        <v>23</v>
      </c>
      <c r="L128" s="1" t="s">
        <v>23</v>
      </c>
      <c r="M128" s="1" t="s">
        <v>24</v>
      </c>
      <c r="N128" s="1" t="s">
        <v>117</v>
      </c>
      <c r="O128">
        <v>35</v>
      </c>
      <c r="P128">
        <v>787</v>
      </c>
      <c r="Q128" s="1" t="s">
        <v>26</v>
      </c>
      <c r="R128">
        <v>3</v>
      </c>
      <c r="S128" s="1" t="s">
        <v>39</v>
      </c>
      <c r="T128" s="1" t="s">
        <v>40</v>
      </c>
    </row>
    <row r="129" spans="1:20" x14ac:dyDescent="0.25">
      <c r="A129" s="1" t="s">
        <v>20</v>
      </c>
      <c r="B129">
        <v>26</v>
      </c>
      <c r="C129">
        <v>17</v>
      </c>
      <c r="D129">
        <v>34</v>
      </c>
      <c r="E129">
        <v>5</v>
      </c>
      <c r="F129" s="1" t="s">
        <v>31</v>
      </c>
      <c r="G129" s="1" t="s">
        <v>41</v>
      </c>
      <c r="H129" s="1" t="s">
        <v>24</v>
      </c>
      <c r="I129" s="1" t="s">
        <v>24</v>
      </c>
      <c r="J129" s="1" t="s">
        <v>24</v>
      </c>
      <c r="K129" s="1" t="s">
        <v>24</v>
      </c>
      <c r="L129" s="1" t="s">
        <v>24</v>
      </c>
      <c r="M129" s="1" t="s">
        <v>24</v>
      </c>
      <c r="N129" s="1" t="s">
        <v>114</v>
      </c>
      <c r="O129">
        <v>3</v>
      </c>
      <c r="P129">
        <v>716</v>
      </c>
      <c r="Q129" s="1" t="s">
        <v>26</v>
      </c>
      <c r="R129">
        <v>7</v>
      </c>
      <c r="S129" s="1" t="s">
        <v>39</v>
      </c>
      <c r="T129" s="1" t="s">
        <v>28</v>
      </c>
    </row>
    <row r="130" spans="1:20" x14ac:dyDescent="0.25">
      <c r="A130" s="1" t="s">
        <v>37</v>
      </c>
      <c r="B130">
        <v>113</v>
      </c>
      <c r="C130">
        <v>48</v>
      </c>
      <c r="D130">
        <v>33</v>
      </c>
      <c r="E130">
        <v>3</v>
      </c>
      <c r="F130" s="1" t="s">
        <v>31</v>
      </c>
      <c r="G130" s="1" t="s">
        <v>32</v>
      </c>
      <c r="H130" s="1" t="s">
        <v>24</v>
      </c>
      <c r="I130" s="1" t="s">
        <v>24</v>
      </c>
      <c r="J130" s="1" t="s">
        <v>23</v>
      </c>
      <c r="K130" s="1" t="s">
        <v>23</v>
      </c>
      <c r="L130" s="1" t="s">
        <v>23</v>
      </c>
      <c r="M130" s="1" t="s">
        <v>24</v>
      </c>
      <c r="N130" s="1" t="s">
        <v>115</v>
      </c>
      <c r="O130">
        <v>3</v>
      </c>
      <c r="P130">
        <v>315</v>
      </c>
      <c r="Q130" s="1" t="s">
        <v>26</v>
      </c>
      <c r="R130">
        <v>4</v>
      </c>
      <c r="S130" s="1" t="s">
        <v>42</v>
      </c>
      <c r="T130" s="1" t="s">
        <v>53</v>
      </c>
    </row>
    <row r="131" spans="1:20" x14ac:dyDescent="0.25">
      <c r="A131" s="1" t="s">
        <v>20</v>
      </c>
      <c r="B131">
        <v>60</v>
      </c>
      <c r="C131">
        <v>11</v>
      </c>
      <c r="D131">
        <v>33</v>
      </c>
      <c r="E131">
        <v>5</v>
      </c>
      <c r="F131" s="1" t="s">
        <v>21</v>
      </c>
      <c r="G131" s="1" t="s">
        <v>41</v>
      </c>
      <c r="H131" s="1" t="s">
        <v>24</v>
      </c>
      <c r="I131" s="1" t="s">
        <v>24</v>
      </c>
      <c r="J131" s="1" t="s">
        <v>24</v>
      </c>
      <c r="K131" s="1" t="s">
        <v>23</v>
      </c>
      <c r="L131" s="1" t="s">
        <v>23</v>
      </c>
      <c r="M131" s="1" t="s">
        <v>24</v>
      </c>
      <c r="N131" s="1" t="s">
        <v>117</v>
      </c>
      <c r="O131">
        <v>35</v>
      </c>
      <c r="P131">
        <v>787</v>
      </c>
      <c r="Q131" s="1" t="s">
        <v>26</v>
      </c>
      <c r="R131">
        <v>3</v>
      </c>
      <c r="S131" s="1" t="s">
        <v>33</v>
      </c>
      <c r="T131" s="1" t="s">
        <v>28</v>
      </c>
    </row>
    <row r="132" spans="1:20" x14ac:dyDescent="0.25">
      <c r="A132" s="1" t="s">
        <v>54</v>
      </c>
      <c r="B132">
        <v>146</v>
      </c>
      <c r="C132">
        <v>17</v>
      </c>
      <c r="D132">
        <v>33</v>
      </c>
      <c r="E132">
        <v>4</v>
      </c>
      <c r="F132" s="1" t="s">
        <v>46</v>
      </c>
      <c r="G132" s="1" t="s">
        <v>32</v>
      </c>
      <c r="H132" s="1" t="s">
        <v>23</v>
      </c>
      <c r="I132" s="1" t="s">
        <v>24</v>
      </c>
      <c r="J132" s="1" t="s">
        <v>23</v>
      </c>
      <c r="K132" s="1" t="s">
        <v>23</v>
      </c>
      <c r="L132" s="1" t="s">
        <v>24</v>
      </c>
      <c r="M132" s="1" t="s">
        <v>24</v>
      </c>
      <c r="N132" s="1" t="s">
        <v>25</v>
      </c>
      <c r="O132">
        <v>3</v>
      </c>
      <c r="P132">
        <v>3773</v>
      </c>
      <c r="Q132" s="1" t="s">
        <v>49</v>
      </c>
      <c r="R132">
        <v>2</v>
      </c>
      <c r="S132" s="1" t="s">
        <v>52</v>
      </c>
      <c r="T132" s="1" t="s">
        <v>34</v>
      </c>
    </row>
    <row r="133" spans="1:20" x14ac:dyDescent="0.25">
      <c r="A133" s="1" t="s">
        <v>61</v>
      </c>
      <c r="B133">
        <v>76</v>
      </c>
      <c r="C133">
        <v>27</v>
      </c>
      <c r="D133">
        <v>32</v>
      </c>
      <c r="E133">
        <v>3</v>
      </c>
      <c r="F133" s="1" t="s">
        <v>55</v>
      </c>
      <c r="G133" s="1" t="s">
        <v>41</v>
      </c>
      <c r="H133" s="1" t="s">
        <v>24</v>
      </c>
      <c r="I133" s="1" t="s">
        <v>24</v>
      </c>
      <c r="J133" s="1" t="s">
        <v>24</v>
      </c>
      <c r="K133" s="1" t="s">
        <v>23</v>
      </c>
      <c r="L133" s="1" t="s">
        <v>23</v>
      </c>
      <c r="M133" s="1" t="s">
        <v>24</v>
      </c>
      <c r="N133" s="1" t="s">
        <v>117</v>
      </c>
      <c r="O133">
        <v>35</v>
      </c>
      <c r="P133">
        <v>787</v>
      </c>
      <c r="Q133" s="1" t="s">
        <v>36</v>
      </c>
      <c r="R133">
        <v>6</v>
      </c>
      <c r="S133" s="1" t="s">
        <v>57</v>
      </c>
      <c r="T133" s="1" t="s">
        <v>28</v>
      </c>
    </row>
    <row r="134" spans="1:20" x14ac:dyDescent="0.25">
      <c r="A134" s="1" t="s">
        <v>37</v>
      </c>
      <c r="B134">
        <v>30</v>
      </c>
      <c r="C134">
        <v>10</v>
      </c>
      <c r="D134">
        <v>32</v>
      </c>
      <c r="E134">
        <v>3</v>
      </c>
      <c r="F134" s="1" t="s">
        <v>31</v>
      </c>
      <c r="G134" s="1" t="s">
        <v>41</v>
      </c>
      <c r="H134" s="1" t="s">
        <v>24</v>
      </c>
      <c r="I134" s="1" t="s">
        <v>24</v>
      </c>
      <c r="J134" s="1" t="s">
        <v>23</v>
      </c>
      <c r="K134" s="1" t="s">
        <v>24</v>
      </c>
      <c r="L134" s="1" t="s">
        <v>24</v>
      </c>
      <c r="M134" s="1" t="s">
        <v>23</v>
      </c>
      <c r="N134" s="1" t="s">
        <v>70</v>
      </c>
      <c r="O134">
        <v>4</v>
      </c>
      <c r="P134">
        <v>3003</v>
      </c>
      <c r="Q134" s="1" t="s">
        <v>26</v>
      </c>
      <c r="R134">
        <v>2</v>
      </c>
      <c r="S134" s="1" t="s">
        <v>39</v>
      </c>
      <c r="T134" s="1" t="s">
        <v>51</v>
      </c>
    </row>
    <row r="135" spans="1:20" x14ac:dyDescent="0.25">
      <c r="A135" s="1" t="s">
        <v>35</v>
      </c>
      <c r="B135">
        <v>39</v>
      </c>
      <c r="C135">
        <v>20</v>
      </c>
      <c r="D135">
        <v>31</v>
      </c>
      <c r="E135">
        <v>4</v>
      </c>
      <c r="F135" s="1" t="s">
        <v>55</v>
      </c>
      <c r="G135" s="1" t="s">
        <v>41</v>
      </c>
      <c r="H135" s="1" t="s">
        <v>24</v>
      </c>
      <c r="I135" s="1" t="s">
        <v>24</v>
      </c>
      <c r="J135" s="1" t="s">
        <v>23</v>
      </c>
      <c r="K135" s="1" t="s">
        <v>24</v>
      </c>
      <c r="L135" s="1" t="s">
        <v>24</v>
      </c>
      <c r="M135" s="1" t="s">
        <v>24</v>
      </c>
      <c r="N135" s="1" t="s">
        <v>119</v>
      </c>
      <c r="O135">
        <v>5</v>
      </c>
      <c r="P135">
        <v>4027</v>
      </c>
      <c r="Q135" s="1" t="s">
        <v>36</v>
      </c>
      <c r="R135">
        <v>8</v>
      </c>
      <c r="S135" s="1" t="s">
        <v>57</v>
      </c>
      <c r="T135" s="1" t="s">
        <v>28</v>
      </c>
    </row>
    <row r="136" spans="1:20" x14ac:dyDescent="0.25">
      <c r="A136" s="1" t="s">
        <v>37</v>
      </c>
      <c r="B136">
        <v>54</v>
      </c>
      <c r="C136">
        <v>18</v>
      </c>
      <c r="D136">
        <v>31</v>
      </c>
      <c r="E136">
        <v>4</v>
      </c>
      <c r="F136" s="1" t="s">
        <v>46</v>
      </c>
      <c r="G136" s="1" t="s">
        <v>22</v>
      </c>
      <c r="H136" s="1" t="s">
        <v>24</v>
      </c>
      <c r="I136" s="1" t="s">
        <v>24</v>
      </c>
      <c r="J136" s="1" t="s">
        <v>23</v>
      </c>
      <c r="K136" s="1" t="s">
        <v>24</v>
      </c>
      <c r="L136" s="1" t="s">
        <v>24</v>
      </c>
      <c r="M136" s="1" t="s">
        <v>24</v>
      </c>
      <c r="N136" s="1" t="s">
        <v>90</v>
      </c>
      <c r="O136">
        <v>5</v>
      </c>
      <c r="P136">
        <v>3348</v>
      </c>
      <c r="Q136" s="1" t="s">
        <v>26</v>
      </c>
      <c r="R136">
        <v>5</v>
      </c>
      <c r="S136" s="1" t="s">
        <v>52</v>
      </c>
      <c r="T136" s="1" t="s">
        <v>51</v>
      </c>
    </row>
    <row r="137" spans="1:20" x14ac:dyDescent="0.25">
      <c r="A137" s="1" t="s">
        <v>78</v>
      </c>
      <c r="B137">
        <v>28</v>
      </c>
      <c r="C137">
        <v>23</v>
      </c>
      <c r="D137">
        <v>31</v>
      </c>
      <c r="E137">
        <v>3</v>
      </c>
      <c r="F137" s="1" t="s">
        <v>21</v>
      </c>
      <c r="G137" s="1" t="s">
        <v>41</v>
      </c>
      <c r="H137" s="1" t="s">
        <v>24</v>
      </c>
      <c r="I137" s="1" t="s">
        <v>24</v>
      </c>
      <c r="J137" s="1" t="s">
        <v>23</v>
      </c>
      <c r="K137" s="1" t="s">
        <v>24</v>
      </c>
      <c r="L137" s="1" t="s">
        <v>24</v>
      </c>
      <c r="M137" s="1" t="s">
        <v>24</v>
      </c>
      <c r="N137" s="1" t="s">
        <v>95</v>
      </c>
      <c r="O137">
        <v>5</v>
      </c>
      <c r="P137">
        <v>3025</v>
      </c>
      <c r="Q137" s="1" t="s">
        <v>26</v>
      </c>
      <c r="R137">
        <v>4</v>
      </c>
      <c r="S137" s="1" t="s">
        <v>27</v>
      </c>
      <c r="T137" s="1" t="s">
        <v>30</v>
      </c>
    </row>
    <row r="138" spans="1:20" x14ac:dyDescent="0.25">
      <c r="A138" s="1" t="s">
        <v>20</v>
      </c>
      <c r="B138">
        <v>154</v>
      </c>
      <c r="C138">
        <v>23</v>
      </c>
      <c r="D138">
        <v>31</v>
      </c>
      <c r="E138">
        <v>4</v>
      </c>
      <c r="F138" s="1" t="s">
        <v>55</v>
      </c>
      <c r="G138" s="1" t="s">
        <v>22</v>
      </c>
      <c r="H138" s="1" t="s">
        <v>24</v>
      </c>
      <c r="I138" s="1" t="s">
        <v>24</v>
      </c>
      <c r="J138" s="1" t="s">
        <v>23</v>
      </c>
      <c r="K138" s="1" t="s">
        <v>24</v>
      </c>
      <c r="L138" s="1" t="s">
        <v>24</v>
      </c>
      <c r="M138" s="1" t="s">
        <v>24</v>
      </c>
      <c r="N138" s="1" t="s">
        <v>123</v>
      </c>
      <c r="O138">
        <v>4</v>
      </c>
      <c r="P138">
        <v>826</v>
      </c>
      <c r="Q138" s="1" t="s">
        <v>26</v>
      </c>
      <c r="R138">
        <v>4</v>
      </c>
      <c r="S138" s="1" t="s">
        <v>59</v>
      </c>
      <c r="T138" s="1" t="s">
        <v>28</v>
      </c>
    </row>
    <row r="139" spans="1:20" x14ac:dyDescent="0.25">
      <c r="A139" s="1" t="s">
        <v>20</v>
      </c>
      <c r="B139">
        <v>142</v>
      </c>
      <c r="C139">
        <v>17</v>
      </c>
      <c r="D139">
        <v>31</v>
      </c>
      <c r="E139">
        <v>4</v>
      </c>
      <c r="F139" s="1" t="s">
        <v>55</v>
      </c>
      <c r="G139" s="1" t="s">
        <v>41</v>
      </c>
      <c r="H139" s="1" t="s">
        <v>24</v>
      </c>
      <c r="I139" s="1" t="s">
        <v>24</v>
      </c>
      <c r="J139" s="1" t="s">
        <v>24</v>
      </c>
      <c r="K139" s="1" t="s">
        <v>24</v>
      </c>
      <c r="L139" s="1" t="s">
        <v>24</v>
      </c>
      <c r="M139" s="1" t="s">
        <v>24</v>
      </c>
      <c r="N139" s="1" t="s">
        <v>100</v>
      </c>
      <c r="O139">
        <v>5</v>
      </c>
      <c r="P139">
        <v>2700</v>
      </c>
      <c r="Q139" s="1" t="s">
        <v>26</v>
      </c>
      <c r="R139">
        <v>3</v>
      </c>
      <c r="S139" s="1" t="s">
        <v>57</v>
      </c>
      <c r="T139" s="1" t="s">
        <v>58</v>
      </c>
    </row>
    <row r="140" spans="1:20" x14ac:dyDescent="0.25">
      <c r="A140" s="1" t="s">
        <v>20</v>
      </c>
      <c r="B140">
        <v>60</v>
      </c>
      <c r="C140">
        <v>4</v>
      </c>
      <c r="D140">
        <v>31</v>
      </c>
      <c r="E140">
        <v>4</v>
      </c>
      <c r="F140" s="1" t="s">
        <v>31</v>
      </c>
      <c r="G140" s="1" t="s">
        <v>41</v>
      </c>
      <c r="H140" s="1" t="s">
        <v>24</v>
      </c>
      <c r="I140" s="1" t="s">
        <v>24</v>
      </c>
      <c r="J140" s="1" t="s">
        <v>23</v>
      </c>
      <c r="K140" s="1" t="s">
        <v>23</v>
      </c>
      <c r="L140" s="1" t="s">
        <v>24</v>
      </c>
      <c r="M140" s="1" t="s">
        <v>24</v>
      </c>
      <c r="N140" s="1" t="s">
        <v>109</v>
      </c>
      <c r="O140">
        <v>35</v>
      </c>
      <c r="P140">
        <v>732</v>
      </c>
      <c r="Q140" s="1" t="s">
        <v>26</v>
      </c>
      <c r="R140">
        <v>2</v>
      </c>
      <c r="S140" s="1" t="s">
        <v>42</v>
      </c>
      <c r="T140" s="1" t="s">
        <v>40</v>
      </c>
    </row>
    <row r="141" spans="1:20" x14ac:dyDescent="0.25">
      <c r="A141" s="1" t="s">
        <v>20</v>
      </c>
      <c r="B141">
        <v>62</v>
      </c>
      <c r="C141">
        <v>13</v>
      </c>
      <c r="D141">
        <v>31</v>
      </c>
      <c r="E141">
        <v>4</v>
      </c>
      <c r="F141" s="1" t="s">
        <v>55</v>
      </c>
      <c r="G141" s="1" t="s">
        <v>29</v>
      </c>
      <c r="H141" s="1" t="s">
        <v>24</v>
      </c>
      <c r="I141" s="1" t="s">
        <v>24</v>
      </c>
      <c r="J141" s="1" t="s">
        <v>23</v>
      </c>
      <c r="K141" s="1" t="s">
        <v>24</v>
      </c>
      <c r="L141" s="1" t="s">
        <v>24</v>
      </c>
      <c r="M141" s="1" t="s">
        <v>24</v>
      </c>
      <c r="N141" s="1" t="s">
        <v>120</v>
      </c>
      <c r="O141">
        <v>5</v>
      </c>
      <c r="P141">
        <v>3933</v>
      </c>
      <c r="Q141" s="1" t="s">
        <v>26</v>
      </c>
      <c r="R141">
        <v>2</v>
      </c>
      <c r="S141" s="1" t="s">
        <v>56</v>
      </c>
      <c r="T141" s="1" t="s">
        <v>40</v>
      </c>
    </row>
    <row r="142" spans="1:20" x14ac:dyDescent="0.25">
      <c r="A142" s="1" t="s">
        <v>89</v>
      </c>
      <c r="B142">
        <v>39</v>
      </c>
      <c r="C142">
        <v>15</v>
      </c>
      <c r="D142">
        <v>31</v>
      </c>
      <c r="E142">
        <v>3</v>
      </c>
      <c r="F142" s="1" t="s">
        <v>31</v>
      </c>
      <c r="G142" s="1" t="s">
        <v>22</v>
      </c>
      <c r="H142" s="1" t="s">
        <v>24</v>
      </c>
      <c r="I142" s="1" t="s">
        <v>24</v>
      </c>
      <c r="J142" s="1" t="s">
        <v>24</v>
      </c>
      <c r="K142" s="1" t="s">
        <v>24</v>
      </c>
      <c r="L142" s="1" t="s">
        <v>24</v>
      </c>
      <c r="M142" s="1" t="s">
        <v>24</v>
      </c>
      <c r="N142" s="1" t="s">
        <v>85</v>
      </c>
      <c r="O142">
        <v>4</v>
      </c>
      <c r="P142">
        <v>1467</v>
      </c>
      <c r="Q142" s="1" t="s">
        <v>36</v>
      </c>
      <c r="R142">
        <v>1</v>
      </c>
      <c r="S142" s="1" t="s">
        <v>45</v>
      </c>
      <c r="T142" s="1" t="s">
        <v>53</v>
      </c>
    </row>
    <row r="143" spans="1:20" x14ac:dyDescent="0.25">
      <c r="A143" s="1" t="s">
        <v>20</v>
      </c>
      <c r="B143">
        <v>48</v>
      </c>
      <c r="C143">
        <v>14</v>
      </c>
      <c r="D143">
        <v>30</v>
      </c>
      <c r="E143">
        <v>5</v>
      </c>
      <c r="F143" s="1" t="s">
        <v>46</v>
      </c>
      <c r="G143" s="1" t="s">
        <v>29</v>
      </c>
      <c r="H143" s="1" t="s">
        <v>24</v>
      </c>
      <c r="I143" s="1" t="s">
        <v>24</v>
      </c>
      <c r="J143" s="1" t="s">
        <v>23</v>
      </c>
      <c r="K143" s="1" t="s">
        <v>24</v>
      </c>
      <c r="L143" s="1" t="s">
        <v>24</v>
      </c>
      <c r="M143" s="1" t="s">
        <v>24</v>
      </c>
      <c r="N143" s="1" t="s">
        <v>102</v>
      </c>
      <c r="O143">
        <v>5</v>
      </c>
      <c r="P143">
        <v>1282</v>
      </c>
      <c r="Q143" s="1" t="s">
        <v>26</v>
      </c>
      <c r="R143">
        <v>9</v>
      </c>
      <c r="S143" s="1" t="s">
        <v>47</v>
      </c>
      <c r="T143" s="1" t="s">
        <v>51</v>
      </c>
    </row>
    <row r="144" spans="1:20" x14ac:dyDescent="0.25">
      <c r="A144" s="1" t="s">
        <v>35</v>
      </c>
      <c r="B144">
        <v>34</v>
      </c>
      <c r="C144">
        <v>17</v>
      </c>
      <c r="D144">
        <v>30</v>
      </c>
      <c r="E144">
        <v>4</v>
      </c>
      <c r="F144" s="1" t="s">
        <v>21</v>
      </c>
      <c r="G144" s="1" t="s">
        <v>32</v>
      </c>
      <c r="H144" s="1" t="s">
        <v>24</v>
      </c>
      <c r="I144" s="1" t="s">
        <v>24</v>
      </c>
      <c r="J144" s="1" t="s">
        <v>24</v>
      </c>
      <c r="K144" s="1" t="s">
        <v>24</v>
      </c>
      <c r="L144" s="1" t="s">
        <v>24</v>
      </c>
      <c r="M144" s="1" t="s">
        <v>24</v>
      </c>
      <c r="N144" s="1" t="s">
        <v>85</v>
      </c>
      <c r="O144">
        <v>4</v>
      </c>
      <c r="P144">
        <v>1467</v>
      </c>
      <c r="Q144" s="1" t="s">
        <v>36</v>
      </c>
      <c r="R144">
        <v>8</v>
      </c>
      <c r="S144" s="1" t="s">
        <v>27</v>
      </c>
      <c r="T144" s="1" t="s">
        <v>53</v>
      </c>
    </row>
    <row r="145" spans="1:20" x14ac:dyDescent="0.25">
      <c r="A145" s="1" t="s">
        <v>69</v>
      </c>
      <c r="B145">
        <v>34</v>
      </c>
      <c r="C145">
        <v>8</v>
      </c>
      <c r="D145">
        <v>30</v>
      </c>
      <c r="E145">
        <v>3</v>
      </c>
      <c r="F145" s="1" t="s">
        <v>21</v>
      </c>
      <c r="G145" s="1" t="s">
        <v>38</v>
      </c>
      <c r="H145" s="1" t="s">
        <v>24</v>
      </c>
      <c r="I145" s="1" t="s">
        <v>24</v>
      </c>
      <c r="J145" s="1" t="s">
        <v>23</v>
      </c>
      <c r="K145" s="1" t="s">
        <v>24</v>
      </c>
      <c r="L145" s="1" t="s">
        <v>24</v>
      </c>
      <c r="M145" s="1" t="s">
        <v>24</v>
      </c>
      <c r="N145" s="1" t="s">
        <v>62</v>
      </c>
      <c r="O145">
        <v>3</v>
      </c>
      <c r="P145">
        <v>3981</v>
      </c>
      <c r="Q145" s="1" t="s">
        <v>44</v>
      </c>
      <c r="R145">
        <v>4</v>
      </c>
      <c r="S145" s="1" t="s">
        <v>60</v>
      </c>
      <c r="T145" s="1" t="s">
        <v>40</v>
      </c>
    </row>
    <row r="146" spans="1:20" x14ac:dyDescent="0.25">
      <c r="A146" s="1" t="s">
        <v>35</v>
      </c>
      <c r="B146">
        <v>24</v>
      </c>
      <c r="C146">
        <v>12</v>
      </c>
      <c r="D146">
        <v>30</v>
      </c>
      <c r="E146">
        <v>4</v>
      </c>
      <c r="F146" s="1" t="s">
        <v>55</v>
      </c>
      <c r="G146" s="1" t="s">
        <v>41</v>
      </c>
      <c r="H146" s="1" t="s">
        <v>24</v>
      </c>
      <c r="I146" s="1" t="s">
        <v>24</v>
      </c>
      <c r="J146" s="1" t="s">
        <v>24</v>
      </c>
      <c r="K146" s="1" t="s">
        <v>23</v>
      </c>
      <c r="L146" s="1" t="s">
        <v>23</v>
      </c>
      <c r="M146" s="1" t="s">
        <v>24</v>
      </c>
      <c r="N146" s="1" t="s">
        <v>117</v>
      </c>
      <c r="O146">
        <v>35</v>
      </c>
      <c r="P146">
        <v>787</v>
      </c>
      <c r="Q146" s="1" t="s">
        <v>36</v>
      </c>
      <c r="R146">
        <v>4</v>
      </c>
      <c r="S146" s="1" t="s">
        <v>57</v>
      </c>
      <c r="T146" s="1" t="s">
        <v>58</v>
      </c>
    </row>
    <row r="147" spans="1:20" x14ac:dyDescent="0.25">
      <c r="A147" s="1" t="s">
        <v>20</v>
      </c>
      <c r="B147">
        <v>78</v>
      </c>
      <c r="C147">
        <v>11</v>
      </c>
      <c r="D147">
        <v>30</v>
      </c>
      <c r="E147">
        <v>4</v>
      </c>
      <c r="F147" s="1" t="s">
        <v>55</v>
      </c>
      <c r="G147" s="1" t="s">
        <v>29</v>
      </c>
      <c r="H147" s="1" t="s">
        <v>24</v>
      </c>
      <c r="I147" s="1" t="s">
        <v>24</v>
      </c>
      <c r="J147" s="1" t="s">
        <v>24</v>
      </c>
      <c r="K147" s="1" t="s">
        <v>24</v>
      </c>
      <c r="L147" s="1" t="s">
        <v>24</v>
      </c>
      <c r="M147" s="1" t="s">
        <v>24</v>
      </c>
      <c r="N147" s="1" t="s">
        <v>80</v>
      </c>
      <c r="O147">
        <v>4</v>
      </c>
      <c r="P147">
        <v>2884</v>
      </c>
      <c r="Q147" s="1" t="s">
        <v>26</v>
      </c>
      <c r="R147">
        <v>2</v>
      </c>
      <c r="S147" s="1" t="s">
        <v>56</v>
      </c>
      <c r="T147" s="1" t="s">
        <v>40</v>
      </c>
    </row>
    <row r="148" spans="1:20" x14ac:dyDescent="0.25">
      <c r="A148" s="1" t="s">
        <v>35</v>
      </c>
      <c r="B148">
        <v>28</v>
      </c>
      <c r="C148">
        <v>12</v>
      </c>
      <c r="D148">
        <v>30</v>
      </c>
      <c r="E148">
        <v>5</v>
      </c>
      <c r="F148" s="1" t="s">
        <v>46</v>
      </c>
      <c r="G148" s="1" t="s">
        <v>41</v>
      </c>
      <c r="H148" s="1" t="s">
        <v>24</v>
      </c>
      <c r="I148" s="1" t="s">
        <v>24</v>
      </c>
      <c r="J148" s="1" t="s">
        <v>23</v>
      </c>
      <c r="K148" s="1" t="s">
        <v>24</v>
      </c>
      <c r="L148" s="1" t="s">
        <v>24</v>
      </c>
      <c r="M148" s="1" t="s">
        <v>24</v>
      </c>
      <c r="N148" s="1" t="s">
        <v>106</v>
      </c>
      <c r="O148">
        <v>5</v>
      </c>
      <c r="P148">
        <v>2034</v>
      </c>
      <c r="Q148" s="1" t="s">
        <v>36</v>
      </c>
      <c r="R148">
        <v>2</v>
      </c>
      <c r="S148" s="1" t="s">
        <v>47</v>
      </c>
      <c r="T148" s="1" t="s">
        <v>34</v>
      </c>
    </row>
    <row r="149" spans="1:20" x14ac:dyDescent="0.25">
      <c r="A149" s="1" t="s">
        <v>20</v>
      </c>
      <c r="B149">
        <v>15</v>
      </c>
      <c r="C149">
        <v>10</v>
      </c>
      <c r="D149">
        <v>29</v>
      </c>
      <c r="E149">
        <v>3</v>
      </c>
      <c r="F149" s="1" t="s">
        <v>31</v>
      </c>
      <c r="G149" s="1" t="s">
        <v>32</v>
      </c>
      <c r="H149" s="1" t="s">
        <v>24</v>
      </c>
      <c r="I149" s="1" t="s">
        <v>24</v>
      </c>
      <c r="J149" s="1" t="s">
        <v>23</v>
      </c>
      <c r="K149" s="1" t="s">
        <v>24</v>
      </c>
      <c r="L149" s="1" t="s">
        <v>24</v>
      </c>
      <c r="M149" s="1" t="s">
        <v>24</v>
      </c>
      <c r="N149" s="1" t="s">
        <v>90</v>
      </c>
      <c r="O149">
        <v>5</v>
      </c>
      <c r="P149">
        <v>3348</v>
      </c>
      <c r="Q149" s="1" t="s">
        <v>26</v>
      </c>
      <c r="R149">
        <v>9</v>
      </c>
      <c r="S149" s="1" t="s">
        <v>39</v>
      </c>
      <c r="T149" s="1" t="s">
        <v>30</v>
      </c>
    </row>
    <row r="150" spans="1:20" x14ac:dyDescent="0.25">
      <c r="A150" s="1" t="s">
        <v>37</v>
      </c>
      <c r="B150">
        <v>50</v>
      </c>
      <c r="C150">
        <v>13</v>
      </c>
      <c r="D150">
        <v>29</v>
      </c>
      <c r="E150">
        <v>4</v>
      </c>
      <c r="F150" s="1" t="s">
        <v>55</v>
      </c>
      <c r="G150" s="1" t="s">
        <v>41</v>
      </c>
      <c r="H150" s="1" t="s">
        <v>24</v>
      </c>
      <c r="I150" s="1" t="s">
        <v>24</v>
      </c>
      <c r="J150" s="1" t="s">
        <v>23</v>
      </c>
      <c r="K150" s="1" t="s">
        <v>24</v>
      </c>
      <c r="L150" s="1" t="s">
        <v>24</v>
      </c>
      <c r="M150" s="1" t="s">
        <v>24</v>
      </c>
      <c r="N150" s="1" t="s">
        <v>123</v>
      </c>
      <c r="O150">
        <v>4</v>
      </c>
      <c r="P150">
        <v>826</v>
      </c>
      <c r="Q150" s="1" t="s">
        <v>26</v>
      </c>
      <c r="R150">
        <v>8</v>
      </c>
      <c r="S150" s="1" t="s">
        <v>59</v>
      </c>
      <c r="T150" s="1" t="s">
        <v>28</v>
      </c>
    </row>
    <row r="151" spans="1:20" x14ac:dyDescent="0.25">
      <c r="A151" s="1" t="s">
        <v>48</v>
      </c>
      <c r="B151">
        <v>43</v>
      </c>
      <c r="C151">
        <v>38</v>
      </c>
      <c r="D151">
        <v>29</v>
      </c>
      <c r="E151">
        <v>5</v>
      </c>
      <c r="F151" s="1" t="s">
        <v>55</v>
      </c>
      <c r="G151" s="1" t="s">
        <v>41</v>
      </c>
      <c r="H151" s="1" t="s">
        <v>24</v>
      </c>
      <c r="I151" s="1" t="s">
        <v>24</v>
      </c>
      <c r="J151" s="1" t="s">
        <v>23</v>
      </c>
      <c r="K151" s="1" t="s">
        <v>24</v>
      </c>
      <c r="L151" s="1" t="s">
        <v>24</v>
      </c>
      <c r="M151" s="1" t="s">
        <v>24</v>
      </c>
      <c r="N151" s="1" t="s">
        <v>119</v>
      </c>
      <c r="O151">
        <v>5</v>
      </c>
      <c r="P151">
        <v>4027</v>
      </c>
      <c r="Q151" s="1" t="s">
        <v>49</v>
      </c>
      <c r="R151">
        <v>4</v>
      </c>
      <c r="S151" s="1" t="s">
        <v>59</v>
      </c>
      <c r="T151" s="1" t="s">
        <v>34</v>
      </c>
    </row>
    <row r="152" spans="1:20" x14ac:dyDescent="0.25">
      <c r="A152" s="1" t="s">
        <v>61</v>
      </c>
      <c r="B152">
        <v>19</v>
      </c>
      <c r="C152">
        <v>9</v>
      </c>
      <c r="D152">
        <v>28</v>
      </c>
      <c r="E152">
        <v>5</v>
      </c>
      <c r="F152" s="1" t="s">
        <v>31</v>
      </c>
      <c r="G152" s="1" t="s">
        <v>41</v>
      </c>
      <c r="H152" s="1" t="s">
        <v>24</v>
      </c>
      <c r="I152" s="1" t="s">
        <v>24</v>
      </c>
      <c r="J152" s="1" t="s">
        <v>24</v>
      </c>
      <c r="K152" s="1" t="s">
        <v>24</v>
      </c>
      <c r="L152" s="1" t="s">
        <v>24</v>
      </c>
      <c r="M152" s="1" t="s">
        <v>24</v>
      </c>
      <c r="N152" s="1" t="s">
        <v>85</v>
      </c>
      <c r="O152">
        <v>4</v>
      </c>
      <c r="P152">
        <v>1467</v>
      </c>
      <c r="Q152" s="1" t="s">
        <v>36</v>
      </c>
      <c r="R152">
        <v>3</v>
      </c>
      <c r="S152" s="1" t="s">
        <v>42</v>
      </c>
      <c r="T152" s="1" t="s">
        <v>30</v>
      </c>
    </row>
    <row r="153" spans="1:20" x14ac:dyDescent="0.25">
      <c r="A153" s="1" t="s">
        <v>20</v>
      </c>
      <c r="B153">
        <v>26</v>
      </c>
      <c r="C153">
        <v>10</v>
      </c>
      <c r="D153">
        <v>28</v>
      </c>
      <c r="E153">
        <v>5</v>
      </c>
      <c r="F153" s="1" t="s">
        <v>31</v>
      </c>
      <c r="G153" s="1" t="s">
        <v>38</v>
      </c>
      <c r="H153" s="1" t="s">
        <v>24</v>
      </c>
      <c r="I153" s="1" t="s">
        <v>24</v>
      </c>
      <c r="J153" s="1" t="s">
        <v>23</v>
      </c>
      <c r="K153" s="1" t="s">
        <v>24</v>
      </c>
      <c r="L153" s="1" t="s">
        <v>24</v>
      </c>
      <c r="M153" s="1" t="s">
        <v>24</v>
      </c>
      <c r="N153" s="1" t="s">
        <v>62</v>
      </c>
      <c r="O153">
        <v>3</v>
      </c>
      <c r="P153">
        <v>3981</v>
      </c>
      <c r="Q153" s="1" t="s">
        <v>26</v>
      </c>
      <c r="R153">
        <v>1</v>
      </c>
      <c r="S153" s="1" t="s">
        <v>39</v>
      </c>
      <c r="T153" s="1" t="s">
        <v>51</v>
      </c>
    </row>
    <row r="154" spans="1:20" x14ac:dyDescent="0.25">
      <c r="A154" s="1" t="s">
        <v>20</v>
      </c>
      <c r="B154">
        <v>25</v>
      </c>
      <c r="C154">
        <v>19</v>
      </c>
      <c r="D154">
        <v>27</v>
      </c>
      <c r="E154">
        <v>3</v>
      </c>
      <c r="F154" s="1" t="s">
        <v>21</v>
      </c>
      <c r="G154" s="1" t="s">
        <v>41</v>
      </c>
      <c r="H154" s="1" t="s">
        <v>24</v>
      </c>
      <c r="I154" s="1" t="s">
        <v>24</v>
      </c>
      <c r="J154" s="1" t="s">
        <v>23</v>
      </c>
      <c r="K154" s="1" t="s">
        <v>24</v>
      </c>
      <c r="L154" s="1" t="s">
        <v>24</v>
      </c>
      <c r="M154" s="1" t="s">
        <v>24</v>
      </c>
      <c r="N154" s="1" t="s">
        <v>123</v>
      </c>
      <c r="O154">
        <v>4</v>
      </c>
      <c r="P154">
        <v>826</v>
      </c>
      <c r="Q154" s="1" t="s">
        <v>26</v>
      </c>
      <c r="R154">
        <v>8</v>
      </c>
      <c r="S154" s="1" t="s">
        <v>33</v>
      </c>
      <c r="T154" s="1" t="s">
        <v>58</v>
      </c>
    </row>
    <row r="155" spans="1:20" x14ac:dyDescent="0.25">
      <c r="A155" s="1" t="s">
        <v>35</v>
      </c>
      <c r="B155">
        <v>35</v>
      </c>
      <c r="C155">
        <v>17</v>
      </c>
      <c r="D155">
        <v>27</v>
      </c>
      <c r="E155">
        <v>5</v>
      </c>
      <c r="F155" s="1" t="s">
        <v>46</v>
      </c>
      <c r="G155" s="1" t="s">
        <v>41</v>
      </c>
      <c r="H155" s="1" t="s">
        <v>24</v>
      </c>
      <c r="I155" s="1" t="s">
        <v>24</v>
      </c>
      <c r="J155" s="1" t="s">
        <v>24</v>
      </c>
      <c r="K155" s="1" t="s">
        <v>23</v>
      </c>
      <c r="L155" s="1" t="s">
        <v>23</v>
      </c>
      <c r="M155" s="1" t="s">
        <v>24</v>
      </c>
      <c r="N155" s="1" t="s">
        <v>117</v>
      </c>
      <c r="O155">
        <v>35</v>
      </c>
      <c r="P155">
        <v>787</v>
      </c>
      <c r="Q155" s="1" t="s">
        <v>36</v>
      </c>
      <c r="R155">
        <v>6</v>
      </c>
      <c r="S155" s="1" t="s">
        <v>47</v>
      </c>
      <c r="T155" s="1" t="s">
        <v>40</v>
      </c>
    </row>
    <row r="156" spans="1:20" x14ac:dyDescent="0.25">
      <c r="A156" s="1" t="s">
        <v>61</v>
      </c>
      <c r="B156">
        <v>47</v>
      </c>
      <c r="C156">
        <v>6</v>
      </c>
      <c r="D156">
        <v>27</v>
      </c>
      <c r="E156">
        <v>4</v>
      </c>
      <c r="F156" s="1" t="s">
        <v>55</v>
      </c>
      <c r="G156" s="1" t="s">
        <v>22</v>
      </c>
      <c r="H156" s="1" t="s">
        <v>24</v>
      </c>
      <c r="I156" s="1" t="s">
        <v>24</v>
      </c>
      <c r="J156" s="1" t="s">
        <v>23</v>
      </c>
      <c r="K156" s="1" t="s">
        <v>24</v>
      </c>
      <c r="L156" s="1" t="s">
        <v>24</v>
      </c>
      <c r="M156" s="1" t="s">
        <v>24</v>
      </c>
      <c r="N156" s="1" t="s">
        <v>62</v>
      </c>
      <c r="O156">
        <v>3</v>
      </c>
      <c r="P156">
        <v>3981</v>
      </c>
      <c r="Q156" s="1" t="s">
        <v>36</v>
      </c>
      <c r="R156">
        <v>5</v>
      </c>
      <c r="S156" s="1" t="s">
        <v>57</v>
      </c>
      <c r="T156" s="1" t="s">
        <v>58</v>
      </c>
    </row>
    <row r="157" spans="1:20" x14ac:dyDescent="0.25">
      <c r="A157" s="1" t="s">
        <v>82</v>
      </c>
      <c r="B157">
        <v>43</v>
      </c>
      <c r="C157">
        <v>14</v>
      </c>
      <c r="D157">
        <v>27</v>
      </c>
      <c r="E157">
        <v>4</v>
      </c>
      <c r="F157" s="1" t="s">
        <v>46</v>
      </c>
      <c r="G157" s="1" t="s">
        <v>38</v>
      </c>
      <c r="H157" s="1" t="s">
        <v>24</v>
      </c>
      <c r="I157" s="1" t="s">
        <v>24</v>
      </c>
      <c r="J157" s="1" t="s">
        <v>24</v>
      </c>
      <c r="K157" s="1" t="s">
        <v>24</v>
      </c>
      <c r="L157" s="1" t="s">
        <v>24</v>
      </c>
      <c r="M157" s="1" t="s">
        <v>24</v>
      </c>
      <c r="N157" s="1" t="s">
        <v>80</v>
      </c>
      <c r="O157">
        <v>4</v>
      </c>
      <c r="P157">
        <v>2884</v>
      </c>
      <c r="Q157" s="1" t="s">
        <v>44</v>
      </c>
      <c r="R157">
        <v>5</v>
      </c>
      <c r="S157" s="1" t="s">
        <v>50</v>
      </c>
      <c r="T157" s="1" t="s">
        <v>28</v>
      </c>
    </row>
    <row r="158" spans="1:20" x14ac:dyDescent="0.25">
      <c r="A158" s="1" t="s">
        <v>37</v>
      </c>
      <c r="B158">
        <v>31</v>
      </c>
      <c r="C158">
        <v>8</v>
      </c>
      <c r="D158">
        <v>27</v>
      </c>
      <c r="E158">
        <v>3</v>
      </c>
      <c r="F158" s="1" t="s">
        <v>31</v>
      </c>
      <c r="G158" s="1" t="s">
        <v>41</v>
      </c>
      <c r="H158" s="1" t="s">
        <v>23</v>
      </c>
      <c r="I158" s="1" t="s">
        <v>24</v>
      </c>
      <c r="J158" s="1" t="s">
        <v>23</v>
      </c>
      <c r="K158" s="1" t="s">
        <v>23</v>
      </c>
      <c r="L158" s="1" t="s">
        <v>24</v>
      </c>
      <c r="M158" s="1" t="s">
        <v>24</v>
      </c>
      <c r="N158" s="1" t="s">
        <v>25</v>
      </c>
      <c r="O158">
        <v>3</v>
      </c>
      <c r="P158">
        <v>3773</v>
      </c>
      <c r="Q158" s="1" t="s">
        <v>26</v>
      </c>
      <c r="R158">
        <v>2</v>
      </c>
      <c r="S158" s="1" t="s">
        <v>39</v>
      </c>
      <c r="T158" s="1" t="s">
        <v>40</v>
      </c>
    </row>
    <row r="159" spans="1:20" x14ac:dyDescent="0.25">
      <c r="A159" s="1" t="s">
        <v>48</v>
      </c>
      <c r="B159">
        <v>92</v>
      </c>
      <c r="C159">
        <v>12</v>
      </c>
      <c r="D159">
        <v>27</v>
      </c>
      <c r="E159">
        <v>4</v>
      </c>
      <c r="F159" s="1" t="s">
        <v>55</v>
      </c>
      <c r="G159" s="1" t="s">
        <v>29</v>
      </c>
      <c r="H159" s="1" t="s">
        <v>24</v>
      </c>
      <c r="I159" s="1" t="s">
        <v>23</v>
      </c>
      <c r="J159" s="1" t="s">
        <v>23</v>
      </c>
      <c r="K159" s="1" t="s">
        <v>23</v>
      </c>
      <c r="L159" s="1" t="s">
        <v>24</v>
      </c>
      <c r="M159" s="1" t="s">
        <v>24</v>
      </c>
      <c r="N159" s="1" t="s">
        <v>105</v>
      </c>
      <c r="O159">
        <v>45</v>
      </c>
      <c r="P159">
        <v>188</v>
      </c>
      <c r="Q159" s="1" t="s">
        <v>49</v>
      </c>
      <c r="R159">
        <v>2</v>
      </c>
      <c r="S159" s="1" t="s">
        <v>56</v>
      </c>
      <c r="T159" s="1" t="s">
        <v>34</v>
      </c>
    </row>
    <row r="160" spans="1:20" x14ac:dyDescent="0.25">
      <c r="A160" s="1" t="s">
        <v>20</v>
      </c>
      <c r="B160">
        <v>20</v>
      </c>
      <c r="C160">
        <v>10</v>
      </c>
      <c r="D160">
        <v>27</v>
      </c>
      <c r="E160">
        <v>4</v>
      </c>
      <c r="F160" s="1" t="s">
        <v>55</v>
      </c>
      <c r="G160" s="1" t="s">
        <v>41</v>
      </c>
      <c r="H160" s="1" t="s">
        <v>24</v>
      </c>
      <c r="I160" s="1" t="s">
        <v>24</v>
      </c>
      <c r="J160" s="1" t="s">
        <v>23</v>
      </c>
      <c r="K160" s="1" t="s">
        <v>24</v>
      </c>
      <c r="L160" s="1" t="s">
        <v>24</v>
      </c>
      <c r="M160" s="1" t="s">
        <v>24</v>
      </c>
      <c r="N160" s="1" t="s">
        <v>122</v>
      </c>
      <c r="O160">
        <v>4</v>
      </c>
      <c r="P160">
        <v>2916</v>
      </c>
      <c r="Q160" s="1" t="s">
        <v>26</v>
      </c>
      <c r="R160">
        <v>2</v>
      </c>
      <c r="S160" s="1" t="s">
        <v>56</v>
      </c>
      <c r="T160" s="1" t="s">
        <v>28</v>
      </c>
    </row>
    <row r="161" spans="1:20" x14ac:dyDescent="0.25">
      <c r="A161" s="1" t="s">
        <v>20</v>
      </c>
      <c r="B161">
        <v>113</v>
      </c>
      <c r="C161">
        <v>38</v>
      </c>
      <c r="D161">
        <v>27</v>
      </c>
      <c r="E161">
        <v>4</v>
      </c>
      <c r="F161" s="1" t="s">
        <v>31</v>
      </c>
      <c r="G161" s="1" t="s">
        <v>22</v>
      </c>
      <c r="H161" s="1" t="s">
        <v>24</v>
      </c>
      <c r="I161" s="1" t="s">
        <v>24</v>
      </c>
      <c r="J161" s="1" t="s">
        <v>23</v>
      </c>
      <c r="K161" s="1" t="s">
        <v>24</v>
      </c>
      <c r="L161" s="1" t="s">
        <v>24</v>
      </c>
      <c r="M161" s="1" t="s">
        <v>24</v>
      </c>
      <c r="N161" s="1" t="s">
        <v>106</v>
      </c>
      <c r="O161">
        <v>5</v>
      </c>
      <c r="P161">
        <v>2034</v>
      </c>
      <c r="Q161" s="1" t="s">
        <v>26</v>
      </c>
      <c r="R161">
        <v>1</v>
      </c>
      <c r="S161" s="1" t="s">
        <v>39</v>
      </c>
      <c r="T161" s="1" t="s">
        <v>40</v>
      </c>
    </row>
    <row r="162" spans="1:20" x14ac:dyDescent="0.25">
      <c r="A162" s="1" t="s">
        <v>20</v>
      </c>
      <c r="B162">
        <v>8</v>
      </c>
      <c r="C162">
        <v>7</v>
      </c>
      <c r="D162">
        <v>26</v>
      </c>
      <c r="E162">
        <v>2</v>
      </c>
      <c r="F162" s="1" t="s">
        <v>55</v>
      </c>
      <c r="G162" s="1" t="s">
        <v>41</v>
      </c>
      <c r="H162" s="1" t="s">
        <v>23</v>
      </c>
      <c r="I162" s="1" t="s">
        <v>24</v>
      </c>
      <c r="J162" s="1" t="s">
        <v>23</v>
      </c>
      <c r="K162" s="1" t="s">
        <v>23</v>
      </c>
      <c r="L162" s="1" t="s">
        <v>24</v>
      </c>
      <c r="M162" s="1" t="s">
        <v>24</v>
      </c>
      <c r="N162" s="1" t="s">
        <v>25</v>
      </c>
      <c r="O162">
        <v>3</v>
      </c>
      <c r="P162">
        <v>3773</v>
      </c>
      <c r="Q162" s="1" t="s">
        <v>26</v>
      </c>
      <c r="R162">
        <v>10</v>
      </c>
      <c r="S162" s="1" t="s">
        <v>57</v>
      </c>
      <c r="T162" s="1" t="s">
        <v>58</v>
      </c>
    </row>
    <row r="163" spans="1:20" x14ac:dyDescent="0.25">
      <c r="A163" s="1" t="s">
        <v>37</v>
      </c>
      <c r="B163">
        <v>40</v>
      </c>
      <c r="C163">
        <v>12</v>
      </c>
      <c r="D163">
        <v>26</v>
      </c>
      <c r="E163">
        <v>5</v>
      </c>
      <c r="F163" s="1" t="s">
        <v>55</v>
      </c>
      <c r="G163" s="1" t="s">
        <v>22</v>
      </c>
      <c r="H163" s="1" t="s">
        <v>24</v>
      </c>
      <c r="I163" s="1" t="s">
        <v>24</v>
      </c>
      <c r="J163" s="1" t="s">
        <v>24</v>
      </c>
      <c r="K163" s="1" t="s">
        <v>24</v>
      </c>
      <c r="L163" s="1" t="s">
        <v>24</v>
      </c>
      <c r="M163" s="1" t="s">
        <v>24</v>
      </c>
      <c r="N163" s="1" t="s">
        <v>100</v>
      </c>
      <c r="O163">
        <v>5</v>
      </c>
      <c r="P163">
        <v>2700</v>
      </c>
      <c r="Q163" s="1" t="s">
        <v>26</v>
      </c>
      <c r="R163">
        <v>7</v>
      </c>
      <c r="S163" s="1" t="s">
        <v>56</v>
      </c>
      <c r="T163" s="1" t="s">
        <v>34</v>
      </c>
    </row>
    <row r="164" spans="1:20" x14ac:dyDescent="0.25">
      <c r="A164" s="1" t="s">
        <v>20</v>
      </c>
      <c r="B164">
        <v>34</v>
      </c>
      <c r="C164">
        <v>8</v>
      </c>
      <c r="D164">
        <v>26</v>
      </c>
      <c r="E164">
        <v>4</v>
      </c>
      <c r="F164" s="1" t="s">
        <v>46</v>
      </c>
      <c r="G164" s="1" t="s">
        <v>29</v>
      </c>
      <c r="H164" s="1" t="s">
        <v>24</v>
      </c>
      <c r="I164" s="1" t="s">
        <v>24</v>
      </c>
      <c r="J164" s="1" t="s">
        <v>23</v>
      </c>
      <c r="K164" s="1" t="s">
        <v>24</v>
      </c>
      <c r="L164" s="1" t="s">
        <v>24</v>
      </c>
      <c r="M164" s="1" t="s">
        <v>24</v>
      </c>
      <c r="N164" s="1" t="s">
        <v>106</v>
      </c>
      <c r="O164">
        <v>5</v>
      </c>
      <c r="P164">
        <v>2034</v>
      </c>
      <c r="Q164" s="1" t="s">
        <v>26</v>
      </c>
      <c r="R164">
        <v>4</v>
      </c>
      <c r="S164" s="1" t="s">
        <v>47</v>
      </c>
      <c r="T164" s="1" t="s">
        <v>40</v>
      </c>
    </row>
    <row r="165" spans="1:20" x14ac:dyDescent="0.25">
      <c r="A165" s="1" t="s">
        <v>35</v>
      </c>
      <c r="B165">
        <v>61</v>
      </c>
      <c r="C165">
        <v>13</v>
      </c>
      <c r="D165">
        <v>26</v>
      </c>
      <c r="E165">
        <v>2</v>
      </c>
      <c r="F165" s="1" t="s">
        <v>21</v>
      </c>
      <c r="G165" s="1" t="s">
        <v>41</v>
      </c>
      <c r="H165" s="1" t="s">
        <v>24</v>
      </c>
      <c r="I165" s="1" t="s">
        <v>24</v>
      </c>
      <c r="J165" s="1" t="s">
        <v>23</v>
      </c>
      <c r="K165" s="1" t="s">
        <v>23</v>
      </c>
      <c r="L165" s="1" t="s">
        <v>23</v>
      </c>
      <c r="M165" s="1" t="s">
        <v>24</v>
      </c>
      <c r="N165" s="1" t="s">
        <v>115</v>
      </c>
      <c r="O165">
        <v>3</v>
      </c>
      <c r="P165">
        <v>315</v>
      </c>
      <c r="Q165" s="1" t="s">
        <v>36</v>
      </c>
      <c r="R165">
        <v>4</v>
      </c>
      <c r="S165" s="1" t="s">
        <v>33</v>
      </c>
      <c r="T165" s="1" t="s">
        <v>53</v>
      </c>
    </row>
    <row r="166" spans="1:20" x14ac:dyDescent="0.25">
      <c r="A166" s="1" t="s">
        <v>20</v>
      </c>
      <c r="B166">
        <v>91</v>
      </c>
      <c r="C166">
        <v>16</v>
      </c>
      <c r="D166">
        <v>26</v>
      </c>
      <c r="E166">
        <v>4</v>
      </c>
      <c r="F166" s="1" t="s">
        <v>46</v>
      </c>
      <c r="G166" s="1" t="s">
        <v>29</v>
      </c>
      <c r="H166" s="1" t="s">
        <v>24</v>
      </c>
      <c r="I166" s="1" t="s">
        <v>24</v>
      </c>
      <c r="J166" s="1" t="s">
        <v>23</v>
      </c>
      <c r="K166" s="1" t="s">
        <v>24</v>
      </c>
      <c r="L166" s="1" t="s">
        <v>24</v>
      </c>
      <c r="M166" s="1" t="s">
        <v>24</v>
      </c>
      <c r="N166" s="1" t="s">
        <v>95</v>
      </c>
      <c r="O166">
        <v>5</v>
      </c>
      <c r="P166">
        <v>3025</v>
      </c>
      <c r="Q166" s="1" t="s">
        <v>26</v>
      </c>
      <c r="R166">
        <v>3</v>
      </c>
      <c r="S166" s="1" t="s">
        <v>52</v>
      </c>
      <c r="T166" s="1" t="s">
        <v>51</v>
      </c>
    </row>
    <row r="167" spans="1:20" x14ac:dyDescent="0.25">
      <c r="A167" s="1" t="s">
        <v>20</v>
      </c>
      <c r="B167">
        <v>30</v>
      </c>
      <c r="C167">
        <v>6</v>
      </c>
      <c r="D167">
        <v>26</v>
      </c>
      <c r="E167">
        <v>4</v>
      </c>
      <c r="F167" s="1" t="s">
        <v>21</v>
      </c>
      <c r="G167" s="1" t="s">
        <v>41</v>
      </c>
      <c r="H167" s="1" t="s">
        <v>24</v>
      </c>
      <c r="I167" s="1" t="s">
        <v>24</v>
      </c>
      <c r="J167" s="1" t="s">
        <v>23</v>
      </c>
      <c r="K167" s="1" t="s">
        <v>24</v>
      </c>
      <c r="L167" s="1" t="s">
        <v>24</v>
      </c>
      <c r="M167" s="1" t="s">
        <v>24</v>
      </c>
      <c r="N167" s="1" t="s">
        <v>120</v>
      </c>
      <c r="O167">
        <v>5</v>
      </c>
      <c r="P167">
        <v>3933</v>
      </c>
      <c r="Q167" s="1" t="s">
        <v>26</v>
      </c>
      <c r="R167">
        <v>3</v>
      </c>
      <c r="S167" s="1" t="s">
        <v>33</v>
      </c>
      <c r="T167" s="1" t="s">
        <v>40</v>
      </c>
    </row>
    <row r="168" spans="1:20" x14ac:dyDescent="0.25">
      <c r="A168" s="1" t="s">
        <v>20</v>
      </c>
      <c r="B168">
        <v>73</v>
      </c>
      <c r="C168">
        <v>7</v>
      </c>
      <c r="D168">
        <v>26</v>
      </c>
      <c r="E168">
        <v>5</v>
      </c>
      <c r="F168" s="1" t="s">
        <v>46</v>
      </c>
      <c r="G168" s="1" t="s">
        <v>41</v>
      </c>
      <c r="H168" s="1" t="s">
        <v>24</v>
      </c>
      <c r="I168" s="1" t="s">
        <v>24</v>
      </c>
      <c r="J168" s="1" t="s">
        <v>23</v>
      </c>
      <c r="K168" s="1" t="s">
        <v>24</v>
      </c>
      <c r="L168" s="1" t="s">
        <v>24</v>
      </c>
      <c r="M168" s="1" t="s">
        <v>24</v>
      </c>
      <c r="N168" s="1" t="s">
        <v>122</v>
      </c>
      <c r="O168">
        <v>4</v>
      </c>
      <c r="P168">
        <v>2916</v>
      </c>
      <c r="Q168" s="1" t="s">
        <v>26</v>
      </c>
      <c r="R168">
        <v>3</v>
      </c>
      <c r="S168" s="1" t="s">
        <v>52</v>
      </c>
      <c r="T168" s="1" t="s">
        <v>28</v>
      </c>
    </row>
    <row r="169" spans="1:20" x14ac:dyDescent="0.25">
      <c r="A169" s="1" t="s">
        <v>48</v>
      </c>
      <c r="B169">
        <v>22</v>
      </c>
      <c r="C169">
        <v>13</v>
      </c>
      <c r="D169">
        <v>26</v>
      </c>
      <c r="E169">
        <v>4</v>
      </c>
      <c r="F169" s="1" t="s">
        <v>31</v>
      </c>
      <c r="G169" s="1" t="s">
        <v>41</v>
      </c>
      <c r="H169" s="1" t="s">
        <v>24</v>
      </c>
      <c r="I169" s="1" t="s">
        <v>24</v>
      </c>
      <c r="J169" s="1" t="s">
        <v>23</v>
      </c>
      <c r="K169" s="1" t="s">
        <v>24</v>
      </c>
      <c r="L169" s="1" t="s">
        <v>24</v>
      </c>
      <c r="M169" s="1" t="s">
        <v>24</v>
      </c>
      <c r="N169" s="1" t="s">
        <v>119</v>
      </c>
      <c r="O169">
        <v>5</v>
      </c>
      <c r="P169">
        <v>4027</v>
      </c>
      <c r="Q169" s="1" t="s">
        <v>49</v>
      </c>
      <c r="R169">
        <v>2</v>
      </c>
      <c r="S169" s="1" t="s">
        <v>42</v>
      </c>
      <c r="T169" s="1" t="s">
        <v>30</v>
      </c>
    </row>
    <row r="170" spans="1:20" x14ac:dyDescent="0.25">
      <c r="A170" s="1" t="s">
        <v>48</v>
      </c>
      <c r="B170">
        <v>83</v>
      </c>
      <c r="C170">
        <v>10</v>
      </c>
      <c r="D170">
        <v>26</v>
      </c>
      <c r="E170">
        <v>4</v>
      </c>
      <c r="F170" s="1" t="s">
        <v>31</v>
      </c>
      <c r="G170" s="1" t="s">
        <v>32</v>
      </c>
      <c r="H170" s="1" t="s">
        <v>24</v>
      </c>
      <c r="I170" s="1" t="s">
        <v>24</v>
      </c>
      <c r="J170" s="1" t="s">
        <v>23</v>
      </c>
      <c r="K170" s="1" t="s">
        <v>24</v>
      </c>
      <c r="L170" s="1" t="s">
        <v>24</v>
      </c>
      <c r="M170" s="1" t="s">
        <v>24</v>
      </c>
      <c r="N170" s="1" t="s">
        <v>119</v>
      </c>
      <c r="O170">
        <v>5</v>
      </c>
      <c r="P170">
        <v>4027</v>
      </c>
      <c r="Q170" s="1" t="s">
        <v>49</v>
      </c>
      <c r="R170">
        <v>1</v>
      </c>
      <c r="S170" s="1" t="s">
        <v>45</v>
      </c>
      <c r="T170" s="1" t="s">
        <v>40</v>
      </c>
    </row>
    <row r="171" spans="1:20" x14ac:dyDescent="0.25">
      <c r="A171" s="1" t="s">
        <v>65</v>
      </c>
      <c r="B171">
        <v>18</v>
      </c>
      <c r="C171">
        <v>13</v>
      </c>
      <c r="D171">
        <v>25</v>
      </c>
      <c r="E171">
        <v>5</v>
      </c>
      <c r="F171" s="1" t="s">
        <v>46</v>
      </c>
      <c r="G171" s="1" t="s">
        <v>38</v>
      </c>
      <c r="H171" s="1" t="s">
        <v>24</v>
      </c>
      <c r="I171" s="1" t="s">
        <v>24</v>
      </c>
      <c r="J171" s="1" t="s">
        <v>24</v>
      </c>
      <c r="K171" s="1" t="s">
        <v>24</v>
      </c>
      <c r="L171" s="1" t="s">
        <v>24</v>
      </c>
      <c r="M171" s="1" t="s">
        <v>24</v>
      </c>
      <c r="N171" s="1" t="s">
        <v>100</v>
      </c>
      <c r="O171">
        <v>5</v>
      </c>
      <c r="P171">
        <v>2700</v>
      </c>
      <c r="Q171" s="1" t="s">
        <v>36</v>
      </c>
      <c r="R171">
        <v>9</v>
      </c>
      <c r="S171" s="1" t="s">
        <v>52</v>
      </c>
      <c r="T171" s="1" t="s">
        <v>34</v>
      </c>
    </row>
    <row r="172" spans="1:20" x14ac:dyDescent="0.25">
      <c r="A172" s="1" t="s">
        <v>20</v>
      </c>
      <c r="B172">
        <v>20</v>
      </c>
      <c r="C172">
        <v>9</v>
      </c>
      <c r="D172">
        <v>25</v>
      </c>
      <c r="E172">
        <v>4</v>
      </c>
      <c r="F172" s="1" t="s">
        <v>21</v>
      </c>
      <c r="G172" s="1" t="s">
        <v>41</v>
      </c>
      <c r="H172" s="1" t="s">
        <v>24</v>
      </c>
      <c r="I172" s="1" t="s">
        <v>24</v>
      </c>
      <c r="J172" s="1" t="s">
        <v>23</v>
      </c>
      <c r="K172" s="1" t="s">
        <v>23</v>
      </c>
      <c r="L172" s="1" t="s">
        <v>23</v>
      </c>
      <c r="M172" s="1" t="s">
        <v>24</v>
      </c>
      <c r="N172" s="1" t="s">
        <v>115</v>
      </c>
      <c r="O172">
        <v>3</v>
      </c>
      <c r="P172">
        <v>315</v>
      </c>
      <c r="Q172" s="1" t="s">
        <v>26</v>
      </c>
      <c r="R172">
        <v>8</v>
      </c>
      <c r="S172" s="1" t="s">
        <v>60</v>
      </c>
      <c r="T172" s="1" t="s">
        <v>40</v>
      </c>
    </row>
    <row r="173" spans="1:20" x14ac:dyDescent="0.25">
      <c r="A173" s="1" t="s">
        <v>20</v>
      </c>
      <c r="B173">
        <v>56</v>
      </c>
      <c r="C173">
        <v>7</v>
      </c>
      <c r="D173">
        <v>25</v>
      </c>
      <c r="E173">
        <v>3</v>
      </c>
      <c r="F173" s="1" t="s">
        <v>46</v>
      </c>
      <c r="G173" s="1" t="s">
        <v>32</v>
      </c>
      <c r="H173" s="1" t="s">
        <v>24</v>
      </c>
      <c r="I173" s="1" t="s">
        <v>24</v>
      </c>
      <c r="J173" s="1" t="s">
        <v>23</v>
      </c>
      <c r="K173" s="1" t="s">
        <v>23</v>
      </c>
      <c r="L173" s="1" t="s">
        <v>23</v>
      </c>
      <c r="M173" s="1" t="s">
        <v>24</v>
      </c>
      <c r="N173" s="1" t="s">
        <v>115</v>
      </c>
      <c r="O173">
        <v>3</v>
      </c>
      <c r="P173">
        <v>315</v>
      </c>
      <c r="Q173" s="1" t="s">
        <v>26</v>
      </c>
      <c r="R173">
        <v>7</v>
      </c>
      <c r="S173" s="1" t="s">
        <v>50</v>
      </c>
      <c r="T173" s="1" t="s">
        <v>53</v>
      </c>
    </row>
    <row r="174" spans="1:20" x14ac:dyDescent="0.25">
      <c r="A174" s="1" t="s">
        <v>78</v>
      </c>
      <c r="B174">
        <v>22</v>
      </c>
      <c r="C174">
        <v>15</v>
      </c>
      <c r="D174">
        <v>25</v>
      </c>
      <c r="E174">
        <v>4</v>
      </c>
      <c r="F174" s="1" t="s">
        <v>55</v>
      </c>
      <c r="G174" s="1" t="s">
        <v>32</v>
      </c>
      <c r="H174" s="1" t="s">
        <v>24</v>
      </c>
      <c r="I174" s="1" t="s">
        <v>24</v>
      </c>
      <c r="J174" s="1" t="s">
        <v>23</v>
      </c>
      <c r="K174" s="1" t="s">
        <v>24</v>
      </c>
      <c r="L174" s="1" t="s">
        <v>24</v>
      </c>
      <c r="M174" s="1" t="s">
        <v>24</v>
      </c>
      <c r="N174" s="1" t="s">
        <v>108</v>
      </c>
      <c r="O174">
        <v>35</v>
      </c>
      <c r="P174">
        <v>1228</v>
      </c>
      <c r="Q174" s="1" t="s">
        <v>26</v>
      </c>
      <c r="R174">
        <v>6</v>
      </c>
      <c r="S174" s="1" t="s">
        <v>59</v>
      </c>
      <c r="T174" s="1" t="s">
        <v>58</v>
      </c>
    </row>
    <row r="175" spans="1:20" x14ac:dyDescent="0.25">
      <c r="A175" s="1" t="s">
        <v>20</v>
      </c>
      <c r="B175">
        <v>48</v>
      </c>
      <c r="C175">
        <v>8</v>
      </c>
      <c r="D175">
        <v>25</v>
      </c>
      <c r="E175">
        <v>4</v>
      </c>
      <c r="F175" s="1" t="s">
        <v>55</v>
      </c>
      <c r="G175" s="1" t="s">
        <v>41</v>
      </c>
      <c r="H175" s="1" t="s">
        <v>24</v>
      </c>
      <c r="I175" s="1" t="s">
        <v>24</v>
      </c>
      <c r="J175" s="1" t="s">
        <v>23</v>
      </c>
      <c r="K175" s="1" t="s">
        <v>24</v>
      </c>
      <c r="L175" s="1" t="s">
        <v>24</v>
      </c>
      <c r="M175" s="1" t="s">
        <v>24</v>
      </c>
      <c r="N175" s="1" t="s">
        <v>122</v>
      </c>
      <c r="O175">
        <v>4</v>
      </c>
      <c r="P175">
        <v>2916</v>
      </c>
      <c r="Q175" s="1" t="s">
        <v>26</v>
      </c>
      <c r="R175">
        <v>6</v>
      </c>
      <c r="S175" s="1" t="s">
        <v>59</v>
      </c>
      <c r="T175" s="1" t="s">
        <v>58</v>
      </c>
    </row>
    <row r="176" spans="1:20" x14ac:dyDescent="0.25">
      <c r="A176" s="1" t="s">
        <v>87</v>
      </c>
      <c r="B176">
        <v>62</v>
      </c>
      <c r="C176">
        <v>40</v>
      </c>
      <c r="D176">
        <v>25</v>
      </c>
      <c r="E176">
        <v>5</v>
      </c>
      <c r="F176" s="1" t="s">
        <v>46</v>
      </c>
      <c r="G176" s="1" t="s">
        <v>32</v>
      </c>
      <c r="H176" s="1" t="s">
        <v>24</v>
      </c>
      <c r="I176" s="1" t="s">
        <v>24</v>
      </c>
      <c r="J176" s="1" t="s">
        <v>23</v>
      </c>
      <c r="K176" s="1" t="s">
        <v>23</v>
      </c>
      <c r="L176" s="1" t="s">
        <v>24</v>
      </c>
      <c r="M176" s="1" t="s">
        <v>24</v>
      </c>
      <c r="N176" s="1" t="s">
        <v>109</v>
      </c>
      <c r="O176">
        <v>35</v>
      </c>
      <c r="P176">
        <v>732</v>
      </c>
      <c r="Q176" s="1" t="s">
        <v>44</v>
      </c>
      <c r="R176">
        <v>5</v>
      </c>
      <c r="S176" s="1" t="s">
        <v>52</v>
      </c>
      <c r="T176" s="1" t="s">
        <v>53</v>
      </c>
    </row>
    <row r="177" spans="1:20" x14ac:dyDescent="0.25">
      <c r="A177" s="1" t="s">
        <v>20</v>
      </c>
      <c r="B177">
        <v>36</v>
      </c>
      <c r="C177">
        <v>9</v>
      </c>
      <c r="D177">
        <v>25</v>
      </c>
      <c r="E177">
        <v>5</v>
      </c>
      <c r="F177" s="1" t="s">
        <v>31</v>
      </c>
      <c r="G177" s="1" t="s">
        <v>32</v>
      </c>
      <c r="H177" s="1" t="s">
        <v>23</v>
      </c>
      <c r="I177" s="1" t="s">
        <v>24</v>
      </c>
      <c r="J177" s="1" t="s">
        <v>23</v>
      </c>
      <c r="K177" s="1" t="s">
        <v>23</v>
      </c>
      <c r="L177" s="1" t="s">
        <v>24</v>
      </c>
      <c r="M177" s="1" t="s">
        <v>24</v>
      </c>
      <c r="N177" s="1" t="s">
        <v>25</v>
      </c>
      <c r="O177">
        <v>3</v>
      </c>
      <c r="P177">
        <v>3773</v>
      </c>
      <c r="Q177" s="1" t="s">
        <v>26</v>
      </c>
      <c r="R177">
        <v>2</v>
      </c>
      <c r="S177" s="1" t="s">
        <v>33</v>
      </c>
      <c r="T177" s="1" t="s">
        <v>34</v>
      </c>
    </row>
    <row r="178" spans="1:20" x14ac:dyDescent="0.25">
      <c r="A178" s="1" t="s">
        <v>43</v>
      </c>
      <c r="B178">
        <v>12</v>
      </c>
      <c r="C178">
        <v>4</v>
      </c>
      <c r="D178">
        <v>25</v>
      </c>
      <c r="E178">
        <v>3</v>
      </c>
      <c r="F178" s="1" t="s">
        <v>31</v>
      </c>
      <c r="G178" s="1" t="s">
        <v>32</v>
      </c>
      <c r="H178" s="1" t="s">
        <v>24</v>
      </c>
      <c r="I178" s="1" t="s">
        <v>24</v>
      </c>
      <c r="J178" s="1" t="s">
        <v>24</v>
      </c>
      <c r="K178" s="1" t="s">
        <v>24</v>
      </c>
      <c r="L178" s="1" t="s">
        <v>24</v>
      </c>
      <c r="M178" s="1" t="s">
        <v>24</v>
      </c>
      <c r="N178" s="1" t="s">
        <v>80</v>
      </c>
      <c r="O178">
        <v>4</v>
      </c>
      <c r="P178">
        <v>2884</v>
      </c>
      <c r="Q178" s="1" t="s">
        <v>44</v>
      </c>
      <c r="R178">
        <v>1</v>
      </c>
      <c r="S178" s="1" t="s">
        <v>45</v>
      </c>
      <c r="T178" s="1" t="s">
        <v>30</v>
      </c>
    </row>
    <row r="179" spans="1:20" x14ac:dyDescent="0.25">
      <c r="A179" s="1" t="s">
        <v>35</v>
      </c>
      <c r="B179">
        <v>35</v>
      </c>
      <c r="C179">
        <v>3</v>
      </c>
      <c r="D179">
        <v>25</v>
      </c>
      <c r="E179">
        <v>5</v>
      </c>
      <c r="F179" s="1" t="s">
        <v>55</v>
      </c>
      <c r="G179" s="1" t="s">
        <v>41</v>
      </c>
      <c r="H179" s="1" t="s">
        <v>24</v>
      </c>
      <c r="I179" s="1" t="s">
        <v>24</v>
      </c>
      <c r="J179" s="1" t="s">
        <v>23</v>
      </c>
      <c r="K179" s="1" t="s">
        <v>24</v>
      </c>
      <c r="L179" s="1" t="s">
        <v>24</v>
      </c>
      <c r="M179" s="1" t="s">
        <v>24</v>
      </c>
      <c r="N179" s="1" t="s">
        <v>123</v>
      </c>
      <c r="O179">
        <v>4</v>
      </c>
      <c r="P179">
        <v>826</v>
      </c>
      <c r="Q179" s="1" t="s">
        <v>36</v>
      </c>
      <c r="R179">
        <v>1</v>
      </c>
      <c r="S179" s="1" t="s">
        <v>57</v>
      </c>
      <c r="T179" s="1" t="s">
        <v>58</v>
      </c>
    </row>
    <row r="180" spans="1:20" x14ac:dyDescent="0.25">
      <c r="A180" s="1" t="s">
        <v>37</v>
      </c>
      <c r="B180">
        <v>19</v>
      </c>
      <c r="C180">
        <v>8</v>
      </c>
      <c r="D180">
        <v>24</v>
      </c>
      <c r="E180">
        <v>5</v>
      </c>
      <c r="F180" s="1" t="s">
        <v>46</v>
      </c>
      <c r="G180" s="1" t="s">
        <v>32</v>
      </c>
      <c r="H180" s="1" t="s">
        <v>24</v>
      </c>
      <c r="I180" s="1" t="s">
        <v>24</v>
      </c>
      <c r="J180" s="1" t="s">
        <v>23</v>
      </c>
      <c r="K180" s="1" t="s">
        <v>24</v>
      </c>
      <c r="L180" s="1" t="s">
        <v>24</v>
      </c>
      <c r="M180" s="1" t="s">
        <v>24</v>
      </c>
      <c r="N180" s="1" t="s">
        <v>119</v>
      </c>
      <c r="O180">
        <v>5</v>
      </c>
      <c r="P180">
        <v>4027</v>
      </c>
      <c r="Q180" s="1" t="s">
        <v>26</v>
      </c>
      <c r="R180">
        <v>10</v>
      </c>
      <c r="S180" s="1" t="s">
        <v>52</v>
      </c>
      <c r="T180" s="1" t="s">
        <v>51</v>
      </c>
    </row>
    <row r="181" spans="1:20" x14ac:dyDescent="0.25">
      <c r="A181" s="1" t="s">
        <v>20</v>
      </c>
      <c r="B181">
        <v>50</v>
      </c>
      <c r="C181">
        <v>14</v>
      </c>
      <c r="D181">
        <v>24</v>
      </c>
      <c r="E181">
        <v>5</v>
      </c>
      <c r="F181" s="1" t="s">
        <v>21</v>
      </c>
      <c r="G181" s="1" t="s">
        <v>22</v>
      </c>
      <c r="H181" s="1" t="s">
        <v>24</v>
      </c>
      <c r="I181" s="1" t="s">
        <v>24</v>
      </c>
      <c r="J181" s="1" t="s">
        <v>23</v>
      </c>
      <c r="K181" s="1" t="s">
        <v>24</v>
      </c>
      <c r="L181" s="1" t="s">
        <v>24</v>
      </c>
      <c r="M181" s="1" t="s">
        <v>24</v>
      </c>
      <c r="N181" s="1" t="s">
        <v>90</v>
      </c>
      <c r="O181">
        <v>5</v>
      </c>
      <c r="P181">
        <v>3348</v>
      </c>
      <c r="Q181" s="1" t="s">
        <v>26</v>
      </c>
      <c r="R181">
        <v>7</v>
      </c>
      <c r="S181" s="1" t="s">
        <v>27</v>
      </c>
      <c r="T181" s="1" t="s">
        <v>51</v>
      </c>
    </row>
    <row r="182" spans="1:20" x14ac:dyDescent="0.25">
      <c r="A182" s="1" t="s">
        <v>81</v>
      </c>
      <c r="B182">
        <v>24</v>
      </c>
      <c r="C182">
        <v>24</v>
      </c>
      <c r="D182">
        <v>24</v>
      </c>
      <c r="E182">
        <v>2</v>
      </c>
      <c r="F182" s="1" t="s">
        <v>46</v>
      </c>
      <c r="G182" s="1" t="s">
        <v>41</v>
      </c>
      <c r="H182" s="1" t="s">
        <v>24</v>
      </c>
      <c r="I182" s="1" t="s">
        <v>24</v>
      </c>
      <c r="J182" s="1" t="s">
        <v>23</v>
      </c>
      <c r="K182" s="1" t="s">
        <v>24</v>
      </c>
      <c r="L182" s="1" t="s">
        <v>24</v>
      </c>
      <c r="M182" s="1" t="s">
        <v>24</v>
      </c>
      <c r="N182" s="1" t="s">
        <v>92</v>
      </c>
      <c r="O182">
        <v>5</v>
      </c>
      <c r="P182">
        <v>2959</v>
      </c>
      <c r="Q182" s="1" t="s">
        <v>36</v>
      </c>
      <c r="R182">
        <v>7</v>
      </c>
      <c r="S182" s="1" t="s">
        <v>47</v>
      </c>
      <c r="T182" s="1" t="s">
        <v>51</v>
      </c>
    </row>
    <row r="183" spans="1:20" x14ac:dyDescent="0.25">
      <c r="A183" s="1" t="s">
        <v>20</v>
      </c>
      <c r="B183">
        <v>70</v>
      </c>
      <c r="C183">
        <v>27</v>
      </c>
      <c r="D183">
        <v>24</v>
      </c>
      <c r="E183">
        <v>4</v>
      </c>
      <c r="F183" s="1" t="s">
        <v>46</v>
      </c>
      <c r="G183" s="1" t="s">
        <v>22</v>
      </c>
      <c r="H183" s="1" t="s">
        <v>24</v>
      </c>
      <c r="I183" s="1" t="s">
        <v>24</v>
      </c>
      <c r="J183" s="1" t="s">
        <v>23</v>
      </c>
      <c r="K183" s="1" t="s">
        <v>24</v>
      </c>
      <c r="L183" s="1" t="s">
        <v>24</v>
      </c>
      <c r="M183" s="1" t="s">
        <v>24</v>
      </c>
      <c r="N183" s="1" t="s">
        <v>62</v>
      </c>
      <c r="O183">
        <v>3</v>
      </c>
      <c r="P183">
        <v>3981</v>
      </c>
      <c r="Q183" s="1" t="s">
        <v>26</v>
      </c>
      <c r="R183">
        <v>6</v>
      </c>
      <c r="S183" s="1" t="s">
        <v>50</v>
      </c>
      <c r="T183" s="1" t="s">
        <v>30</v>
      </c>
    </row>
    <row r="184" spans="1:20" x14ac:dyDescent="0.25">
      <c r="A184" s="1" t="s">
        <v>20</v>
      </c>
      <c r="B184">
        <v>78</v>
      </c>
      <c r="C184">
        <v>17</v>
      </c>
      <c r="D184">
        <v>24</v>
      </c>
      <c r="E184">
        <v>5</v>
      </c>
      <c r="F184" s="1" t="s">
        <v>46</v>
      </c>
      <c r="G184" s="1" t="s">
        <v>41</v>
      </c>
      <c r="H184" s="1" t="s">
        <v>24</v>
      </c>
      <c r="I184" s="1" t="s">
        <v>24</v>
      </c>
      <c r="J184" s="1" t="s">
        <v>23</v>
      </c>
      <c r="K184" s="1" t="s">
        <v>24</v>
      </c>
      <c r="L184" s="1" t="s">
        <v>24</v>
      </c>
      <c r="M184" s="1" t="s">
        <v>24</v>
      </c>
      <c r="N184" s="1" t="s">
        <v>102</v>
      </c>
      <c r="O184">
        <v>5</v>
      </c>
      <c r="P184">
        <v>1282</v>
      </c>
      <c r="Q184" s="1" t="s">
        <v>26</v>
      </c>
      <c r="R184">
        <v>5</v>
      </c>
      <c r="S184" s="1" t="s">
        <v>52</v>
      </c>
      <c r="T184" s="1" t="s">
        <v>58</v>
      </c>
    </row>
    <row r="185" spans="1:20" x14ac:dyDescent="0.25">
      <c r="A185" s="1" t="s">
        <v>20</v>
      </c>
      <c r="B185">
        <v>78</v>
      </c>
      <c r="C185">
        <v>17</v>
      </c>
      <c r="D185">
        <v>24</v>
      </c>
      <c r="E185">
        <v>4</v>
      </c>
      <c r="F185" s="1" t="s">
        <v>46</v>
      </c>
      <c r="G185" s="1" t="s">
        <v>41</v>
      </c>
      <c r="H185" s="1" t="s">
        <v>24</v>
      </c>
      <c r="I185" s="1" t="s">
        <v>24</v>
      </c>
      <c r="J185" s="1" t="s">
        <v>23</v>
      </c>
      <c r="K185" s="1" t="s">
        <v>24</v>
      </c>
      <c r="L185" s="1" t="s">
        <v>24</v>
      </c>
      <c r="M185" s="1" t="s">
        <v>24</v>
      </c>
      <c r="N185" s="1" t="s">
        <v>108</v>
      </c>
      <c r="O185">
        <v>35</v>
      </c>
      <c r="P185">
        <v>1228</v>
      </c>
      <c r="Q185" s="1" t="s">
        <v>26</v>
      </c>
      <c r="R185">
        <v>5</v>
      </c>
      <c r="S185" s="1" t="s">
        <v>52</v>
      </c>
      <c r="T185" s="1" t="s">
        <v>58</v>
      </c>
    </row>
    <row r="186" spans="1:20" x14ac:dyDescent="0.25">
      <c r="A186" s="1" t="s">
        <v>48</v>
      </c>
      <c r="B186">
        <v>20</v>
      </c>
      <c r="C186">
        <v>9</v>
      </c>
      <c r="D186">
        <v>24</v>
      </c>
      <c r="E186">
        <v>3</v>
      </c>
      <c r="F186" s="1" t="s">
        <v>46</v>
      </c>
      <c r="G186" s="1" t="s">
        <v>22</v>
      </c>
      <c r="H186" s="1" t="s">
        <v>23</v>
      </c>
      <c r="I186" s="1" t="s">
        <v>24</v>
      </c>
      <c r="J186" s="1" t="s">
        <v>23</v>
      </c>
      <c r="K186" s="1" t="s">
        <v>23</v>
      </c>
      <c r="L186" s="1" t="s">
        <v>24</v>
      </c>
      <c r="M186" s="1" t="s">
        <v>24</v>
      </c>
      <c r="N186" s="1" t="s">
        <v>25</v>
      </c>
      <c r="O186">
        <v>3</v>
      </c>
      <c r="P186">
        <v>3773</v>
      </c>
      <c r="Q186" s="1" t="s">
        <v>49</v>
      </c>
      <c r="R186">
        <v>4</v>
      </c>
      <c r="S186" s="1" t="s">
        <v>47</v>
      </c>
      <c r="T186" s="1" t="s">
        <v>34</v>
      </c>
    </row>
    <row r="187" spans="1:20" x14ac:dyDescent="0.25">
      <c r="A187" s="1" t="s">
        <v>37</v>
      </c>
      <c r="B187">
        <v>56</v>
      </c>
      <c r="C187">
        <v>18</v>
      </c>
      <c r="D187">
        <v>24</v>
      </c>
      <c r="E187">
        <v>5</v>
      </c>
      <c r="F187" s="1" t="s">
        <v>55</v>
      </c>
      <c r="G187" s="1" t="s">
        <v>22</v>
      </c>
      <c r="H187" s="1" t="s">
        <v>24</v>
      </c>
      <c r="I187" s="1" t="s">
        <v>24</v>
      </c>
      <c r="J187" s="1" t="s">
        <v>23</v>
      </c>
      <c r="K187" s="1" t="s">
        <v>23</v>
      </c>
      <c r="L187" s="1" t="s">
        <v>23</v>
      </c>
      <c r="M187" s="1" t="s">
        <v>24</v>
      </c>
      <c r="N187" s="1" t="s">
        <v>115</v>
      </c>
      <c r="O187">
        <v>3</v>
      </c>
      <c r="P187">
        <v>315</v>
      </c>
      <c r="Q187" s="1" t="s">
        <v>26</v>
      </c>
      <c r="R187">
        <v>4</v>
      </c>
      <c r="S187" s="1" t="s">
        <v>56</v>
      </c>
      <c r="T187" s="1" t="s">
        <v>34</v>
      </c>
    </row>
    <row r="188" spans="1:20" x14ac:dyDescent="0.25">
      <c r="A188" s="1" t="s">
        <v>35</v>
      </c>
      <c r="B188">
        <v>41</v>
      </c>
      <c r="C188">
        <v>7</v>
      </c>
      <c r="D188">
        <v>24</v>
      </c>
      <c r="E188">
        <v>4</v>
      </c>
      <c r="F188" s="1" t="s">
        <v>31</v>
      </c>
      <c r="G188" s="1" t="s">
        <v>41</v>
      </c>
      <c r="H188" s="1" t="s">
        <v>24</v>
      </c>
      <c r="I188" s="1" t="s">
        <v>24</v>
      </c>
      <c r="J188" s="1" t="s">
        <v>23</v>
      </c>
      <c r="K188" s="1" t="s">
        <v>24</v>
      </c>
      <c r="L188" s="1" t="s">
        <v>24</v>
      </c>
      <c r="M188" s="1" t="s">
        <v>23</v>
      </c>
      <c r="N188" s="1" t="s">
        <v>70</v>
      </c>
      <c r="O188">
        <v>4</v>
      </c>
      <c r="P188">
        <v>3003</v>
      </c>
      <c r="Q188" s="1" t="s">
        <v>36</v>
      </c>
      <c r="R188">
        <v>3</v>
      </c>
      <c r="S188" s="1" t="s">
        <v>45</v>
      </c>
      <c r="T188" s="1" t="s">
        <v>58</v>
      </c>
    </row>
    <row r="189" spans="1:20" x14ac:dyDescent="0.25">
      <c r="A189" s="1" t="s">
        <v>20</v>
      </c>
      <c r="B189">
        <v>53</v>
      </c>
      <c r="C189">
        <v>25</v>
      </c>
      <c r="D189">
        <v>24</v>
      </c>
      <c r="E189">
        <v>5</v>
      </c>
      <c r="F189" s="1" t="s">
        <v>21</v>
      </c>
      <c r="G189" s="1" t="s">
        <v>41</v>
      </c>
      <c r="H189" s="1" t="s">
        <v>24</v>
      </c>
      <c r="I189" s="1" t="s">
        <v>24</v>
      </c>
      <c r="J189" s="1" t="s">
        <v>23</v>
      </c>
      <c r="K189" s="1" t="s">
        <v>24</v>
      </c>
      <c r="L189" s="1" t="s">
        <v>24</v>
      </c>
      <c r="M189" s="1" t="s">
        <v>24</v>
      </c>
      <c r="N189" s="1" t="s">
        <v>102</v>
      </c>
      <c r="O189">
        <v>5</v>
      </c>
      <c r="P189">
        <v>1282</v>
      </c>
      <c r="Q189" s="1" t="s">
        <v>26</v>
      </c>
      <c r="R189">
        <v>3</v>
      </c>
      <c r="S189" s="1" t="s">
        <v>60</v>
      </c>
      <c r="T189" s="1" t="s">
        <v>53</v>
      </c>
    </row>
    <row r="190" spans="1:20" x14ac:dyDescent="0.25">
      <c r="A190" s="1" t="s">
        <v>20</v>
      </c>
      <c r="B190">
        <v>31</v>
      </c>
      <c r="C190">
        <v>11</v>
      </c>
      <c r="D190">
        <v>24</v>
      </c>
      <c r="E190">
        <v>5</v>
      </c>
      <c r="F190" s="1" t="s">
        <v>46</v>
      </c>
      <c r="G190" s="1" t="s">
        <v>41</v>
      </c>
      <c r="H190" s="1" t="s">
        <v>24</v>
      </c>
      <c r="I190" s="1" t="s">
        <v>24</v>
      </c>
      <c r="J190" s="1" t="s">
        <v>23</v>
      </c>
      <c r="K190" s="1" t="s">
        <v>23</v>
      </c>
      <c r="L190" s="1" t="s">
        <v>23</v>
      </c>
      <c r="M190" s="1" t="s">
        <v>24</v>
      </c>
      <c r="N190" s="1" t="s">
        <v>115</v>
      </c>
      <c r="O190">
        <v>3</v>
      </c>
      <c r="P190">
        <v>315</v>
      </c>
      <c r="Q190" s="1" t="s">
        <v>26</v>
      </c>
      <c r="R190">
        <v>2</v>
      </c>
      <c r="S190" s="1" t="s">
        <v>47</v>
      </c>
      <c r="T190" s="1" t="s">
        <v>51</v>
      </c>
    </row>
    <row r="191" spans="1:20" x14ac:dyDescent="0.25">
      <c r="A191" s="1" t="s">
        <v>20</v>
      </c>
      <c r="B191">
        <v>16</v>
      </c>
      <c r="C191">
        <v>14</v>
      </c>
      <c r="D191">
        <v>23</v>
      </c>
      <c r="E191">
        <v>5</v>
      </c>
      <c r="F191" s="1" t="s">
        <v>31</v>
      </c>
      <c r="G191" s="1" t="s">
        <v>41</v>
      </c>
      <c r="H191" s="1" t="s">
        <v>24</v>
      </c>
      <c r="I191" s="1" t="s">
        <v>24</v>
      </c>
      <c r="J191" s="1" t="s">
        <v>23</v>
      </c>
      <c r="K191" s="1" t="s">
        <v>24</v>
      </c>
      <c r="L191" s="1" t="s">
        <v>24</v>
      </c>
      <c r="M191" s="1" t="s">
        <v>24</v>
      </c>
      <c r="N191" s="1" t="s">
        <v>106</v>
      </c>
      <c r="O191">
        <v>5</v>
      </c>
      <c r="P191">
        <v>2034</v>
      </c>
      <c r="Q191" s="1" t="s">
        <v>26</v>
      </c>
      <c r="R191">
        <v>7</v>
      </c>
      <c r="S191" s="1" t="s">
        <v>39</v>
      </c>
      <c r="T191" s="1" t="s">
        <v>30</v>
      </c>
    </row>
    <row r="192" spans="1:20" x14ac:dyDescent="0.25">
      <c r="A192" s="1" t="s">
        <v>81</v>
      </c>
      <c r="B192">
        <v>64</v>
      </c>
      <c r="C192">
        <v>33</v>
      </c>
      <c r="D192">
        <v>23</v>
      </c>
      <c r="E192">
        <v>4</v>
      </c>
      <c r="F192" s="1" t="s">
        <v>21</v>
      </c>
      <c r="G192" s="1" t="s">
        <v>32</v>
      </c>
      <c r="H192" s="1" t="s">
        <v>24</v>
      </c>
      <c r="I192" s="1" t="s">
        <v>24</v>
      </c>
      <c r="J192" s="1" t="s">
        <v>23</v>
      </c>
      <c r="K192" s="1" t="s">
        <v>23</v>
      </c>
      <c r="L192" s="1" t="s">
        <v>24</v>
      </c>
      <c r="M192" s="1" t="s">
        <v>24</v>
      </c>
      <c r="N192" s="1" t="s">
        <v>109</v>
      </c>
      <c r="O192">
        <v>35</v>
      </c>
      <c r="P192">
        <v>732</v>
      </c>
      <c r="Q192" s="1" t="s">
        <v>36</v>
      </c>
      <c r="R192">
        <v>7</v>
      </c>
      <c r="S192" s="1" t="s">
        <v>60</v>
      </c>
      <c r="T192" s="1" t="s">
        <v>28</v>
      </c>
    </row>
    <row r="193" spans="1:20" x14ac:dyDescent="0.25">
      <c r="A193" s="1" t="s">
        <v>20</v>
      </c>
      <c r="B193">
        <v>49</v>
      </c>
      <c r="C193">
        <v>8</v>
      </c>
      <c r="D193">
        <v>23</v>
      </c>
      <c r="E193">
        <v>5</v>
      </c>
      <c r="F193" s="1" t="s">
        <v>31</v>
      </c>
      <c r="G193" s="1" t="s">
        <v>41</v>
      </c>
      <c r="H193" s="1" t="s">
        <v>24</v>
      </c>
      <c r="I193" s="1" t="s">
        <v>24</v>
      </c>
      <c r="J193" s="1" t="s">
        <v>23</v>
      </c>
      <c r="K193" s="1" t="s">
        <v>24</v>
      </c>
      <c r="L193" s="1" t="s">
        <v>24</v>
      </c>
      <c r="M193" s="1" t="s">
        <v>24</v>
      </c>
      <c r="N193" s="1" t="s">
        <v>102</v>
      </c>
      <c r="O193">
        <v>5</v>
      </c>
      <c r="P193">
        <v>1282</v>
      </c>
      <c r="Q193" s="1" t="s">
        <v>26</v>
      </c>
      <c r="R193">
        <v>5</v>
      </c>
      <c r="S193" s="1" t="s">
        <v>39</v>
      </c>
      <c r="T193" s="1" t="s">
        <v>58</v>
      </c>
    </row>
    <row r="194" spans="1:20" x14ac:dyDescent="0.25">
      <c r="A194" s="1" t="s">
        <v>20</v>
      </c>
      <c r="B194">
        <v>28</v>
      </c>
      <c r="C194">
        <v>5</v>
      </c>
      <c r="D194">
        <v>23</v>
      </c>
      <c r="E194">
        <v>5</v>
      </c>
      <c r="F194" s="1" t="s">
        <v>46</v>
      </c>
      <c r="G194" s="1" t="s">
        <v>41</v>
      </c>
      <c r="H194" s="1" t="s">
        <v>24</v>
      </c>
      <c r="I194" s="1" t="s">
        <v>24</v>
      </c>
      <c r="J194" s="1" t="s">
        <v>23</v>
      </c>
      <c r="K194" s="1" t="s">
        <v>24</v>
      </c>
      <c r="L194" s="1" t="s">
        <v>24</v>
      </c>
      <c r="M194" s="1" t="s">
        <v>24</v>
      </c>
      <c r="N194" s="1" t="s">
        <v>120</v>
      </c>
      <c r="O194">
        <v>5</v>
      </c>
      <c r="P194">
        <v>3933</v>
      </c>
      <c r="Q194" s="1" t="s">
        <v>26</v>
      </c>
      <c r="R194">
        <v>5</v>
      </c>
      <c r="S194" s="1" t="s">
        <v>50</v>
      </c>
      <c r="T194" s="1" t="s">
        <v>30</v>
      </c>
    </row>
    <row r="195" spans="1:20" x14ac:dyDescent="0.25">
      <c r="A195" s="1" t="s">
        <v>118</v>
      </c>
      <c r="B195">
        <v>23</v>
      </c>
      <c r="C195">
        <v>9</v>
      </c>
      <c r="D195">
        <v>23</v>
      </c>
      <c r="E195">
        <v>3</v>
      </c>
      <c r="F195" s="1" t="s">
        <v>55</v>
      </c>
      <c r="G195" s="1" t="s">
        <v>32</v>
      </c>
      <c r="H195" s="1" t="s">
        <v>24</v>
      </c>
      <c r="I195" s="1" t="s">
        <v>24</v>
      </c>
      <c r="J195" s="1" t="s">
        <v>24</v>
      </c>
      <c r="K195" s="1" t="s">
        <v>23</v>
      </c>
      <c r="L195" s="1" t="s">
        <v>23</v>
      </c>
      <c r="M195" s="1" t="s">
        <v>24</v>
      </c>
      <c r="N195" s="1" t="s">
        <v>117</v>
      </c>
      <c r="O195">
        <v>35</v>
      </c>
      <c r="P195">
        <v>787</v>
      </c>
      <c r="Q195" s="1" t="s">
        <v>44</v>
      </c>
      <c r="R195">
        <v>4</v>
      </c>
      <c r="S195" s="1" t="s">
        <v>59</v>
      </c>
      <c r="T195" s="1" t="s">
        <v>58</v>
      </c>
    </row>
    <row r="196" spans="1:20" x14ac:dyDescent="0.25">
      <c r="A196" s="1" t="s">
        <v>20</v>
      </c>
      <c r="B196">
        <v>50</v>
      </c>
      <c r="C196">
        <v>15</v>
      </c>
      <c r="D196">
        <v>23</v>
      </c>
      <c r="E196">
        <v>4</v>
      </c>
      <c r="F196" s="1" t="s">
        <v>46</v>
      </c>
      <c r="G196" s="1" t="s">
        <v>41</v>
      </c>
      <c r="H196" s="1" t="s">
        <v>24</v>
      </c>
      <c r="I196" s="1" t="s">
        <v>24</v>
      </c>
      <c r="J196" s="1" t="s">
        <v>23</v>
      </c>
      <c r="K196" s="1" t="s">
        <v>24</v>
      </c>
      <c r="L196" s="1" t="s">
        <v>24</v>
      </c>
      <c r="M196" s="1" t="s">
        <v>24</v>
      </c>
      <c r="N196" s="1" t="s">
        <v>122</v>
      </c>
      <c r="O196">
        <v>4</v>
      </c>
      <c r="P196">
        <v>2916</v>
      </c>
      <c r="Q196" s="1" t="s">
        <v>26</v>
      </c>
      <c r="R196">
        <v>3</v>
      </c>
      <c r="S196" s="1" t="s">
        <v>50</v>
      </c>
      <c r="T196" s="1" t="s">
        <v>30</v>
      </c>
    </row>
    <row r="197" spans="1:20" x14ac:dyDescent="0.25">
      <c r="A197" s="1" t="s">
        <v>20</v>
      </c>
      <c r="B197">
        <v>23</v>
      </c>
      <c r="C197">
        <v>21</v>
      </c>
      <c r="D197">
        <v>22</v>
      </c>
      <c r="E197">
        <v>3</v>
      </c>
      <c r="F197" s="1" t="s">
        <v>46</v>
      </c>
      <c r="G197" s="1" t="s">
        <v>32</v>
      </c>
      <c r="H197" s="1" t="s">
        <v>24</v>
      </c>
      <c r="I197" s="1" t="s">
        <v>24</v>
      </c>
      <c r="J197" s="1" t="s">
        <v>23</v>
      </c>
      <c r="K197" s="1" t="s">
        <v>24</v>
      </c>
      <c r="L197" s="1" t="s">
        <v>24</v>
      </c>
      <c r="M197" s="1" t="s">
        <v>24</v>
      </c>
      <c r="N197" s="1" t="s">
        <v>123</v>
      </c>
      <c r="O197">
        <v>4</v>
      </c>
      <c r="P197">
        <v>826</v>
      </c>
      <c r="Q197" s="1" t="s">
        <v>26</v>
      </c>
      <c r="R197">
        <v>7</v>
      </c>
      <c r="S197" s="1" t="s">
        <v>52</v>
      </c>
      <c r="T197" s="1" t="s">
        <v>51</v>
      </c>
    </row>
    <row r="198" spans="1:20" x14ac:dyDescent="0.25">
      <c r="A198" s="1" t="s">
        <v>20</v>
      </c>
      <c r="B198">
        <v>42</v>
      </c>
      <c r="C198">
        <v>8</v>
      </c>
      <c r="D198">
        <v>22</v>
      </c>
      <c r="E198">
        <v>4</v>
      </c>
      <c r="F198" s="1" t="s">
        <v>46</v>
      </c>
      <c r="G198" s="1" t="s">
        <v>22</v>
      </c>
      <c r="H198" s="1" t="s">
        <v>24</v>
      </c>
      <c r="I198" s="1" t="s">
        <v>24</v>
      </c>
      <c r="J198" s="1" t="s">
        <v>23</v>
      </c>
      <c r="K198" s="1" t="s">
        <v>24</v>
      </c>
      <c r="L198" s="1" t="s">
        <v>24</v>
      </c>
      <c r="M198" s="1" t="s">
        <v>24</v>
      </c>
      <c r="N198" s="1" t="s">
        <v>95</v>
      </c>
      <c r="O198">
        <v>5</v>
      </c>
      <c r="P198">
        <v>3025</v>
      </c>
      <c r="Q198" s="1" t="s">
        <v>26</v>
      </c>
      <c r="R198">
        <v>6</v>
      </c>
      <c r="S198" s="1" t="s">
        <v>47</v>
      </c>
      <c r="T198" s="1" t="s">
        <v>58</v>
      </c>
    </row>
    <row r="199" spans="1:20" x14ac:dyDescent="0.25">
      <c r="A199" s="1" t="s">
        <v>20</v>
      </c>
      <c r="B199">
        <v>108</v>
      </c>
      <c r="C199">
        <v>20</v>
      </c>
      <c r="D199">
        <v>22</v>
      </c>
      <c r="E199">
        <v>3</v>
      </c>
      <c r="F199" s="1" t="s">
        <v>31</v>
      </c>
      <c r="G199" s="1" t="s">
        <v>29</v>
      </c>
      <c r="H199" s="1" t="s">
        <v>24</v>
      </c>
      <c r="I199" s="1" t="s">
        <v>24</v>
      </c>
      <c r="J199" s="1" t="s">
        <v>24</v>
      </c>
      <c r="K199" s="1" t="s">
        <v>24</v>
      </c>
      <c r="L199" s="1" t="s">
        <v>24</v>
      </c>
      <c r="M199" s="1" t="s">
        <v>24</v>
      </c>
      <c r="N199" s="1" t="s">
        <v>114</v>
      </c>
      <c r="O199">
        <v>3</v>
      </c>
      <c r="P199">
        <v>716</v>
      </c>
      <c r="Q199" s="1" t="s">
        <v>26</v>
      </c>
      <c r="R199">
        <v>5</v>
      </c>
      <c r="S199" s="1" t="s">
        <v>45</v>
      </c>
      <c r="T199" s="1" t="s">
        <v>28</v>
      </c>
    </row>
    <row r="200" spans="1:20" x14ac:dyDescent="0.25">
      <c r="A200" s="1" t="s">
        <v>48</v>
      </c>
      <c r="B200">
        <v>32</v>
      </c>
      <c r="C200">
        <v>12</v>
      </c>
      <c r="D200">
        <v>22</v>
      </c>
      <c r="E200">
        <v>4</v>
      </c>
      <c r="F200" s="1" t="s">
        <v>46</v>
      </c>
      <c r="G200" s="1" t="s">
        <v>41</v>
      </c>
      <c r="H200" s="1" t="s">
        <v>24</v>
      </c>
      <c r="I200" s="1" t="s">
        <v>24</v>
      </c>
      <c r="J200" s="1" t="s">
        <v>23</v>
      </c>
      <c r="K200" s="1" t="s">
        <v>23</v>
      </c>
      <c r="L200" s="1" t="s">
        <v>23</v>
      </c>
      <c r="M200" s="1" t="s">
        <v>24</v>
      </c>
      <c r="N200" s="1" t="s">
        <v>115</v>
      </c>
      <c r="O200">
        <v>3</v>
      </c>
      <c r="P200">
        <v>315</v>
      </c>
      <c r="Q200" s="1" t="s">
        <v>49</v>
      </c>
      <c r="R200">
        <v>5</v>
      </c>
      <c r="S200" s="1" t="s">
        <v>47</v>
      </c>
      <c r="T200" s="1" t="s">
        <v>51</v>
      </c>
    </row>
    <row r="201" spans="1:20" x14ac:dyDescent="0.25">
      <c r="A201" s="1" t="s">
        <v>37</v>
      </c>
      <c r="B201">
        <v>26</v>
      </c>
      <c r="C201">
        <v>7</v>
      </c>
      <c r="D201">
        <v>22</v>
      </c>
      <c r="E201">
        <v>4</v>
      </c>
      <c r="F201" s="1" t="s">
        <v>21</v>
      </c>
      <c r="G201" s="1" t="s">
        <v>41</v>
      </c>
      <c r="H201" s="1" t="s">
        <v>24</v>
      </c>
      <c r="I201" s="1" t="s">
        <v>23</v>
      </c>
      <c r="J201" s="1" t="s">
        <v>23</v>
      </c>
      <c r="K201" s="1" t="s">
        <v>23</v>
      </c>
      <c r="L201" s="1" t="s">
        <v>24</v>
      </c>
      <c r="M201" s="1" t="s">
        <v>24</v>
      </c>
      <c r="N201" s="1" t="s">
        <v>105</v>
      </c>
      <c r="O201">
        <v>45</v>
      </c>
      <c r="P201">
        <v>188</v>
      </c>
      <c r="Q201" s="1" t="s">
        <v>26</v>
      </c>
      <c r="R201">
        <v>4</v>
      </c>
      <c r="S201" s="1" t="s">
        <v>60</v>
      </c>
      <c r="T201" s="1" t="s">
        <v>51</v>
      </c>
    </row>
    <row r="202" spans="1:20" x14ac:dyDescent="0.25">
      <c r="A202" s="1" t="s">
        <v>37</v>
      </c>
      <c r="B202">
        <v>45</v>
      </c>
      <c r="C202">
        <v>6</v>
      </c>
      <c r="D202">
        <v>22</v>
      </c>
      <c r="E202">
        <v>5</v>
      </c>
      <c r="F202" s="1" t="s">
        <v>46</v>
      </c>
      <c r="G202" s="1" t="s">
        <v>41</v>
      </c>
      <c r="H202" s="1" t="s">
        <v>24</v>
      </c>
      <c r="I202" s="1" t="s">
        <v>24</v>
      </c>
      <c r="J202" s="1" t="s">
        <v>23</v>
      </c>
      <c r="K202" s="1" t="s">
        <v>23</v>
      </c>
      <c r="L202" s="1" t="s">
        <v>23</v>
      </c>
      <c r="M202" s="1" t="s">
        <v>24</v>
      </c>
      <c r="N202" s="1" t="s">
        <v>115</v>
      </c>
      <c r="O202">
        <v>3</v>
      </c>
      <c r="P202">
        <v>315</v>
      </c>
      <c r="Q202" s="1" t="s">
        <v>26</v>
      </c>
      <c r="R202">
        <v>3</v>
      </c>
      <c r="S202" s="1" t="s">
        <v>50</v>
      </c>
      <c r="T202" s="1" t="s">
        <v>28</v>
      </c>
    </row>
    <row r="203" spans="1:20" x14ac:dyDescent="0.25">
      <c r="A203" s="1" t="s">
        <v>20</v>
      </c>
      <c r="B203">
        <v>73</v>
      </c>
      <c r="C203">
        <v>13</v>
      </c>
      <c r="D203">
        <v>22</v>
      </c>
      <c r="E203">
        <v>4</v>
      </c>
      <c r="F203" s="1" t="s">
        <v>21</v>
      </c>
      <c r="G203" s="1" t="s">
        <v>41</v>
      </c>
      <c r="H203" s="1" t="s">
        <v>24</v>
      </c>
      <c r="I203" s="1" t="s">
        <v>24</v>
      </c>
      <c r="J203" s="1" t="s">
        <v>23</v>
      </c>
      <c r="K203" s="1" t="s">
        <v>24</v>
      </c>
      <c r="L203" s="1" t="s">
        <v>24</v>
      </c>
      <c r="M203" s="1" t="s">
        <v>23</v>
      </c>
      <c r="N203" s="1" t="s">
        <v>70</v>
      </c>
      <c r="O203">
        <v>4</v>
      </c>
      <c r="P203">
        <v>3003</v>
      </c>
      <c r="Q203" s="1" t="s">
        <v>26</v>
      </c>
      <c r="R203">
        <v>2</v>
      </c>
      <c r="S203" s="1" t="s">
        <v>33</v>
      </c>
      <c r="T203" s="1" t="s">
        <v>40</v>
      </c>
    </row>
    <row r="204" spans="1:20" x14ac:dyDescent="0.25">
      <c r="A204" s="1" t="s">
        <v>20</v>
      </c>
      <c r="B204">
        <v>20</v>
      </c>
      <c r="C204">
        <v>11</v>
      </c>
      <c r="D204">
        <v>21</v>
      </c>
      <c r="E204">
        <v>5</v>
      </c>
      <c r="F204" s="1" t="s">
        <v>46</v>
      </c>
      <c r="G204" s="1" t="s">
        <v>32</v>
      </c>
      <c r="H204" s="1" t="s">
        <v>24</v>
      </c>
      <c r="I204" s="1" t="s">
        <v>24</v>
      </c>
      <c r="J204" s="1" t="s">
        <v>23</v>
      </c>
      <c r="K204" s="1" t="s">
        <v>24</v>
      </c>
      <c r="L204" s="1" t="s">
        <v>24</v>
      </c>
      <c r="M204" s="1" t="s">
        <v>24</v>
      </c>
      <c r="N204" s="1" t="s">
        <v>95</v>
      </c>
      <c r="O204">
        <v>5</v>
      </c>
      <c r="P204">
        <v>3025</v>
      </c>
      <c r="Q204" s="1" t="s">
        <v>26</v>
      </c>
      <c r="R204">
        <v>9</v>
      </c>
      <c r="S204" s="1" t="s">
        <v>50</v>
      </c>
      <c r="T204" s="1" t="s">
        <v>30</v>
      </c>
    </row>
    <row r="205" spans="1:20" x14ac:dyDescent="0.25">
      <c r="A205" s="1" t="s">
        <v>20</v>
      </c>
      <c r="B205">
        <v>66</v>
      </c>
      <c r="C205">
        <v>13</v>
      </c>
      <c r="D205">
        <v>21</v>
      </c>
      <c r="E205">
        <v>5</v>
      </c>
      <c r="F205" s="1" t="s">
        <v>31</v>
      </c>
      <c r="G205" s="1" t="s">
        <v>22</v>
      </c>
      <c r="H205" s="1" t="s">
        <v>24</v>
      </c>
      <c r="I205" s="1" t="s">
        <v>24</v>
      </c>
      <c r="J205" s="1" t="s">
        <v>23</v>
      </c>
      <c r="K205" s="1" t="s">
        <v>23</v>
      </c>
      <c r="L205" s="1" t="s">
        <v>23</v>
      </c>
      <c r="M205" s="1" t="s">
        <v>24</v>
      </c>
      <c r="N205" s="1" t="s">
        <v>115</v>
      </c>
      <c r="O205">
        <v>3</v>
      </c>
      <c r="P205">
        <v>315</v>
      </c>
      <c r="Q205" s="1" t="s">
        <v>26</v>
      </c>
      <c r="R205">
        <v>9</v>
      </c>
      <c r="S205" s="1" t="s">
        <v>39</v>
      </c>
      <c r="T205" s="1" t="s">
        <v>30</v>
      </c>
    </row>
    <row r="206" spans="1:20" x14ac:dyDescent="0.25">
      <c r="A206" s="1" t="s">
        <v>61</v>
      </c>
      <c r="B206">
        <v>23</v>
      </c>
      <c r="C206">
        <v>7</v>
      </c>
      <c r="D206">
        <v>21</v>
      </c>
      <c r="E206">
        <v>4</v>
      </c>
      <c r="F206" s="1" t="s">
        <v>31</v>
      </c>
      <c r="G206" s="1" t="s">
        <v>22</v>
      </c>
      <c r="H206" s="1" t="s">
        <v>24</v>
      </c>
      <c r="I206" s="1" t="s">
        <v>24</v>
      </c>
      <c r="J206" s="1" t="s">
        <v>23</v>
      </c>
      <c r="K206" s="1" t="s">
        <v>24</v>
      </c>
      <c r="L206" s="1" t="s">
        <v>24</v>
      </c>
      <c r="M206" s="1" t="s">
        <v>24</v>
      </c>
      <c r="N206" s="1" t="s">
        <v>92</v>
      </c>
      <c r="O206">
        <v>5</v>
      </c>
      <c r="P206">
        <v>2959</v>
      </c>
      <c r="Q206" s="1" t="s">
        <v>36</v>
      </c>
      <c r="R206">
        <v>7</v>
      </c>
      <c r="S206" s="1" t="s">
        <v>42</v>
      </c>
      <c r="T206" s="1" t="s">
        <v>28</v>
      </c>
    </row>
    <row r="207" spans="1:20" x14ac:dyDescent="0.25">
      <c r="A207" s="1" t="s">
        <v>20</v>
      </c>
      <c r="B207">
        <v>20</v>
      </c>
      <c r="C207">
        <v>17</v>
      </c>
      <c r="D207">
        <v>21</v>
      </c>
      <c r="E207">
        <v>3</v>
      </c>
      <c r="F207" s="1" t="s">
        <v>31</v>
      </c>
      <c r="G207" s="1" t="s">
        <v>22</v>
      </c>
      <c r="H207" s="1" t="s">
        <v>24</v>
      </c>
      <c r="I207" s="1" t="s">
        <v>24</v>
      </c>
      <c r="J207" s="1" t="s">
        <v>23</v>
      </c>
      <c r="K207" s="1" t="s">
        <v>24</v>
      </c>
      <c r="L207" s="1" t="s">
        <v>24</v>
      </c>
      <c r="M207" s="1" t="s">
        <v>24</v>
      </c>
      <c r="N207" s="1" t="s">
        <v>123</v>
      </c>
      <c r="O207">
        <v>4</v>
      </c>
      <c r="P207">
        <v>826</v>
      </c>
      <c r="Q207" s="1" t="s">
        <v>26</v>
      </c>
      <c r="R207">
        <v>4</v>
      </c>
      <c r="S207" s="1" t="s">
        <v>45</v>
      </c>
      <c r="T207" s="1" t="s">
        <v>53</v>
      </c>
    </row>
    <row r="208" spans="1:20" x14ac:dyDescent="0.25">
      <c r="A208" s="1" t="s">
        <v>20</v>
      </c>
      <c r="B208">
        <v>59</v>
      </c>
      <c r="C208">
        <v>9</v>
      </c>
      <c r="D208">
        <v>21</v>
      </c>
      <c r="E208">
        <v>5</v>
      </c>
      <c r="F208" s="1" t="s">
        <v>31</v>
      </c>
      <c r="G208" s="1" t="s">
        <v>41</v>
      </c>
      <c r="H208" s="1" t="s">
        <v>24</v>
      </c>
      <c r="I208" s="1" t="s">
        <v>23</v>
      </c>
      <c r="J208" s="1" t="s">
        <v>23</v>
      </c>
      <c r="K208" s="1" t="s">
        <v>23</v>
      </c>
      <c r="L208" s="1" t="s">
        <v>24</v>
      </c>
      <c r="M208" s="1" t="s">
        <v>24</v>
      </c>
      <c r="N208" s="1" t="s">
        <v>105</v>
      </c>
      <c r="O208">
        <v>45</v>
      </c>
      <c r="P208">
        <v>188</v>
      </c>
      <c r="Q208" s="1" t="s">
        <v>26</v>
      </c>
      <c r="R208">
        <v>3</v>
      </c>
      <c r="S208" s="1" t="s">
        <v>45</v>
      </c>
      <c r="T208" s="1" t="s">
        <v>58</v>
      </c>
    </row>
    <row r="209" spans="1:20" x14ac:dyDescent="0.25">
      <c r="A209" s="1" t="s">
        <v>67</v>
      </c>
      <c r="B209">
        <v>29</v>
      </c>
      <c r="C209">
        <v>8</v>
      </c>
      <c r="D209">
        <v>21</v>
      </c>
      <c r="E209">
        <v>3</v>
      </c>
      <c r="F209" s="1" t="s">
        <v>55</v>
      </c>
      <c r="G209" s="1" t="s">
        <v>29</v>
      </c>
      <c r="H209" s="1" t="s">
        <v>24</v>
      </c>
      <c r="I209" s="1" t="s">
        <v>24</v>
      </c>
      <c r="J209" s="1" t="s">
        <v>23</v>
      </c>
      <c r="K209" s="1" t="s">
        <v>24</v>
      </c>
      <c r="L209" s="1" t="s">
        <v>24</v>
      </c>
      <c r="M209" s="1" t="s">
        <v>24</v>
      </c>
      <c r="N209" s="1" t="s">
        <v>62</v>
      </c>
      <c r="O209">
        <v>3</v>
      </c>
      <c r="P209">
        <v>3981</v>
      </c>
      <c r="Q209" s="1" t="s">
        <v>36</v>
      </c>
      <c r="R209">
        <v>2</v>
      </c>
      <c r="S209" s="1" t="s">
        <v>56</v>
      </c>
      <c r="T209" s="1" t="s">
        <v>51</v>
      </c>
    </row>
    <row r="210" spans="1:20" x14ac:dyDescent="0.25">
      <c r="A210" s="1" t="s">
        <v>20</v>
      </c>
      <c r="B210">
        <v>46</v>
      </c>
      <c r="C210">
        <v>4</v>
      </c>
      <c r="D210">
        <v>21</v>
      </c>
      <c r="E210">
        <v>4</v>
      </c>
      <c r="F210" s="1" t="s">
        <v>31</v>
      </c>
      <c r="G210" s="1" t="s">
        <v>41</v>
      </c>
      <c r="H210" s="1" t="s">
        <v>24</v>
      </c>
      <c r="I210" s="1" t="s">
        <v>24</v>
      </c>
      <c r="J210" s="1" t="s">
        <v>23</v>
      </c>
      <c r="K210" s="1" t="s">
        <v>24</v>
      </c>
      <c r="L210" s="1" t="s">
        <v>24</v>
      </c>
      <c r="M210" s="1" t="s">
        <v>24</v>
      </c>
      <c r="N210" s="1" t="s">
        <v>90</v>
      </c>
      <c r="O210">
        <v>5</v>
      </c>
      <c r="P210">
        <v>3348</v>
      </c>
      <c r="Q210" s="1" t="s">
        <v>26</v>
      </c>
      <c r="R210">
        <v>2</v>
      </c>
      <c r="S210" s="1" t="s">
        <v>42</v>
      </c>
      <c r="T210" s="1" t="s">
        <v>34</v>
      </c>
    </row>
    <row r="211" spans="1:20" x14ac:dyDescent="0.25">
      <c r="A211" s="1" t="s">
        <v>84</v>
      </c>
      <c r="B211">
        <v>3</v>
      </c>
      <c r="C211">
        <v>3</v>
      </c>
      <c r="D211">
        <v>20</v>
      </c>
      <c r="E211">
        <v>1</v>
      </c>
      <c r="F211" s="1" t="s">
        <v>21</v>
      </c>
      <c r="G211" s="1" t="s">
        <v>29</v>
      </c>
      <c r="H211" s="1" t="s">
        <v>24</v>
      </c>
      <c r="I211" s="1" t="s">
        <v>24</v>
      </c>
      <c r="J211" s="1" t="s">
        <v>23</v>
      </c>
      <c r="K211" s="1" t="s">
        <v>24</v>
      </c>
      <c r="L211" s="1" t="s">
        <v>24</v>
      </c>
      <c r="M211" s="1" t="s">
        <v>24</v>
      </c>
      <c r="N211" s="1" t="s">
        <v>106</v>
      </c>
      <c r="O211">
        <v>5</v>
      </c>
      <c r="P211">
        <v>2034</v>
      </c>
      <c r="Q211" s="1" t="s">
        <v>44</v>
      </c>
      <c r="R211">
        <v>5</v>
      </c>
      <c r="S211" s="1" t="s">
        <v>27</v>
      </c>
      <c r="T211" s="1" t="s">
        <v>40</v>
      </c>
    </row>
    <row r="212" spans="1:20" x14ac:dyDescent="0.25">
      <c r="A212" s="1" t="s">
        <v>20</v>
      </c>
      <c r="B212">
        <v>21</v>
      </c>
      <c r="C212">
        <v>13</v>
      </c>
      <c r="D212">
        <v>20</v>
      </c>
      <c r="E212">
        <v>5</v>
      </c>
      <c r="F212" s="1" t="s">
        <v>21</v>
      </c>
      <c r="G212" s="1" t="s">
        <v>29</v>
      </c>
      <c r="H212" s="1" t="s">
        <v>24</v>
      </c>
      <c r="I212" s="1" t="s">
        <v>24</v>
      </c>
      <c r="J212" s="1" t="s">
        <v>23</v>
      </c>
      <c r="K212" s="1" t="s">
        <v>23</v>
      </c>
      <c r="L212" s="1" t="s">
        <v>24</v>
      </c>
      <c r="M212" s="1" t="s">
        <v>24</v>
      </c>
      <c r="N212" s="1" t="s">
        <v>109</v>
      </c>
      <c r="O212">
        <v>35</v>
      </c>
      <c r="P212">
        <v>732</v>
      </c>
      <c r="Q212" s="1" t="s">
        <v>26</v>
      </c>
      <c r="R212">
        <v>5</v>
      </c>
      <c r="S212" s="1" t="s">
        <v>33</v>
      </c>
      <c r="T212" s="1" t="s">
        <v>28</v>
      </c>
    </row>
    <row r="213" spans="1:20" x14ac:dyDescent="0.25">
      <c r="A213" s="1" t="s">
        <v>37</v>
      </c>
      <c r="B213">
        <v>7</v>
      </c>
      <c r="C213">
        <v>5</v>
      </c>
      <c r="D213">
        <v>20</v>
      </c>
      <c r="E213">
        <v>4</v>
      </c>
      <c r="F213" s="1" t="s">
        <v>21</v>
      </c>
      <c r="G213" s="1" t="s">
        <v>41</v>
      </c>
      <c r="H213" s="1" t="s">
        <v>24</v>
      </c>
      <c r="I213" s="1" t="s">
        <v>24</v>
      </c>
      <c r="J213" s="1" t="s">
        <v>24</v>
      </c>
      <c r="K213" s="1" t="s">
        <v>24</v>
      </c>
      <c r="L213" s="1" t="s">
        <v>24</v>
      </c>
      <c r="M213" s="1" t="s">
        <v>24</v>
      </c>
      <c r="N213" s="1" t="s">
        <v>100</v>
      </c>
      <c r="O213">
        <v>5</v>
      </c>
      <c r="P213">
        <v>2700</v>
      </c>
      <c r="Q213" s="1" t="s">
        <v>26</v>
      </c>
      <c r="R213">
        <v>3</v>
      </c>
      <c r="S213" s="1" t="s">
        <v>33</v>
      </c>
      <c r="T213" s="1" t="s">
        <v>34</v>
      </c>
    </row>
    <row r="214" spans="1:20" x14ac:dyDescent="0.25">
      <c r="A214" s="1" t="s">
        <v>61</v>
      </c>
      <c r="B214">
        <v>31</v>
      </c>
      <c r="C214">
        <v>11</v>
      </c>
      <c r="D214">
        <v>20</v>
      </c>
      <c r="E214">
        <v>4</v>
      </c>
      <c r="F214" s="1" t="s">
        <v>21</v>
      </c>
      <c r="G214" s="1" t="s">
        <v>29</v>
      </c>
      <c r="H214" s="1" t="s">
        <v>24</v>
      </c>
      <c r="I214" s="1" t="s">
        <v>24</v>
      </c>
      <c r="J214" s="1" t="s">
        <v>23</v>
      </c>
      <c r="K214" s="1" t="s">
        <v>24</v>
      </c>
      <c r="L214" s="1" t="s">
        <v>24</v>
      </c>
      <c r="M214" s="1" t="s">
        <v>24</v>
      </c>
      <c r="N214" s="1" t="s">
        <v>119</v>
      </c>
      <c r="O214">
        <v>5</v>
      </c>
      <c r="P214">
        <v>4027</v>
      </c>
      <c r="Q214" s="1" t="s">
        <v>36</v>
      </c>
      <c r="R214">
        <v>2</v>
      </c>
      <c r="S214" s="1" t="s">
        <v>27</v>
      </c>
      <c r="T214" s="1" t="s">
        <v>30</v>
      </c>
    </row>
    <row r="215" spans="1:20" x14ac:dyDescent="0.25">
      <c r="A215" s="1" t="s">
        <v>20</v>
      </c>
      <c r="B215">
        <v>43</v>
      </c>
      <c r="C215">
        <v>8</v>
      </c>
      <c r="D215">
        <v>20</v>
      </c>
      <c r="E215">
        <v>4</v>
      </c>
      <c r="F215" s="1" t="s">
        <v>31</v>
      </c>
      <c r="G215" s="1" t="s">
        <v>41</v>
      </c>
      <c r="H215" s="1" t="s">
        <v>24</v>
      </c>
      <c r="I215" s="1" t="s">
        <v>24</v>
      </c>
      <c r="J215" s="1" t="s">
        <v>24</v>
      </c>
      <c r="K215" s="1" t="s">
        <v>24</v>
      </c>
      <c r="L215" s="1" t="s">
        <v>24</v>
      </c>
      <c r="M215" s="1" t="s">
        <v>24</v>
      </c>
      <c r="N215" s="1" t="s">
        <v>80</v>
      </c>
      <c r="O215">
        <v>4</v>
      </c>
      <c r="P215">
        <v>2884</v>
      </c>
      <c r="Q215" s="1" t="s">
        <v>26</v>
      </c>
      <c r="R215">
        <v>1</v>
      </c>
      <c r="S215" s="1" t="s">
        <v>39</v>
      </c>
      <c r="T215" s="1" t="s">
        <v>30</v>
      </c>
    </row>
    <row r="216" spans="1:20" x14ac:dyDescent="0.25">
      <c r="A216" s="1" t="s">
        <v>113</v>
      </c>
      <c r="B216">
        <v>47</v>
      </c>
      <c r="C216">
        <v>23</v>
      </c>
      <c r="D216">
        <v>20</v>
      </c>
      <c r="E216">
        <v>4</v>
      </c>
      <c r="F216" s="1" t="s">
        <v>55</v>
      </c>
      <c r="G216" s="1" t="s">
        <v>41</v>
      </c>
      <c r="H216" s="1" t="s">
        <v>24</v>
      </c>
      <c r="I216" s="1" t="s">
        <v>24</v>
      </c>
      <c r="J216" s="1" t="s">
        <v>23</v>
      </c>
      <c r="K216" s="1" t="s">
        <v>23</v>
      </c>
      <c r="L216" s="1" t="s">
        <v>24</v>
      </c>
      <c r="M216" s="1" t="s">
        <v>24</v>
      </c>
      <c r="N216" s="1" t="s">
        <v>109</v>
      </c>
      <c r="O216">
        <v>35</v>
      </c>
      <c r="P216">
        <v>732</v>
      </c>
      <c r="Q216" s="1" t="s">
        <v>44</v>
      </c>
      <c r="R216">
        <v>1</v>
      </c>
      <c r="S216" s="1" t="s">
        <v>59</v>
      </c>
      <c r="T216" s="1" t="s">
        <v>28</v>
      </c>
    </row>
    <row r="217" spans="1:20" x14ac:dyDescent="0.25">
      <c r="A217" s="1" t="s">
        <v>54</v>
      </c>
      <c r="B217">
        <v>9</v>
      </c>
      <c r="C217">
        <v>6</v>
      </c>
      <c r="D217">
        <v>19</v>
      </c>
      <c r="E217">
        <v>3</v>
      </c>
      <c r="F217" s="1" t="s">
        <v>46</v>
      </c>
      <c r="G217" s="1" t="s">
        <v>41</v>
      </c>
      <c r="H217" s="1" t="s">
        <v>24</v>
      </c>
      <c r="I217" s="1" t="s">
        <v>24</v>
      </c>
      <c r="J217" s="1" t="s">
        <v>23</v>
      </c>
      <c r="K217" s="1" t="s">
        <v>24</v>
      </c>
      <c r="L217" s="1" t="s">
        <v>24</v>
      </c>
      <c r="M217" s="1" t="s">
        <v>23</v>
      </c>
      <c r="N217" s="1" t="s">
        <v>70</v>
      </c>
      <c r="O217">
        <v>4</v>
      </c>
      <c r="P217">
        <v>3003</v>
      </c>
      <c r="Q217" s="1" t="s">
        <v>49</v>
      </c>
      <c r="R217">
        <v>7</v>
      </c>
      <c r="S217" s="1" t="s">
        <v>50</v>
      </c>
      <c r="T217" s="1" t="s">
        <v>51</v>
      </c>
    </row>
    <row r="218" spans="1:20" x14ac:dyDescent="0.25">
      <c r="A218" s="1" t="s">
        <v>20</v>
      </c>
      <c r="B218">
        <v>35</v>
      </c>
      <c r="C218">
        <v>8</v>
      </c>
      <c r="D218">
        <v>19</v>
      </c>
      <c r="E218">
        <v>4</v>
      </c>
      <c r="F218" s="1" t="s">
        <v>55</v>
      </c>
      <c r="G218" s="1" t="s">
        <v>32</v>
      </c>
      <c r="H218" s="1" t="s">
        <v>24</v>
      </c>
      <c r="I218" s="1" t="s">
        <v>24</v>
      </c>
      <c r="J218" s="1" t="s">
        <v>23</v>
      </c>
      <c r="K218" s="1" t="s">
        <v>24</v>
      </c>
      <c r="L218" s="1" t="s">
        <v>24</v>
      </c>
      <c r="M218" s="1" t="s">
        <v>24</v>
      </c>
      <c r="N218" s="1" t="s">
        <v>62</v>
      </c>
      <c r="O218">
        <v>3</v>
      </c>
      <c r="P218">
        <v>3981</v>
      </c>
      <c r="Q218" s="1" t="s">
        <v>26</v>
      </c>
      <c r="R218">
        <v>6</v>
      </c>
      <c r="S218" s="1" t="s">
        <v>59</v>
      </c>
      <c r="T218" s="1" t="s">
        <v>53</v>
      </c>
    </row>
    <row r="219" spans="1:20" x14ac:dyDescent="0.25">
      <c r="A219" s="1" t="s">
        <v>20</v>
      </c>
      <c r="B219">
        <v>11</v>
      </c>
      <c r="C219">
        <v>3</v>
      </c>
      <c r="D219">
        <v>19</v>
      </c>
      <c r="E219">
        <v>4</v>
      </c>
      <c r="F219" s="1" t="s">
        <v>46</v>
      </c>
      <c r="G219" s="1" t="s">
        <v>41</v>
      </c>
      <c r="H219" s="1" t="s">
        <v>24</v>
      </c>
      <c r="I219" s="1" t="s">
        <v>24</v>
      </c>
      <c r="J219" s="1" t="s">
        <v>24</v>
      </c>
      <c r="K219" s="1" t="s">
        <v>24</v>
      </c>
      <c r="L219" s="1" t="s">
        <v>24</v>
      </c>
      <c r="M219" s="1" t="s">
        <v>24</v>
      </c>
      <c r="N219" s="1" t="s">
        <v>114</v>
      </c>
      <c r="O219">
        <v>3</v>
      </c>
      <c r="P219">
        <v>716</v>
      </c>
      <c r="Q219" s="1" t="s">
        <v>26</v>
      </c>
      <c r="R219">
        <v>6</v>
      </c>
      <c r="S219" s="1" t="s">
        <v>52</v>
      </c>
      <c r="T219" s="1" t="s">
        <v>58</v>
      </c>
    </row>
    <row r="220" spans="1:20" x14ac:dyDescent="0.25">
      <c r="A220" s="1" t="s">
        <v>20</v>
      </c>
      <c r="B220">
        <v>30</v>
      </c>
      <c r="C220">
        <v>27</v>
      </c>
      <c r="D220">
        <v>19</v>
      </c>
      <c r="E220">
        <v>5</v>
      </c>
      <c r="F220" s="1" t="s">
        <v>55</v>
      </c>
      <c r="G220" s="1" t="s">
        <v>38</v>
      </c>
      <c r="H220" s="1" t="s">
        <v>24</v>
      </c>
      <c r="I220" s="1" t="s">
        <v>24</v>
      </c>
      <c r="J220" s="1" t="s">
        <v>23</v>
      </c>
      <c r="K220" s="1" t="s">
        <v>24</v>
      </c>
      <c r="L220" s="1" t="s">
        <v>24</v>
      </c>
      <c r="M220" s="1" t="s">
        <v>24</v>
      </c>
      <c r="N220" s="1" t="s">
        <v>123</v>
      </c>
      <c r="O220">
        <v>4</v>
      </c>
      <c r="P220">
        <v>826</v>
      </c>
      <c r="Q220" s="1" t="s">
        <v>26</v>
      </c>
      <c r="R220">
        <v>6</v>
      </c>
      <c r="S220" s="1" t="s">
        <v>56</v>
      </c>
      <c r="T220" s="1" t="s">
        <v>30</v>
      </c>
    </row>
    <row r="221" spans="1:20" x14ac:dyDescent="0.25">
      <c r="A221" s="1" t="s">
        <v>35</v>
      </c>
      <c r="B221">
        <v>33</v>
      </c>
      <c r="C221">
        <v>12</v>
      </c>
      <c r="D221">
        <v>19</v>
      </c>
      <c r="E221">
        <v>3</v>
      </c>
      <c r="F221" s="1" t="s">
        <v>46</v>
      </c>
      <c r="G221" s="1" t="s">
        <v>32</v>
      </c>
      <c r="H221" s="1" t="s">
        <v>24</v>
      </c>
      <c r="I221" s="1" t="s">
        <v>24</v>
      </c>
      <c r="J221" s="1" t="s">
        <v>23</v>
      </c>
      <c r="K221" s="1" t="s">
        <v>24</v>
      </c>
      <c r="L221" s="1" t="s">
        <v>24</v>
      </c>
      <c r="M221" s="1" t="s">
        <v>23</v>
      </c>
      <c r="N221" s="1" t="s">
        <v>70</v>
      </c>
      <c r="O221">
        <v>4</v>
      </c>
      <c r="P221">
        <v>3003</v>
      </c>
      <c r="Q221" s="1" t="s">
        <v>36</v>
      </c>
      <c r="R221">
        <v>5</v>
      </c>
      <c r="S221" s="1" t="s">
        <v>52</v>
      </c>
      <c r="T221" s="1" t="s">
        <v>34</v>
      </c>
    </row>
    <row r="222" spans="1:20" x14ac:dyDescent="0.25">
      <c r="A222" s="1" t="s">
        <v>35</v>
      </c>
      <c r="B222">
        <v>48</v>
      </c>
      <c r="C222">
        <v>21</v>
      </c>
      <c r="D222">
        <v>19</v>
      </c>
      <c r="E222">
        <v>5</v>
      </c>
      <c r="F222" s="1" t="s">
        <v>46</v>
      </c>
      <c r="G222" s="1" t="s">
        <v>32</v>
      </c>
      <c r="H222" s="1" t="s">
        <v>24</v>
      </c>
      <c r="I222" s="1" t="s">
        <v>24</v>
      </c>
      <c r="J222" s="1" t="s">
        <v>23</v>
      </c>
      <c r="K222" s="1" t="s">
        <v>24</v>
      </c>
      <c r="L222" s="1" t="s">
        <v>24</v>
      </c>
      <c r="M222" s="1" t="s">
        <v>24</v>
      </c>
      <c r="N222" s="1" t="s">
        <v>108</v>
      </c>
      <c r="O222">
        <v>35</v>
      </c>
      <c r="P222">
        <v>1228</v>
      </c>
      <c r="Q222" s="1" t="s">
        <v>36</v>
      </c>
      <c r="R222">
        <v>4</v>
      </c>
      <c r="S222" s="1" t="s">
        <v>52</v>
      </c>
      <c r="T222" s="1" t="s">
        <v>30</v>
      </c>
    </row>
    <row r="223" spans="1:20" x14ac:dyDescent="0.25">
      <c r="A223" s="1" t="s">
        <v>48</v>
      </c>
      <c r="B223">
        <v>15</v>
      </c>
      <c r="C223">
        <v>6</v>
      </c>
      <c r="D223">
        <v>19</v>
      </c>
      <c r="E223">
        <v>4</v>
      </c>
      <c r="F223" s="1" t="s">
        <v>46</v>
      </c>
      <c r="G223" s="1" t="s">
        <v>41</v>
      </c>
      <c r="H223" s="1" t="s">
        <v>24</v>
      </c>
      <c r="I223" s="1" t="s">
        <v>24</v>
      </c>
      <c r="J223" s="1" t="s">
        <v>23</v>
      </c>
      <c r="K223" s="1" t="s">
        <v>24</v>
      </c>
      <c r="L223" s="1" t="s">
        <v>24</v>
      </c>
      <c r="M223" s="1" t="s">
        <v>24</v>
      </c>
      <c r="N223" s="1" t="s">
        <v>119</v>
      </c>
      <c r="O223">
        <v>5</v>
      </c>
      <c r="P223">
        <v>4027</v>
      </c>
      <c r="Q223" s="1" t="s">
        <v>49</v>
      </c>
      <c r="R223">
        <v>4</v>
      </c>
      <c r="S223" s="1" t="s">
        <v>50</v>
      </c>
      <c r="T223" s="1" t="s">
        <v>51</v>
      </c>
    </row>
    <row r="224" spans="1:20" x14ac:dyDescent="0.25">
      <c r="A224" s="1" t="s">
        <v>82</v>
      </c>
      <c r="B224">
        <v>20</v>
      </c>
      <c r="C224">
        <v>18</v>
      </c>
      <c r="D224">
        <v>19</v>
      </c>
      <c r="E224">
        <v>2</v>
      </c>
      <c r="F224" s="1" t="s">
        <v>21</v>
      </c>
      <c r="G224" s="1" t="s">
        <v>32</v>
      </c>
      <c r="H224" s="1" t="s">
        <v>24</v>
      </c>
      <c r="I224" s="1" t="s">
        <v>24</v>
      </c>
      <c r="J224" s="1" t="s">
        <v>23</v>
      </c>
      <c r="K224" s="1" t="s">
        <v>24</v>
      </c>
      <c r="L224" s="1" t="s">
        <v>24</v>
      </c>
      <c r="M224" s="1" t="s">
        <v>24</v>
      </c>
      <c r="N224" s="1" t="s">
        <v>120</v>
      </c>
      <c r="O224">
        <v>5</v>
      </c>
      <c r="P224">
        <v>3933</v>
      </c>
      <c r="Q224" s="1" t="s">
        <v>44</v>
      </c>
      <c r="R224">
        <v>4</v>
      </c>
      <c r="S224" s="1" t="s">
        <v>60</v>
      </c>
      <c r="T224" s="1" t="s">
        <v>30</v>
      </c>
    </row>
    <row r="225" spans="1:20" x14ac:dyDescent="0.25">
      <c r="A225" s="1" t="s">
        <v>20</v>
      </c>
      <c r="B225">
        <v>70</v>
      </c>
      <c r="C225">
        <v>25</v>
      </c>
      <c r="D225">
        <v>19</v>
      </c>
      <c r="E225">
        <v>1</v>
      </c>
      <c r="F225" s="1" t="s">
        <v>31</v>
      </c>
      <c r="G225" s="1" t="s">
        <v>41</v>
      </c>
      <c r="H225" s="1" t="s">
        <v>24</v>
      </c>
      <c r="I225" s="1" t="s">
        <v>24</v>
      </c>
      <c r="J225" s="1" t="s">
        <v>23</v>
      </c>
      <c r="K225" s="1" t="s">
        <v>24</v>
      </c>
      <c r="L225" s="1" t="s">
        <v>24</v>
      </c>
      <c r="M225" s="1" t="s">
        <v>24</v>
      </c>
      <c r="N225" s="1" t="s">
        <v>108</v>
      </c>
      <c r="O225">
        <v>35</v>
      </c>
      <c r="P225">
        <v>1228</v>
      </c>
      <c r="Q225" s="1" t="s">
        <v>26</v>
      </c>
      <c r="R225">
        <v>3</v>
      </c>
      <c r="S225" s="1" t="s">
        <v>45</v>
      </c>
      <c r="T225" s="1" t="s">
        <v>30</v>
      </c>
    </row>
    <row r="226" spans="1:20" x14ac:dyDescent="0.25">
      <c r="A226" s="1" t="s">
        <v>37</v>
      </c>
      <c r="B226">
        <v>41</v>
      </c>
      <c r="C226">
        <v>9</v>
      </c>
      <c r="D226">
        <v>19</v>
      </c>
      <c r="E226">
        <v>3</v>
      </c>
      <c r="F226" s="1" t="s">
        <v>55</v>
      </c>
      <c r="G226" s="1" t="s">
        <v>41</v>
      </c>
      <c r="H226" s="1" t="s">
        <v>23</v>
      </c>
      <c r="I226" s="1" t="s">
        <v>24</v>
      </c>
      <c r="J226" s="1" t="s">
        <v>23</v>
      </c>
      <c r="K226" s="1" t="s">
        <v>23</v>
      </c>
      <c r="L226" s="1" t="s">
        <v>24</v>
      </c>
      <c r="M226" s="1" t="s">
        <v>24</v>
      </c>
      <c r="N226" s="1" t="s">
        <v>25</v>
      </c>
      <c r="O226">
        <v>3</v>
      </c>
      <c r="P226">
        <v>3773</v>
      </c>
      <c r="Q226" s="1" t="s">
        <v>26</v>
      </c>
      <c r="R226">
        <v>2</v>
      </c>
      <c r="S226" s="1" t="s">
        <v>57</v>
      </c>
      <c r="T226" s="1" t="s">
        <v>40</v>
      </c>
    </row>
    <row r="227" spans="1:20" x14ac:dyDescent="0.25">
      <c r="A227" s="1" t="s">
        <v>35</v>
      </c>
      <c r="B227">
        <v>18</v>
      </c>
      <c r="C227">
        <v>7</v>
      </c>
      <c r="D227">
        <v>19</v>
      </c>
      <c r="E227">
        <v>4</v>
      </c>
      <c r="F227" s="1" t="s">
        <v>21</v>
      </c>
      <c r="G227" s="1" t="s">
        <v>32</v>
      </c>
      <c r="H227" s="1" t="s">
        <v>23</v>
      </c>
      <c r="I227" s="1" t="s">
        <v>24</v>
      </c>
      <c r="J227" s="1" t="s">
        <v>23</v>
      </c>
      <c r="K227" s="1" t="s">
        <v>23</v>
      </c>
      <c r="L227" s="1" t="s">
        <v>24</v>
      </c>
      <c r="M227" s="1" t="s">
        <v>24</v>
      </c>
      <c r="N227" s="1" t="s">
        <v>25</v>
      </c>
      <c r="O227">
        <v>3</v>
      </c>
      <c r="P227">
        <v>3773</v>
      </c>
      <c r="Q227" s="1" t="s">
        <v>36</v>
      </c>
      <c r="R227">
        <v>0</v>
      </c>
      <c r="S227" s="1" t="s">
        <v>60</v>
      </c>
      <c r="T227" s="1" t="s">
        <v>34</v>
      </c>
    </row>
    <row r="228" spans="1:20" x14ac:dyDescent="0.25">
      <c r="A228" s="1" t="s">
        <v>68</v>
      </c>
      <c r="B228">
        <v>92</v>
      </c>
      <c r="C228">
        <v>49</v>
      </c>
      <c r="D228">
        <v>18</v>
      </c>
      <c r="E228">
        <v>4</v>
      </c>
      <c r="F228" s="1" t="s">
        <v>31</v>
      </c>
      <c r="G228" s="1" t="s">
        <v>41</v>
      </c>
      <c r="H228" s="1" t="s">
        <v>24</v>
      </c>
      <c r="I228" s="1" t="s">
        <v>24</v>
      </c>
      <c r="J228" s="1" t="s">
        <v>23</v>
      </c>
      <c r="K228" s="1" t="s">
        <v>24</v>
      </c>
      <c r="L228" s="1" t="s">
        <v>24</v>
      </c>
      <c r="M228" s="1" t="s">
        <v>24</v>
      </c>
      <c r="N228" s="1" t="s">
        <v>108</v>
      </c>
      <c r="O228">
        <v>35</v>
      </c>
      <c r="P228">
        <v>1228</v>
      </c>
      <c r="Q228" s="1" t="s">
        <v>36</v>
      </c>
      <c r="R228">
        <v>5</v>
      </c>
      <c r="S228" s="1" t="s">
        <v>39</v>
      </c>
      <c r="T228" s="1" t="s">
        <v>28</v>
      </c>
    </row>
    <row r="229" spans="1:20" x14ac:dyDescent="0.25">
      <c r="A229" s="1" t="s">
        <v>61</v>
      </c>
      <c r="B229">
        <v>23</v>
      </c>
      <c r="C229">
        <v>10</v>
      </c>
      <c r="D229">
        <v>18</v>
      </c>
      <c r="E229">
        <v>5</v>
      </c>
      <c r="F229" s="1" t="s">
        <v>31</v>
      </c>
      <c r="G229" s="1" t="s">
        <v>29</v>
      </c>
      <c r="H229" s="1" t="s">
        <v>24</v>
      </c>
      <c r="I229" s="1" t="s">
        <v>24</v>
      </c>
      <c r="J229" s="1" t="s">
        <v>23</v>
      </c>
      <c r="K229" s="1" t="s">
        <v>24</v>
      </c>
      <c r="L229" s="1" t="s">
        <v>24</v>
      </c>
      <c r="M229" s="1" t="s">
        <v>24</v>
      </c>
      <c r="N229" s="1" t="s">
        <v>120</v>
      </c>
      <c r="O229">
        <v>5</v>
      </c>
      <c r="P229">
        <v>3933</v>
      </c>
      <c r="Q229" s="1" t="s">
        <v>36</v>
      </c>
      <c r="R229">
        <v>4</v>
      </c>
      <c r="S229" s="1" t="s">
        <v>42</v>
      </c>
      <c r="T229" s="1" t="s">
        <v>58</v>
      </c>
    </row>
    <row r="230" spans="1:20" x14ac:dyDescent="0.25">
      <c r="A230" s="1" t="s">
        <v>61</v>
      </c>
      <c r="B230">
        <v>15</v>
      </c>
      <c r="C230">
        <v>5</v>
      </c>
      <c r="D230">
        <v>18</v>
      </c>
      <c r="E230">
        <v>5</v>
      </c>
      <c r="F230" s="1" t="s">
        <v>46</v>
      </c>
      <c r="G230" s="1" t="s">
        <v>22</v>
      </c>
      <c r="H230" s="1" t="s">
        <v>24</v>
      </c>
      <c r="I230" s="1" t="s">
        <v>24</v>
      </c>
      <c r="J230" s="1" t="s">
        <v>23</v>
      </c>
      <c r="K230" s="1" t="s">
        <v>24</v>
      </c>
      <c r="L230" s="1" t="s">
        <v>24</v>
      </c>
      <c r="M230" s="1" t="s">
        <v>24</v>
      </c>
      <c r="N230" s="1" t="s">
        <v>92</v>
      </c>
      <c r="O230">
        <v>5</v>
      </c>
      <c r="P230">
        <v>2959</v>
      </c>
      <c r="Q230" s="1" t="s">
        <v>36</v>
      </c>
      <c r="R230">
        <v>3</v>
      </c>
      <c r="S230" s="1" t="s">
        <v>47</v>
      </c>
      <c r="T230" s="1" t="s">
        <v>51</v>
      </c>
    </row>
    <row r="231" spans="1:20" x14ac:dyDescent="0.25">
      <c r="A231" s="1" t="s">
        <v>20</v>
      </c>
      <c r="B231">
        <v>17</v>
      </c>
      <c r="C231">
        <v>10</v>
      </c>
      <c r="D231">
        <v>18</v>
      </c>
      <c r="E231">
        <v>4</v>
      </c>
      <c r="F231" s="1" t="s">
        <v>31</v>
      </c>
      <c r="G231" s="1" t="s">
        <v>41</v>
      </c>
      <c r="H231" s="1" t="s">
        <v>24</v>
      </c>
      <c r="I231" s="1" t="s">
        <v>24</v>
      </c>
      <c r="J231" s="1" t="s">
        <v>23</v>
      </c>
      <c r="K231" s="1" t="s">
        <v>24</v>
      </c>
      <c r="L231" s="1" t="s">
        <v>24</v>
      </c>
      <c r="M231" s="1" t="s">
        <v>24</v>
      </c>
      <c r="N231" s="1" t="s">
        <v>123</v>
      </c>
      <c r="O231">
        <v>4</v>
      </c>
      <c r="P231">
        <v>826</v>
      </c>
      <c r="Q231" s="1" t="s">
        <v>26</v>
      </c>
      <c r="R231">
        <v>3</v>
      </c>
      <c r="S231" s="1" t="s">
        <v>45</v>
      </c>
      <c r="T231" s="1" t="s">
        <v>40</v>
      </c>
    </row>
    <row r="232" spans="1:20" x14ac:dyDescent="0.25">
      <c r="A232" s="1" t="s">
        <v>37</v>
      </c>
      <c r="B232">
        <v>30</v>
      </c>
      <c r="C232">
        <v>12</v>
      </c>
      <c r="D232">
        <v>17</v>
      </c>
      <c r="E232">
        <v>5</v>
      </c>
      <c r="F232" s="1" t="s">
        <v>21</v>
      </c>
      <c r="G232" s="1" t="s">
        <v>41</v>
      </c>
      <c r="H232" s="1" t="s">
        <v>24</v>
      </c>
      <c r="I232" s="1" t="s">
        <v>24</v>
      </c>
      <c r="J232" s="1" t="s">
        <v>23</v>
      </c>
      <c r="K232" s="1" t="s">
        <v>24</v>
      </c>
      <c r="L232" s="1" t="s">
        <v>24</v>
      </c>
      <c r="M232" s="1" t="s">
        <v>24</v>
      </c>
      <c r="N232" s="1" t="s">
        <v>62</v>
      </c>
      <c r="O232">
        <v>3</v>
      </c>
      <c r="P232">
        <v>3981</v>
      </c>
      <c r="Q232" s="1" t="s">
        <v>26</v>
      </c>
      <c r="R232">
        <v>8</v>
      </c>
      <c r="S232" s="1" t="s">
        <v>33</v>
      </c>
      <c r="T232" s="1" t="s">
        <v>30</v>
      </c>
    </row>
    <row r="233" spans="1:20" x14ac:dyDescent="0.25">
      <c r="A233" s="1" t="s">
        <v>98</v>
      </c>
      <c r="B233">
        <v>19</v>
      </c>
      <c r="C233">
        <v>11</v>
      </c>
      <c r="D233">
        <v>17</v>
      </c>
      <c r="E233">
        <v>4</v>
      </c>
      <c r="F233" s="1" t="s">
        <v>31</v>
      </c>
      <c r="G233" s="1" t="s">
        <v>32</v>
      </c>
      <c r="H233" s="1" t="s">
        <v>24</v>
      </c>
      <c r="I233" s="1" t="s">
        <v>24</v>
      </c>
      <c r="J233" s="1" t="s">
        <v>23</v>
      </c>
      <c r="K233" s="1" t="s">
        <v>24</v>
      </c>
      <c r="L233" s="1" t="s">
        <v>24</v>
      </c>
      <c r="M233" s="1" t="s">
        <v>24</v>
      </c>
      <c r="N233" s="1" t="s">
        <v>102</v>
      </c>
      <c r="O233">
        <v>5</v>
      </c>
      <c r="P233">
        <v>1282</v>
      </c>
      <c r="Q233" s="1" t="s">
        <v>44</v>
      </c>
      <c r="R233">
        <v>7</v>
      </c>
      <c r="S233" s="1" t="s">
        <v>45</v>
      </c>
      <c r="T233" s="1" t="s">
        <v>30</v>
      </c>
    </row>
    <row r="234" spans="1:20" x14ac:dyDescent="0.25">
      <c r="A234" s="1" t="s">
        <v>37</v>
      </c>
      <c r="B234">
        <v>38</v>
      </c>
      <c r="C234">
        <v>12</v>
      </c>
      <c r="D234">
        <v>17</v>
      </c>
      <c r="E234">
        <v>5</v>
      </c>
      <c r="F234" s="1" t="s">
        <v>55</v>
      </c>
      <c r="G234" s="1" t="s">
        <v>29</v>
      </c>
      <c r="H234" s="1" t="s">
        <v>24</v>
      </c>
      <c r="I234" s="1" t="s">
        <v>24</v>
      </c>
      <c r="J234" s="1" t="s">
        <v>24</v>
      </c>
      <c r="K234" s="1" t="s">
        <v>24</v>
      </c>
      <c r="L234" s="1" t="s">
        <v>24</v>
      </c>
      <c r="M234" s="1" t="s">
        <v>24</v>
      </c>
      <c r="N234" s="1" t="s">
        <v>114</v>
      </c>
      <c r="O234">
        <v>3</v>
      </c>
      <c r="P234">
        <v>716</v>
      </c>
      <c r="Q234" s="1" t="s">
        <v>26</v>
      </c>
      <c r="R234">
        <v>7</v>
      </c>
      <c r="S234" s="1" t="s">
        <v>57</v>
      </c>
      <c r="T234" s="1" t="s">
        <v>30</v>
      </c>
    </row>
    <row r="235" spans="1:20" x14ac:dyDescent="0.25">
      <c r="A235" s="1" t="s">
        <v>20</v>
      </c>
      <c r="B235">
        <v>27</v>
      </c>
      <c r="C235">
        <v>15</v>
      </c>
      <c r="D235">
        <v>17</v>
      </c>
      <c r="E235">
        <v>3</v>
      </c>
      <c r="F235" s="1" t="s">
        <v>46</v>
      </c>
      <c r="G235" s="1" t="s">
        <v>41</v>
      </c>
      <c r="H235" s="1" t="s">
        <v>24</v>
      </c>
      <c r="I235" s="1" t="s">
        <v>24</v>
      </c>
      <c r="J235" s="1" t="s">
        <v>24</v>
      </c>
      <c r="K235" s="1" t="s">
        <v>24</v>
      </c>
      <c r="L235" s="1" t="s">
        <v>24</v>
      </c>
      <c r="M235" s="1" t="s">
        <v>24</v>
      </c>
      <c r="N235" s="1" t="s">
        <v>114</v>
      </c>
      <c r="O235">
        <v>3</v>
      </c>
      <c r="P235">
        <v>716</v>
      </c>
      <c r="Q235" s="1" t="s">
        <v>26</v>
      </c>
      <c r="R235">
        <v>6</v>
      </c>
      <c r="S235" s="1" t="s">
        <v>47</v>
      </c>
      <c r="T235" s="1" t="s">
        <v>40</v>
      </c>
    </row>
    <row r="236" spans="1:20" x14ac:dyDescent="0.25">
      <c r="A236" s="1" t="s">
        <v>37</v>
      </c>
      <c r="B236">
        <v>20</v>
      </c>
      <c r="C236">
        <v>13</v>
      </c>
      <c r="D236">
        <v>17</v>
      </c>
      <c r="E236">
        <v>4</v>
      </c>
      <c r="F236" s="1" t="s">
        <v>21</v>
      </c>
      <c r="G236" s="1" t="s">
        <v>41</v>
      </c>
      <c r="H236" s="1" t="s">
        <v>24</v>
      </c>
      <c r="I236" s="1" t="s">
        <v>24</v>
      </c>
      <c r="J236" s="1" t="s">
        <v>23</v>
      </c>
      <c r="K236" s="1" t="s">
        <v>24</v>
      </c>
      <c r="L236" s="1" t="s">
        <v>24</v>
      </c>
      <c r="M236" s="1" t="s">
        <v>24</v>
      </c>
      <c r="N236" s="1" t="s">
        <v>123</v>
      </c>
      <c r="O236">
        <v>4</v>
      </c>
      <c r="P236">
        <v>826</v>
      </c>
      <c r="Q236" s="1" t="s">
        <v>26</v>
      </c>
      <c r="R236">
        <v>4</v>
      </c>
      <c r="S236" s="1" t="s">
        <v>27</v>
      </c>
      <c r="T236" s="1" t="s">
        <v>58</v>
      </c>
    </row>
    <row r="237" spans="1:20" x14ac:dyDescent="0.25">
      <c r="A237" s="1" t="s">
        <v>35</v>
      </c>
      <c r="B237">
        <v>11</v>
      </c>
      <c r="C237">
        <v>10</v>
      </c>
      <c r="D237">
        <v>17</v>
      </c>
      <c r="E237">
        <v>5</v>
      </c>
      <c r="F237" s="1" t="s">
        <v>46</v>
      </c>
      <c r="G237" s="1" t="s">
        <v>32</v>
      </c>
      <c r="H237" s="1" t="s">
        <v>24</v>
      </c>
      <c r="I237" s="1" t="s">
        <v>24</v>
      </c>
      <c r="J237" s="1" t="s">
        <v>23</v>
      </c>
      <c r="K237" s="1" t="s">
        <v>24</v>
      </c>
      <c r="L237" s="1" t="s">
        <v>24</v>
      </c>
      <c r="M237" s="1" t="s">
        <v>24</v>
      </c>
      <c r="N237" s="1" t="s">
        <v>90</v>
      </c>
      <c r="O237">
        <v>5</v>
      </c>
      <c r="P237">
        <v>3348</v>
      </c>
      <c r="Q237" s="1" t="s">
        <v>36</v>
      </c>
      <c r="R237">
        <v>3</v>
      </c>
      <c r="S237" s="1" t="s">
        <v>52</v>
      </c>
      <c r="T237" s="1" t="s">
        <v>30</v>
      </c>
    </row>
    <row r="238" spans="1:20" x14ac:dyDescent="0.25">
      <c r="A238" s="1" t="s">
        <v>20</v>
      </c>
      <c r="B238">
        <v>30</v>
      </c>
      <c r="C238">
        <v>10</v>
      </c>
      <c r="D238">
        <v>17</v>
      </c>
      <c r="E238">
        <v>5</v>
      </c>
      <c r="F238" s="1" t="s">
        <v>46</v>
      </c>
      <c r="G238" s="1" t="s">
        <v>41</v>
      </c>
      <c r="H238" s="1" t="s">
        <v>24</v>
      </c>
      <c r="I238" s="1" t="s">
        <v>24</v>
      </c>
      <c r="J238" s="1" t="s">
        <v>24</v>
      </c>
      <c r="K238" s="1" t="s">
        <v>24</v>
      </c>
      <c r="L238" s="1" t="s">
        <v>24</v>
      </c>
      <c r="M238" s="1" t="s">
        <v>24</v>
      </c>
      <c r="N238" s="1" t="s">
        <v>100</v>
      </c>
      <c r="O238">
        <v>5</v>
      </c>
      <c r="P238">
        <v>2700</v>
      </c>
      <c r="Q238" s="1" t="s">
        <v>26</v>
      </c>
      <c r="R238">
        <v>3</v>
      </c>
      <c r="S238" s="1" t="s">
        <v>50</v>
      </c>
      <c r="T238" s="1" t="s">
        <v>58</v>
      </c>
    </row>
    <row r="239" spans="1:20" x14ac:dyDescent="0.25">
      <c r="A239" s="1" t="s">
        <v>20</v>
      </c>
      <c r="B239">
        <v>63</v>
      </c>
      <c r="C239">
        <v>15</v>
      </c>
      <c r="D239">
        <v>17</v>
      </c>
      <c r="E239">
        <v>4</v>
      </c>
      <c r="F239" s="1" t="s">
        <v>31</v>
      </c>
      <c r="G239" s="1" t="s">
        <v>29</v>
      </c>
      <c r="H239" s="1" t="s">
        <v>24</v>
      </c>
      <c r="I239" s="1" t="s">
        <v>24</v>
      </c>
      <c r="J239" s="1" t="s">
        <v>23</v>
      </c>
      <c r="K239" s="1" t="s">
        <v>24</v>
      </c>
      <c r="L239" s="1" t="s">
        <v>24</v>
      </c>
      <c r="M239" s="1" t="s">
        <v>23</v>
      </c>
      <c r="N239" s="1" t="s">
        <v>70</v>
      </c>
      <c r="O239">
        <v>4</v>
      </c>
      <c r="P239">
        <v>3003</v>
      </c>
      <c r="Q239" s="1" t="s">
        <v>26</v>
      </c>
      <c r="R239">
        <v>2</v>
      </c>
      <c r="S239" s="1" t="s">
        <v>39</v>
      </c>
      <c r="T239" s="1" t="s">
        <v>40</v>
      </c>
    </row>
    <row r="240" spans="1:20" x14ac:dyDescent="0.25">
      <c r="A240" s="1" t="s">
        <v>48</v>
      </c>
      <c r="B240">
        <v>11</v>
      </c>
      <c r="C240">
        <v>7</v>
      </c>
      <c r="D240">
        <v>17</v>
      </c>
      <c r="E240">
        <v>5</v>
      </c>
      <c r="F240" s="1" t="s">
        <v>55</v>
      </c>
      <c r="G240" s="1" t="s">
        <v>41</v>
      </c>
      <c r="H240" s="1" t="s">
        <v>24</v>
      </c>
      <c r="I240" s="1" t="s">
        <v>24</v>
      </c>
      <c r="J240" s="1" t="s">
        <v>23</v>
      </c>
      <c r="K240" s="1" t="s">
        <v>24</v>
      </c>
      <c r="L240" s="1" t="s">
        <v>24</v>
      </c>
      <c r="M240" s="1" t="s">
        <v>24</v>
      </c>
      <c r="N240" s="1" t="s">
        <v>102</v>
      </c>
      <c r="O240">
        <v>5</v>
      </c>
      <c r="P240">
        <v>1282</v>
      </c>
      <c r="Q240" s="1" t="s">
        <v>49</v>
      </c>
      <c r="R240">
        <v>2</v>
      </c>
      <c r="S240" s="1" t="s">
        <v>57</v>
      </c>
      <c r="T240" s="1" t="s">
        <v>34</v>
      </c>
    </row>
    <row r="241" spans="1:20" x14ac:dyDescent="0.25">
      <c r="A241" s="1" t="s">
        <v>48</v>
      </c>
      <c r="B241">
        <v>35</v>
      </c>
      <c r="C241">
        <v>16</v>
      </c>
      <c r="D241">
        <v>17</v>
      </c>
      <c r="E241">
        <v>4</v>
      </c>
      <c r="F241" s="1" t="s">
        <v>55</v>
      </c>
      <c r="G241" s="1" t="s">
        <v>32</v>
      </c>
      <c r="H241" s="1" t="s">
        <v>24</v>
      </c>
      <c r="I241" s="1" t="s">
        <v>24</v>
      </c>
      <c r="J241" s="1" t="s">
        <v>23</v>
      </c>
      <c r="K241" s="1" t="s">
        <v>24</v>
      </c>
      <c r="L241" s="1" t="s">
        <v>24</v>
      </c>
      <c r="M241" s="1" t="s">
        <v>24</v>
      </c>
      <c r="N241" s="1" t="s">
        <v>102</v>
      </c>
      <c r="O241">
        <v>5</v>
      </c>
      <c r="P241">
        <v>1282</v>
      </c>
      <c r="Q241" s="1" t="s">
        <v>49</v>
      </c>
      <c r="R241">
        <v>2</v>
      </c>
      <c r="S241" s="1" t="s">
        <v>59</v>
      </c>
      <c r="T241" s="1" t="s">
        <v>40</v>
      </c>
    </row>
    <row r="242" spans="1:20" x14ac:dyDescent="0.25">
      <c r="A242" s="1" t="s">
        <v>35</v>
      </c>
      <c r="B242">
        <v>18</v>
      </c>
      <c r="C242">
        <v>6</v>
      </c>
      <c r="D242">
        <v>17</v>
      </c>
      <c r="E242">
        <v>4</v>
      </c>
      <c r="F242" s="1" t="s">
        <v>46</v>
      </c>
      <c r="G242" s="1" t="s">
        <v>41</v>
      </c>
      <c r="H242" s="1" t="s">
        <v>24</v>
      </c>
      <c r="I242" s="1" t="s">
        <v>24</v>
      </c>
      <c r="J242" s="1" t="s">
        <v>24</v>
      </c>
      <c r="K242" s="1" t="s">
        <v>24</v>
      </c>
      <c r="L242" s="1" t="s">
        <v>24</v>
      </c>
      <c r="M242" s="1" t="s">
        <v>24</v>
      </c>
      <c r="N242" s="1" t="s">
        <v>85</v>
      </c>
      <c r="O242">
        <v>4</v>
      </c>
      <c r="P242">
        <v>1467</v>
      </c>
      <c r="Q242" s="1" t="s">
        <v>36</v>
      </c>
      <c r="R242">
        <v>1</v>
      </c>
      <c r="S242" s="1" t="s">
        <v>50</v>
      </c>
      <c r="T242" s="1" t="s">
        <v>58</v>
      </c>
    </row>
    <row r="243" spans="1:20" x14ac:dyDescent="0.25">
      <c r="A243" s="1" t="s">
        <v>35</v>
      </c>
      <c r="B243">
        <v>15</v>
      </c>
      <c r="C243">
        <v>6</v>
      </c>
      <c r="D243">
        <v>17</v>
      </c>
      <c r="E243">
        <v>5</v>
      </c>
      <c r="F243" s="1" t="s">
        <v>31</v>
      </c>
      <c r="G243" s="1" t="s">
        <v>41</v>
      </c>
      <c r="H243" s="1" t="s">
        <v>24</v>
      </c>
      <c r="I243" s="1" t="s">
        <v>24</v>
      </c>
      <c r="J243" s="1" t="s">
        <v>23</v>
      </c>
      <c r="K243" s="1" t="s">
        <v>24</v>
      </c>
      <c r="L243" s="1" t="s">
        <v>24</v>
      </c>
      <c r="M243" s="1" t="s">
        <v>24</v>
      </c>
      <c r="N243" s="1" t="s">
        <v>120</v>
      </c>
      <c r="O243">
        <v>5</v>
      </c>
      <c r="P243">
        <v>3933</v>
      </c>
      <c r="Q243" s="1" t="s">
        <v>36</v>
      </c>
      <c r="R243">
        <v>1</v>
      </c>
      <c r="S243" s="1" t="s">
        <v>45</v>
      </c>
      <c r="T243" s="1" t="s">
        <v>28</v>
      </c>
    </row>
    <row r="244" spans="1:20" x14ac:dyDescent="0.25">
      <c r="A244" s="1" t="s">
        <v>20</v>
      </c>
      <c r="B244">
        <v>69</v>
      </c>
      <c r="C244">
        <v>11</v>
      </c>
      <c r="D244">
        <v>17</v>
      </c>
      <c r="E244">
        <v>5</v>
      </c>
      <c r="F244" s="1" t="s">
        <v>55</v>
      </c>
      <c r="G244" s="1" t="s">
        <v>41</v>
      </c>
      <c r="H244" s="1" t="s">
        <v>24</v>
      </c>
      <c r="I244" s="1" t="s">
        <v>23</v>
      </c>
      <c r="J244" s="1" t="s">
        <v>23</v>
      </c>
      <c r="K244" s="1" t="s">
        <v>23</v>
      </c>
      <c r="L244" s="1" t="s">
        <v>24</v>
      </c>
      <c r="M244" s="1" t="s">
        <v>24</v>
      </c>
      <c r="N244" s="1" t="s">
        <v>105</v>
      </c>
      <c r="O244">
        <v>45</v>
      </c>
      <c r="P244">
        <v>188</v>
      </c>
      <c r="Q244" s="1" t="s">
        <v>26</v>
      </c>
      <c r="R244">
        <v>0</v>
      </c>
      <c r="S244" s="1" t="s">
        <v>56</v>
      </c>
      <c r="T244" s="1" t="s">
        <v>53</v>
      </c>
    </row>
    <row r="245" spans="1:20" x14ac:dyDescent="0.25">
      <c r="A245" s="1" t="s">
        <v>20</v>
      </c>
      <c r="B245">
        <v>30</v>
      </c>
      <c r="C245">
        <v>9</v>
      </c>
      <c r="D245">
        <v>17</v>
      </c>
      <c r="E245">
        <v>2</v>
      </c>
      <c r="F245" s="1" t="s">
        <v>31</v>
      </c>
      <c r="G245" s="1" t="s">
        <v>29</v>
      </c>
      <c r="H245" s="1" t="s">
        <v>24</v>
      </c>
      <c r="I245" s="1" t="s">
        <v>24</v>
      </c>
      <c r="J245" s="1" t="s">
        <v>23</v>
      </c>
      <c r="K245" s="1" t="s">
        <v>24</v>
      </c>
      <c r="L245" s="1" t="s">
        <v>24</v>
      </c>
      <c r="M245" s="1" t="s">
        <v>24</v>
      </c>
      <c r="N245" s="1" t="s">
        <v>120</v>
      </c>
      <c r="O245">
        <v>5</v>
      </c>
      <c r="P245">
        <v>3933</v>
      </c>
      <c r="Q245" s="1" t="s">
        <v>26</v>
      </c>
      <c r="R245">
        <v>0</v>
      </c>
      <c r="S245" s="1" t="s">
        <v>39</v>
      </c>
      <c r="T245" s="1" t="s">
        <v>40</v>
      </c>
    </row>
    <row r="246" spans="1:20" x14ac:dyDescent="0.25">
      <c r="A246" s="1" t="s">
        <v>35</v>
      </c>
      <c r="B246">
        <v>13</v>
      </c>
      <c r="C246">
        <v>10</v>
      </c>
      <c r="D246">
        <v>16</v>
      </c>
      <c r="E246">
        <v>4</v>
      </c>
      <c r="F246" s="1" t="s">
        <v>46</v>
      </c>
      <c r="G246" s="1" t="s">
        <v>38</v>
      </c>
      <c r="H246" s="1" t="s">
        <v>24</v>
      </c>
      <c r="I246" s="1" t="s">
        <v>24</v>
      </c>
      <c r="J246" s="1" t="s">
        <v>24</v>
      </c>
      <c r="K246" s="1" t="s">
        <v>24</v>
      </c>
      <c r="L246" s="1" t="s">
        <v>24</v>
      </c>
      <c r="M246" s="1" t="s">
        <v>24</v>
      </c>
      <c r="N246" s="1" t="s">
        <v>85</v>
      </c>
      <c r="O246">
        <v>4</v>
      </c>
      <c r="P246">
        <v>1467</v>
      </c>
      <c r="Q246" s="1" t="s">
        <v>36</v>
      </c>
      <c r="R246">
        <v>10</v>
      </c>
      <c r="S246" s="1" t="s">
        <v>50</v>
      </c>
      <c r="T246" s="1" t="s">
        <v>51</v>
      </c>
    </row>
    <row r="247" spans="1:20" x14ac:dyDescent="0.25">
      <c r="A247" s="1" t="s">
        <v>20</v>
      </c>
      <c r="B247">
        <v>38</v>
      </c>
      <c r="C247">
        <v>18</v>
      </c>
      <c r="D247">
        <v>16</v>
      </c>
      <c r="E247">
        <v>5</v>
      </c>
      <c r="F247" s="1" t="s">
        <v>46</v>
      </c>
      <c r="G247" s="1" t="s">
        <v>41</v>
      </c>
      <c r="H247" s="1" t="s">
        <v>24</v>
      </c>
      <c r="I247" s="1" t="s">
        <v>24</v>
      </c>
      <c r="J247" s="1" t="s">
        <v>23</v>
      </c>
      <c r="K247" s="1" t="s">
        <v>24</v>
      </c>
      <c r="L247" s="1" t="s">
        <v>24</v>
      </c>
      <c r="M247" s="1" t="s">
        <v>24</v>
      </c>
      <c r="N247" s="1" t="s">
        <v>102</v>
      </c>
      <c r="O247">
        <v>5</v>
      </c>
      <c r="P247">
        <v>1282</v>
      </c>
      <c r="Q247" s="1" t="s">
        <v>26</v>
      </c>
      <c r="R247">
        <v>8</v>
      </c>
      <c r="S247" s="1" t="s">
        <v>47</v>
      </c>
      <c r="T247" s="1" t="s">
        <v>53</v>
      </c>
    </row>
    <row r="248" spans="1:20" x14ac:dyDescent="0.25">
      <c r="A248" s="1" t="s">
        <v>94</v>
      </c>
      <c r="B248">
        <v>25</v>
      </c>
      <c r="C248">
        <v>10</v>
      </c>
      <c r="D248">
        <v>16</v>
      </c>
      <c r="E248">
        <v>5</v>
      </c>
      <c r="F248" s="1" t="s">
        <v>55</v>
      </c>
      <c r="G248" s="1" t="s">
        <v>22</v>
      </c>
      <c r="H248" s="1" t="s">
        <v>24</v>
      </c>
      <c r="I248" s="1" t="s">
        <v>23</v>
      </c>
      <c r="J248" s="1" t="s">
        <v>23</v>
      </c>
      <c r="K248" s="1" t="s">
        <v>23</v>
      </c>
      <c r="L248" s="1" t="s">
        <v>24</v>
      </c>
      <c r="M248" s="1" t="s">
        <v>24</v>
      </c>
      <c r="N248" s="1" t="s">
        <v>105</v>
      </c>
      <c r="O248">
        <v>45</v>
      </c>
      <c r="P248">
        <v>188</v>
      </c>
      <c r="Q248" s="1" t="s">
        <v>36</v>
      </c>
      <c r="R248">
        <v>8</v>
      </c>
      <c r="S248" s="1" t="s">
        <v>57</v>
      </c>
      <c r="T248" s="1" t="s">
        <v>40</v>
      </c>
    </row>
    <row r="249" spans="1:20" x14ac:dyDescent="0.25">
      <c r="A249" s="1" t="s">
        <v>98</v>
      </c>
      <c r="B249">
        <v>16</v>
      </c>
      <c r="C249">
        <v>10</v>
      </c>
      <c r="D249">
        <v>16</v>
      </c>
      <c r="E249">
        <v>3</v>
      </c>
      <c r="F249" s="1" t="s">
        <v>31</v>
      </c>
      <c r="G249" s="1" t="s">
        <v>38</v>
      </c>
      <c r="H249" s="1" t="s">
        <v>24</v>
      </c>
      <c r="I249" s="1" t="s">
        <v>24</v>
      </c>
      <c r="J249" s="1" t="s">
        <v>24</v>
      </c>
      <c r="K249" s="1" t="s">
        <v>24</v>
      </c>
      <c r="L249" s="1" t="s">
        <v>24</v>
      </c>
      <c r="M249" s="1" t="s">
        <v>24</v>
      </c>
      <c r="N249" s="1" t="s">
        <v>100</v>
      </c>
      <c r="O249">
        <v>5</v>
      </c>
      <c r="P249">
        <v>2700</v>
      </c>
      <c r="Q249" s="1" t="s">
        <v>44</v>
      </c>
      <c r="R249">
        <v>7</v>
      </c>
      <c r="S249" s="1" t="s">
        <v>45</v>
      </c>
      <c r="T249" s="1" t="s">
        <v>58</v>
      </c>
    </row>
    <row r="250" spans="1:20" x14ac:dyDescent="0.25">
      <c r="A250" s="1" t="s">
        <v>35</v>
      </c>
      <c r="B250">
        <v>8</v>
      </c>
      <c r="C250">
        <v>4</v>
      </c>
      <c r="D250">
        <v>16</v>
      </c>
      <c r="E250">
        <v>5</v>
      </c>
      <c r="F250" s="1" t="s">
        <v>55</v>
      </c>
      <c r="G250" s="1" t="s">
        <v>41</v>
      </c>
      <c r="H250" s="1" t="s">
        <v>24</v>
      </c>
      <c r="I250" s="1" t="s">
        <v>24</v>
      </c>
      <c r="J250" s="1" t="s">
        <v>24</v>
      </c>
      <c r="K250" s="1" t="s">
        <v>24</v>
      </c>
      <c r="L250" s="1" t="s">
        <v>24</v>
      </c>
      <c r="M250" s="1" t="s">
        <v>24</v>
      </c>
      <c r="N250" s="1" t="s">
        <v>100</v>
      </c>
      <c r="O250">
        <v>5</v>
      </c>
      <c r="P250">
        <v>2700</v>
      </c>
      <c r="Q250" s="1" t="s">
        <v>36</v>
      </c>
      <c r="R250">
        <v>7</v>
      </c>
      <c r="S250" s="1" t="s">
        <v>57</v>
      </c>
      <c r="T250" s="1" t="s">
        <v>34</v>
      </c>
    </row>
    <row r="251" spans="1:20" x14ac:dyDescent="0.25">
      <c r="A251" s="1" t="s">
        <v>48</v>
      </c>
      <c r="B251">
        <v>16</v>
      </c>
      <c r="C251">
        <v>13</v>
      </c>
      <c r="D251">
        <v>16</v>
      </c>
      <c r="E251">
        <v>3</v>
      </c>
      <c r="F251" s="1" t="s">
        <v>31</v>
      </c>
      <c r="G251" s="1" t="s">
        <v>32</v>
      </c>
      <c r="H251" s="1" t="s">
        <v>24</v>
      </c>
      <c r="I251" s="1" t="s">
        <v>24</v>
      </c>
      <c r="J251" s="1" t="s">
        <v>24</v>
      </c>
      <c r="K251" s="1" t="s">
        <v>24</v>
      </c>
      <c r="L251" s="1" t="s">
        <v>24</v>
      </c>
      <c r="M251" s="1" t="s">
        <v>24</v>
      </c>
      <c r="N251" s="1" t="s">
        <v>80</v>
      </c>
      <c r="O251">
        <v>4</v>
      </c>
      <c r="P251">
        <v>2884</v>
      </c>
      <c r="Q251" s="1" t="s">
        <v>49</v>
      </c>
      <c r="R251">
        <v>6</v>
      </c>
      <c r="S251" s="1" t="s">
        <v>42</v>
      </c>
      <c r="T251" s="1" t="s">
        <v>51</v>
      </c>
    </row>
    <row r="252" spans="1:20" x14ac:dyDescent="0.25">
      <c r="A252" s="1" t="s">
        <v>20</v>
      </c>
      <c r="B252">
        <v>27</v>
      </c>
      <c r="C252">
        <v>17</v>
      </c>
      <c r="D252">
        <v>16</v>
      </c>
      <c r="E252">
        <v>3</v>
      </c>
      <c r="F252" s="1" t="s">
        <v>46</v>
      </c>
      <c r="G252" s="1" t="s">
        <v>32</v>
      </c>
      <c r="H252" s="1" t="s">
        <v>24</v>
      </c>
      <c r="I252" s="1" t="s">
        <v>24</v>
      </c>
      <c r="J252" s="1" t="s">
        <v>24</v>
      </c>
      <c r="K252" s="1" t="s">
        <v>24</v>
      </c>
      <c r="L252" s="1" t="s">
        <v>24</v>
      </c>
      <c r="M252" s="1" t="s">
        <v>24</v>
      </c>
      <c r="N252" s="1" t="s">
        <v>80</v>
      </c>
      <c r="O252">
        <v>4</v>
      </c>
      <c r="P252">
        <v>2884</v>
      </c>
      <c r="Q252" s="1" t="s">
        <v>26</v>
      </c>
      <c r="R252">
        <v>6</v>
      </c>
      <c r="S252" s="1" t="s">
        <v>47</v>
      </c>
      <c r="T252" s="1" t="s">
        <v>28</v>
      </c>
    </row>
    <row r="253" spans="1:20" x14ac:dyDescent="0.25">
      <c r="A253" s="1" t="s">
        <v>20</v>
      </c>
      <c r="B253">
        <v>20</v>
      </c>
      <c r="C253">
        <v>13</v>
      </c>
      <c r="D253">
        <v>16</v>
      </c>
      <c r="E253">
        <v>5</v>
      </c>
      <c r="F253" s="1" t="s">
        <v>31</v>
      </c>
      <c r="G253" s="1" t="s">
        <v>22</v>
      </c>
      <c r="H253" s="1" t="s">
        <v>24</v>
      </c>
      <c r="I253" s="1" t="s">
        <v>24</v>
      </c>
      <c r="J253" s="1" t="s">
        <v>24</v>
      </c>
      <c r="K253" s="1" t="s">
        <v>24</v>
      </c>
      <c r="L253" s="1" t="s">
        <v>24</v>
      </c>
      <c r="M253" s="1" t="s">
        <v>24</v>
      </c>
      <c r="N253" s="1" t="s">
        <v>100</v>
      </c>
      <c r="O253">
        <v>5</v>
      </c>
      <c r="P253">
        <v>2700</v>
      </c>
      <c r="Q253" s="1" t="s">
        <v>26</v>
      </c>
      <c r="R253">
        <v>6</v>
      </c>
      <c r="S253" s="1" t="s">
        <v>39</v>
      </c>
      <c r="T253" s="1" t="s">
        <v>30</v>
      </c>
    </row>
    <row r="254" spans="1:20" x14ac:dyDescent="0.25">
      <c r="A254" s="1" t="s">
        <v>72</v>
      </c>
      <c r="B254">
        <v>54</v>
      </c>
      <c r="C254">
        <v>18</v>
      </c>
      <c r="D254">
        <v>16</v>
      </c>
      <c r="E254">
        <v>2</v>
      </c>
      <c r="F254" s="1" t="s">
        <v>31</v>
      </c>
      <c r="G254" s="1" t="s">
        <v>29</v>
      </c>
      <c r="H254" s="1" t="s">
        <v>24</v>
      </c>
      <c r="I254" s="1" t="s">
        <v>24</v>
      </c>
      <c r="J254" s="1" t="s">
        <v>23</v>
      </c>
      <c r="K254" s="1" t="s">
        <v>24</v>
      </c>
      <c r="L254" s="1" t="s">
        <v>24</v>
      </c>
      <c r="M254" s="1" t="s">
        <v>23</v>
      </c>
      <c r="N254" s="1" t="s">
        <v>70</v>
      </c>
      <c r="O254">
        <v>4</v>
      </c>
      <c r="P254">
        <v>3003</v>
      </c>
      <c r="Q254" s="1" t="s">
        <v>64</v>
      </c>
      <c r="R254">
        <v>5</v>
      </c>
      <c r="S254" s="1" t="s">
        <v>42</v>
      </c>
      <c r="T254" s="1" t="s">
        <v>40</v>
      </c>
    </row>
    <row r="255" spans="1:20" x14ac:dyDescent="0.25">
      <c r="A255" s="1" t="s">
        <v>61</v>
      </c>
      <c r="B255">
        <v>19</v>
      </c>
      <c r="C255">
        <v>17</v>
      </c>
      <c r="D255">
        <v>16</v>
      </c>
      <c r="E255">
        <v>4</v>
      </c>
      <c r="F255" s="1" t="s">
        <v>55</v>
      </c>
      <c r="G255" s="1" t="s">
        <v>41</v>
      </c>
      <c r="H255" s="1" t="s">
        <v>24</v>
      </c>
      <c r="I255" s="1" t="s">
        <v>24</v>
      </c>
      <c r="J255" s="1" t="s">
        <v>23</v>
      </c>
      <c r="K255" s="1" t="s">
        <v>24</v>
      </c>
      <c r="L255" s="1" t="s">
        <v>24</v>
      </c>
      <c r="M255" s="1" t="s">
        <v>23</v>
      </c>
      <c r="N255" s="1" t="s">
        <v>70</v>
      </c>
      <c r="O255">
        <v>4</v>
      </c>
      <c r="P255">
        <v>3003</v>
      </c>
      <c r="Q255" s="1" t="s">
        <v>36</v>
      </c>
      <c r="R255">
        <v>5</v>
      </c>
      <c r="S255" s="1" t="s">
        <v>56</v>
      </c>
      <c r="T255" s="1" t="s">
        <v>51</v>
      </c>
    </row>
    <row r="256" spans="1:20" x14ac:dyDescent="0.25">
      <c r="A256" s="1" t="s">
        <v>48</v>
      </c>
      <c r="B256">
        <v>27</v>
      </c>
      <c r="C256">
        <v>15</v>
      </c>
      <c r="D256">
        <v>16</v>
      </c>
      <c r="E256">
        <v>5</v>
      </c>
      <c r="F256" s="1" t="s">
        <v>55</v>
      </c>
      <c r="G256" s="1" t="s">
        <v>41</v>
      </c>
      <c r="H256" s="1" t="s">
        <v>24</v>
      </c>
      <c r="I256" s="1" t="s">
        <v>24</v>
      </c>
      <c r="J256" s="1" t="s">
        <v>24</v>
      </c>
      <c r="K256" s="1" t="s">
        <v>24</v>
      </c>
      <c r="L256" s="1" t="s">
        <v>24</v>
      </c>
      <c r="M256" s="1" t="s">
        <v>24</v>
      </c>
      <c r="N256" s="1" t="s">
        <v>114</v>
      </c>
      <c r="O256">
        <v>3</v>
      </c>
      <c r="P256">
        <v>716</v>
      </c>
      <c r="Q256" s="1" t="s">
        <v>49</v>
      </c>
      <c r="R256">
        <v>5</v>
      </c>
      <c r="S256" s="1" t="s">
        <v>56</v>
      </c>
      <c r="T256" s="1" t="s">
        <v>53</v>
      </c>
    </row>
    <row r="257" spans="1:20" x14ac:dyDescent="0.25">
      <c r="A257" s="1" t="s">
        <v>20</v>
      </c>
      <c r="B257">
        <v>27</v>
      </c>
      <c r="C257">
        <v>8</v>
      </c>
      <c r="D257">
        <v>16</v>
      </c>
      <c r="E257">
        <v>4</v>
      </c>
      <c r="F257" s="1" t="s">
        <v>46</v>
      </c>
      <c r="G257" s="1" t="s">
        <v>22</v>
      </c>
      <c r="H257" s="1" t="s">
        <v>24</v>
      </c>
      <c r="I257" s="1" t="s">
        <v>24</v>
      </c>
      <c r="J257" s="1" t="s">
        <v>24</v>
      </c>
      <c r="K257" s="1" t="s">
        <v>23</v>
      </c>
      <c r="L257" s="1" t="s">
        <v>23</v>
      </c>
      <c r="M257" s="1" t="s">
        <v>24</v>
      </c>
      <c r="N257" s="1" t="s">
        <v>117</v>
      </c>
      <c r="O257">
        <v>35</v>
      </c>
      <c r="P257">
        <v>787</v>
      </c>
      <c r="Q257" s="1" t="s">
        <v>26</v>
      </c>
      <c r="R257">
        <v>4</v>
      </c>
      <c r="S257" s="1" t="s">
        <v>50</v>
      </c>
      <c r="T257" s="1" t="s">
        <v>28</v>
      </c>
    </row>
    <row r="258" spans="1:20" x14ac:dyDescent="0.25">
      <c r="A258" s="1" t="s">
        <v>35</v>
      </c>
      <c r="B258">
        <v>12</v>
      </c>
      <c r="C258">
        <v>6</v>
      </c>
      <c r="D258">
        <v>16</v>
      </c>
      <c r="E258">
        <v>3</v>
      </c>
      <c r="F258" s="1" t="s">
        <v>31</v>
      </c>
      <c r="G258" s="1" t="s">
        <v>22</v>
      </c>
      <c r="H258" s="1" t="s">
        <v>24</v>
      </c>
      <c r="I258" s="1" t="s">
        <v>24</v>
      </c>
      <c r="J258" s="1" t="s">
        <v>23</v>
      </c>
      <c r="K258" s="1" t="s">
        <v>24</v>
      </c>
      <c r="L258" s="1" t="s">
        <v>24</v>
      </c>
      <c r="M258" s="1" t="s">
        <v>24</v>
      </c>
      <c r="N258" s="1" t="s">
        <v>120</v>
      </c>
      <c r="O258">
        <v>5</v>
      </c>
      <c r="P258">
        <v>3933</v>
      </c>
      <c r="Q258" s="1" t="s">
        <v>36</v>
      </c>
      <c r="R258">
        <v>3</v>
      </c>
      <c r="S258" s="1" t="s">
        <v>45</v>
      </c>
      <c r="T258" s="1" t="s">
        <v>30</v>
      </c>
    </row>
    <row r="259" spans="1:20" x14ac:dyDescent="0.25">
      <c r="A259" s="1" t="s">
        <v>87</v>
      </c>
      <c r="B259">
        <v>18</v>
      </c>
      <c r="C259">
        <v>10</v>
      </c>
      <c r="D259">
        <v>16</v>
      </c>
      <c r="E259">
        <v>3</v>
      </c>
      <c r="F259" s="1" t="s">
        <v>21</v>
      </c>
      <c r="G259" s="1" t="s">
        <v>29</v>
      </c>
      <c r="H259" s="1" t="s">
        <v>24</v>
      </c>
      <c r="I259" s="1" t="s">
        <v>24</v>
      </c>
      <c r="J259" s="1" t="s">
        <v>24</v>
      </c>
      <c r="K259" s="1" t="s">
        <v>24</v>
      </c>
      <c r="L259" s="1" t="s">
        <v>24</v>
      </c>
      <c r="M259" s="1" t="s">
        <v>24</v>
      </c>
      <c r="N259" s="1" t="s">
        <v>85</v>
      </c>
      <c r="O259">
        <v>4</v>
      </c>
      <c r="P259">
        <v>1467</v>
      </c>
      <c r="Q259" s="1" t="s">
        <v>44</v>
      </c>
      <c r="R259">
        <v>2</v>
      </c>
      <c r="S259" s="1" t="s">
        <v>33</v>
      </c>
      <c r="T259" s="1" t="s">
        <v>28</v>
      </c>
    </row>
    <row r="260" spans="1:20" x14ac:dyDescent="0.25">
      <c r="A260" s="1" t="s">
        <v>20</v>
      </c>
      <c r="B260">
        <v>39</v>
      </c>
      <c r="C260">
        <v>12</v>
      </c>
      <c r="D260">
        <v>16</v>
      </c>
      <c r="E260">
        <v>5</v>
      </c>
      <c r="F260" s="1" t="s">
        <v>55</v>
      </c>
      <c r="G260" s="1" t="s">
        <v>22</v>
      </c>
      <c r="H260" s="1" t="s">
        <v>24</v>
      </c>
      <c r="I260" s="1" t="s">
        <v>24</v>
      </c>
      <c r="J260" s="1" t="s">
        <v>23</v>
      </c>
      <c r="K260" s="1" t="s">
        <v>24</v>
      </c>
      <c r="L260" s="1" t="s">
        <v>24</v>
      </c>
      <c r="M260" s="1" t="s">
        <v>24</v>
      </c>
      <c r="N260" s="1" t="s">
        <v>90</v>
      </c>
      <c r="O260">
        <v>5</v>
      </c>
      <c r="P260">
        <v>3348</v>
      </c>
      <c r="Q260" s="1" t="s">
        <v>26</v>
      </c>
      <c r="R260">
        <v>2</v>
      </c>
      <c r="S260" s="1" t="s">
        <v>57</v>
      </c>
      <c r="T260" s="1" t="s">
        <v>28</v>
      </c>
    </row>
    <row r="261" spans="1:20" x14ac:dyDescent="0.25">
      <c r="A261" s="1" t="s">
        <v>35</v>
      </c>
      <c r="B261">
        <v>11</v>
      </c>
      <c r="C261">
        <v>3</v>
      </c>
      <c r="D261">
        <v>16</v>
      </c>
      <c r="E261">
        <v>2</v>
      </c>
      <c r="F261" s="1" t="s">
        <v>55</v>
      </c>
      <c r="G261" s="1" t="s">
        <v>41</v>
      </c>
      <c r="H261" s="1" t="s">
        <v>24</v>
      </c>
      <c r="I261" s="1" t="s">
        <v>24</v>
      </c>
      <c r="J261" s="1" t="s">
        <v>23</v>
      </c>
      <c r="K261" s="1" t="s">
        <v>24</v>
      </c>
      <c r="L261" s="1" t="s">
        <v>24</v>
      </c>
      <c r="M261" s="1" t="s">
        <v>24</v>
      </c>
      <c r="N261" s="1" t="s">
        <v>108</v>
      </c>
      <c r="O261">
        <v>35</v>
      </c>
      <c r="P261">
        <v>1228</v>
      </c>
      <c r="Q261" s="1" t="s">
        <v>36</v>
      </c>
      <c r="R261">
        <v>2</v>
      </c>
      <c r="S261" s="1" t="s">
        <v>57</v>
      </c>
      <c r="T261" s="1" t="s">
        <v>51</v>
      </c>
    </row>
    <row r="262" spans="1:20" x14ac:dyDescent="0.25">
      <c r="A262" s="1" t="s">
        <v>35</v>
      </c>
      <c r="B262">
        <v>18</v>
      </c>
      <c r="C262">
        <v>4</v>
      </c>
      <c r="D262">
        <v>16</v>
      </c>
      <c r="E262">
        <v>5</v>
      </c>
      <c r="F262" s="1" t="s">
        <v>55</v>
      </c>
      <c r="G262" s="1" t="s">
        <v>22</v>
      </c>
      <c r="H262" s="1" t="s">
        <v>24</v>
      </c>
      <c r="I262" s="1" t="s">
        <v>24</v>
      </c>
      <c r="J262" s="1" t="s">
        <v>23</v>
      </c>
      <c r="K262" s="1" t="s">
        <v>24</v>
      </c>
      <c r="L262" s="1" t="s">
        <v>24</v>
      </c>
      <c r="M262" s="1" t="s">
        <v>24</v>
      </c>
      <c r="N262" s="1" t="s">
        <v>92</v>
      </c>
      <c r="O262">
        <v>5</v>
      </c>
      <c r="P262">
        <v>2959</v>
      </c>
      <c r="Q262" s="1" t="s">
        <v>36</v>
      </c>
      <c r="R262">
        <v>0</v>
      </c>
      <c r="S262" s="1" t="s">
        <v>57</v>
      </c>
      <c r="T262" s="1" t="s">
        <v>30</v>
      </c>
    </row>
    <row r="263" spans="1:20" x14ac:dyDescent="0.25">
      <c r="A263" s="1" t="s">
        <v>20</v>
      </c>
      <c r="B263">
        <v>4</v>
      </c>
      <c r="C263">
        <v>0</v>
      </c>
      <c r="D263">
        <v>16</v>
      </c>
      <c r="E263">
        <v>1</v>
      </c>
      <c r="F263" s="1" t="s">
        <v>46</v>
      </c>
      <c r="G263" s="1" t="s">
        <v>22</v>
      </c>
      <c r="H263" s="1" t="s">
        <v>24</v>
      </c>
      <c r="I263" s="1" t="s">
        <v>23</v>
      </c>
      <c r="J263" s="1" t="s">
        <v>23</v>
      </c>
      <c r="K263" s="1" t="s">
        <v>23</v>
      </c>
      <c r="L263" s="1" t="s">
        <v>24</v>
      </c>
      <c r="M263" s="1" t="s">
        <v>24</v>
      </c>
      <c r="N263" s="1" t="s">
        <v>105</v>
      </c>
      <c r="O263">
        <v>45</v>
      </c>
      <c r="P263">
        <v>188</v>
      </c>
      <c r="Q263" s="1" t="s">
        <v>26</v>
      </c>
      <c r="R263">
        <v>0</v>
      </c>
      <c r="S263" s="1" t="s">
        <v>50</v>
      </c>
      <c r="T263" s="1" t="s">
        <v>28</v>
      </c>
    </row>
    <row r="264" spans="1:20" x14ac:dyDescent="0.25">
      <c r="A264" s="1" t="s">
        <v>20</v>
      </c>
      <c r="B264">
        <v>17</v>
      </c>
      <c r="C264">
        <v>9</v>
      </c>
      <c r="D264">
        <v>16</v>
      </c>
      <c r="E264">
        <v>5</v>
      </c>
      <c r="F264" s="1" t="s">
        <v>21</v>
      </c>
      <c r="G264" s="1" t="s">
        <v>38</v>
      </c>
      <c r="H264" s="1" t="s">
        <v>24</v>
      </c>
      <c r="I264" s="1" t="s">
        <v>24</v>
      </c>
      <c r="J264" s="1" t="s">
        <v>24</v>
      </c>
      <c r="K264" s="1" t="s">
        <v>24</v>
      </c>
      <c r="L264" s="1" t="s">
        <v>24</v>
      </c>
      <c r="M264" s="1" t="s">
        <v>24</v>
      </c>
      <c r="N264" s="1" t="s">
        <v>80</v>
      </c>
      <c r="O264">
        <v>4</v>
      </c>
      <c r="P264">
        <v>2884</v>
      </c>
      <c r="Q264" s="1" t="s">
        <v>26</v>
      </c>
      <c r="R264">
        <v>-1806</v>
      </c>
      <c r="S264" s="1" t="s">
        <v>33</v>
      </c>
      <c r="T264" s="1" t="s">
        <v>58</v>
      </c>
    </row>
    <row r="265" spans="1:20" x14ac:dyDescent="0.25">
      <c r="A265" s="1" t="s">
        <v>37</v>
      </c>
      <c r="B265">
        <v>12</v>
      </c>
      <c r="C265">
        <v>4</v>
      </c>
      <c r="D265">
        <v>15</v>
      </c>
      <c r="E265">
        <v>5</v>
      </c>
      <c r="F265" s="1" t="s">
        <v>21</v>
      </c>
      <c r="G265" s="1" t="s">
        <v>41</v>
      </c>
      <c r="H265" s="1" t="s">
        <v>24</v>
      </c>
      <c r="I265" s="1" t="s">
        <v>24</v>
      </c>
      <c r="J265" s="1" t="s">
        <v>24</v>
      </c>
      <c r="K265" s="1" t="s">
        <v>23</v>
      </c>
      <c r="L265" s="1" t="s">
        <v>23</v>
      </c>
      <c r="M265" s="1" t="s">
        <v>24</v>
      </c>
      <c r="N265" s="1" t="s">
        <v>117</v>
      </c>
      <c r="O265">
        <v>35</v>
      </c>
      <c r="P265">
        <v>787</v>
      </c>
      <c r="Q265" s="1" t="s">
        <v>26</v>
      </c>
      <c r="R265">
        <v>11</v>
      </c>
      <c r="S265" s="1" t="s">
        <v>33</v>
      </c>
      <c r="T265" s="1" t="s">
        <v>58</v>
      </c>
    </row>
    <row r="266" spans="1:20" x14ac:dyDescent="0.25">
      <c r="A266" s="1" t="s">
        <v>20</v>
      </c>
      <c r="B266">
        <v>18</v>
      </c>
      <c r="C266">
        <v>11</v>
      </c>
      <c r="D266">
        <v>15</v>
      </c>
      <c r="E266">
        <v>5</v>
      </c>
      <c r="F266" s="1" t="s">
        <v>21</v>
      </c>
      <c r="G266" s="1" t="s">
        <v>41</v>
      </c>
      <c r="H266" s="1" t="s">
        <v>24</v>
      </c>
      <c r="I266" s="1" t="s">
        <v>24</v>
      </c>
      <c r="J266" s="1" t="s">
        <v>24</v>
      </c>
      <c r="K266" s="1" t="s">
        <v>24</v>
      </c>
      <c r="L266" s="1" t="s">
        <v>24</v>
      </c>
      <c r="M266" s="1" t="s">
        <v>24</v>
      </c>
      <c r="N266" s="1" t="s">
        <v>100</v>
      </c>
      <c r="O266">
        <v>5</v>
      </c>
      <c r="P266">
        <v>2700</v>
      </c>
      <c r="Q266" s="1" t="s">
        <v>26</v>
      </c>
      <c r="R266">
        <v>7</v>
      </c>
      <c r="S266" s="1" t="s">
        <v>33</v>
      </c>
      <c r="T266" s="1" t="s">
        <v>40</v>
      </c>
    </row>
    <row r="267" spans="1:20" x14ac:dyDescent="0.25">
      <c r="A267" s="1" t="s">
        <v>35</v>
      </c>
      <c r="B267">
        <v>29</v>
      </c>
      <c r="C267">
        <v>7</v>
      </c>
      <c r="D267">
        <v>15</v>
      </c>
      <c r="E267">
        <v>5</v>
      </c>
      <c r="F267" s="1" t="s">
        <v>55</v>
      </c>
      <c r="G267" s="1" t="s">
        <v>41</v>
      </c>
      <c r="H267" s="1" t="s">
        <v>24</v>
      </c>
      <c r="I267" s="1" t="s">
        <v>24</v>
      </c>
      <c r="J267" s="1" t="s">
        <v>23</v>
      </c>
      <c r="K267" s="1" t="s">
        <v>24</v>
      </c>
      <c r="L267" s="1" t="s">
        <v>24</v>
      </c>
      <c r="M267" s="1" t="s">
        <v>24</v>
      </c>
      <c r="N267" s="1" t="s">
        <v>119</v>
      </c>
      <c r="O267">
        <v>5</v>
      </c>
      <c r="P267">
        <v>4027</v>
      </c>
      <c r="Q267" s="1" t="s">
        <v>36</v>
      </c>
      <c r="R267">
        <v>7</v>
      </c>
      <c r="S267" s="1" t="s">
        <v>56</v>
      </c>
      <c r="T267" s="1" t="s">
        <v>28</v>
      </c>
    </row>
    <row r="268" spans="1:20" x14ac:dyDescent="0.25">
      <c r="A268" s="1" t="s">
        <v>20</v>
      </c>
      <c r="B268">
        <v>29</v>
      </c>
      <c r="C268">
        <v>11</v>
      </c>
      <c r="D268">
        <v>15</v>
      </c>
      <c r="E268">
        <v>5</v>
      </c>
      <c r="F268" s="1" t="s">
        <v>55</v>
      </c>
      <c r="G268" s="1" t="s">
        <v>41</v>
      </c>
      <c r="H268" s="1" t="s">
        <v>24</v>
      </c>
      <c r="I268" s="1" t="s">
        <v>24</v>
      </c>
      <c r="J268" s="1" t="s">
        <v>23</v>
      </c>
      <c r="K268" s="1" t="s">
        <v>24</v>
      </c>
      <c r="L268" s="1" t="s">
        <v>24</v>
      </c>
      <c r="M268" s="1" t="s">
        <v>24</v>
      </c>
      <c r="N268" s="1" t="s">
        <v>106</v>
      </c>
      <c r="O268">
        <v>5</v>
      </c>
      <c r="P268">
        <v>2034</v>
      </c>
      <c r="Q268" s="1" t="s">
        <v>26</v>
      </c>
      <c r="R268">
        <v>6</v>
      </c>
      <c r="S268" s="1" t="s">
        <v>56</v>
      </c>
      <c r="T268" s="1" t="s">
        <v>58</v>
      </c>
    </row>
    <row r="269" spans="1:20" x14ac:dyDescent="0.25">
      <c r="A269" s="1" t="s">
        <v>116</v>
      </c>
      <c r="B269">
        <v>14</v>
      </c>
      <c r="C269">
        <v>5</v>
      </c>
      <c r="D269">
        <v>15</v>
      </c>
      <c r="E269">
        <v>4</v>
      </c>
      <c r="F269" s="1" t="s">
        <v>55</v>
      </c>
      <c r="G269" s="1" t="s">
        <v>29</v>
      </c>
      <c r="H269" s="1" t="s">
        <v>24</v>
      </c>
      <c r="I269" s="1" t="s">
        <v>24</v>
      </c>
      <c r="J269" s="1" t="s">
        <v>23</v>
      </c>
      <c r="K269" s="1" t="s">
        <v>23</v>
      </c>
      <c r="L269" s="1" t="s">
        <v>23</v>
      </c>
      <c r="M269" s="1" t="s">
        <v>24</v>
      </c>
      <c r="N269" s="1" t="s">
        <v>115</v>
      </c>
      <c r="O269">
        <v>3</v>
      </c>
      <c r="P269">
        <v>315</v>
      </c>
      <c r="Q269" s="1" t="s">
        <v>36</v>
      </c>
      <c r="R269">
        <v>5</v>
      </c>
      <c r="S269" s="1" t="s">
        <v>59</v>
      </c>
      <c r="T269" s="1" t="s">
        <v>28</v>
      </c>
    </row>
    <row r="270" spans="1:20" x14ac:dyDescent="0.25">
      <c r="A270" s="1" t="s">
        <v>20</v>
      </c>
      <c r="B270">
        <v>54</v>
      </c>
      <c r="C270">
        <v>10</v>
      </c>
      <c r="D270">
        <v>15</v>
      </c>
      <c r="E270">
        <v>4</v>
      </c>
      <c r="F270" s="1" t="s">
        <v>31</v>
      </c>
      <c r="G270" s="1" t="s">
        <v>29</v>
      </c>
      <c r="H270" s="1" t="s">
        <v>24</v>
      </c>
      <c r="I270" s="1" t="s">
        <v>24</v>
      </c>
      <c r="J270" s="1" t="s">
        <v>24</v>
      </c>
      <c r="K270" s="1" t="s">
        <v>23</v>
      </c>
      <c r="L270" s="1" t="s">
        <v>23</v>
      </c>
      <c r="M270" s="1" t="s">
        <v>24</v>
      </c>
      <c r="N270" s="1" t="s">
        <v>117</v>
      </c>
      <c r="O270">
        <v>35</v>
      </c>
      <c r="P270">
        <v>787</v>
      </c>
      <c r="Q270" s="1" t="s">
        <v>26</v>
      </c>
      <c r="R270">
        <v>5</v>
      </c>
      <c r="S270" s="1" t="s">
        <v>45</v>
      </c>
      <c r="T270" s="1" t="s">
        <v>40</v>
      </c>
    </row>
    <row r="271" spans="1:20" x14ac:dyDescent="0.25">
      <c r="A271" s="1" t="s">
        <v>20</v>
      </c>
      <c r="B271">
        <v>60</v>
      </c>
      <c r="C271">
        <v>16</v>
      </c>
      <c r="D271">
        <v>15</v>
      </c>
      <c r="E271">
        <v>4</v>
      </c>
      <c r="F271" s="1" t="s">
        <v>21</v>
      </c>
      <c r="G271" s="1" t="s">
        <v>32</v>
      </c>
      <c r="H271" s="1" t="s">
        <v>24</v>
      </c>
      <c r="I271" s="1" t="s">
        <v>24</v>
      </c>
      <c r="J271" s="1" t="s">
        <v>23</v>
      </c>
      <c r="K271" s="1" t="s">
        <v>24</v>
      </c>
      <c r="L271" s="1" t="s">
        <v>24</v>
      </c>
      <c r="M271" s="1" t="s">
        <v>24</v>
      </c>
      <c r="N271" s="1" t="s">
        <v>119</v>
      </c>
      <c r="O271">
        <v>5</v>
      </c>
      <c r="P271">
        <v>4027</v>
      </c>
      <c r="Q271" s="1" t="s">
        <v>26</v>
      </c>
      <c r="R271">
        <v>5</v>
      </c>
      <c r="S271" s="1" t="s">
        <v>33</v>
      </c>
      <c r="T271" s="1" t="s">
        <v>34</v>
      </c>
    </row>
    <row r="272" spans="1:20" x14ac:dyDescent="0.25">
      <c r="A272" s="1" t="s">
        <v>61</v>
      </c>
      <c r="B272">
        <v>29</v>
      </c>
      <c r="C272">
        <v>11</v>
      </c>
      <c r="D272">
        <v>15</v>
      </c>
      <c r="E272">
        <v>4</v>
      </c>
      <c r="F272" s="1" t="s">
        <v>21</v>
      </c>
      <c r="G272" s="1" t="s">
        <v>41</v>
      </c>
      <c r="H272" s="1" t="s">
        <v>24</v>
      </c>
      <c r="I272" s="1" t="s">
        <v>24</v>
      </c>
      <c r="J272" s="1" t="s">
        <v>23</v>
      </c>
      <c r="K272" s="1" t="s">
        <v>24</v>
      </c>
      <c r="L272" s="1" t="s">
        <v>24</v>
      </c>
      <c r="M272" s="1" t="s">
        <v>24</v>
      </c>
      <c r="N272" s="1" t="s">
        <v>62</v>
      </c>
      <c r="O272">
        <v>3</v>
      </c>
      <c r="P272">
        <v>3981</v>
      </c>
      <c r="Q272" s="1" t="s">
        <v>36</v>
      </c>
      <c r="R272">
        <v>3</v>
      </c>
      <c r="S272" s="1" t="s">
        <v>27</v>
      </c>
      <c r="T272" s="1" t="s">
        <v>58</v>
      </c>
    </row>
    <row r="273" spans="1:20" x14ac:dyDescent="0.25">
      <c r="A273" s="1" t="s">
        <v>35</v>
      </c>
      <c r="B273">
        <v>21</v>
      </c>
      <c r="C273">
        <v>6</v>
      </c>
      <c r="D273">
        <v>15</v>
      </c>
      <c r="E273">
        <v>5</v>
      </c>
      <c r="F273" s="1" t="s">
        <v>46</v>
      </c>
      <c r="G273" s="1" t="s">
        <v>41</v>
      </c>
      <c r="H273" s="1" t="s">
        <v>24</v>
      </c>
      <c r="I273" s="1" t="s">
        <v>24</v>
      </c>
      <c r="J273" s="1" t="s">
        <v>23</v>
      </c>
      <c r="K273" s="1" t="s">
        <v>24</v>
      </c>
      <c r="L273" s="1" t="s">
        <v>24</v>
      </c>
      <c r="M273" s="1" t="s">
        <v>24</v>
      </c>
      <c r="N273" s="1" t="s">
        <v>119</v>
      </c>
      <c r="O273">
        <v>5</v>
      </c>
      <c r="P273">
        <v>4027</v>
      </c>
      <c r="Q273" s="1" t="s">
        <v>36</v>
      </c>
      <c r="R273">
        <v>3</v>
      </c>
      <c r="S273" s="1" t="s">
        <v>52</v>
      </c>
      <c r="T273" s="1" t="s">
        <v>34</v>
      </c>
    </row>
    <row r="274" spans="1:20" x14ac:dyDescent="0.25">
      <c r="A274" s="1" t="s">
        <v>93</v>
      </c>
      <c r="B274">
        <v>36</v>
      </c>
      <c r="C274">
        <v>9</v>
      </c>
      <c r="D274">
        <v>15</v>
      </c>
      <c r="E274">
        <v>4</v>
      </c>
      <c r="F274" s="1" t="s">
        <v>21</v>
      </c>
      <c r="G274" s="1" t="s">
        <v>22</v>
      </c>
      <c r="H274" s="1" t="s">
        <v>24</v>
      </c>
      <c r="I274" s="1" t="s">
        <v>24</v>
      </c>
      <c r="J274" s="1" t="s">
        <v>23</v>
      </c>
      <c r="K274" s="1" t="s">
        <v>24</v>
      </c>
      <c r="L274" s="1" t="s">
        <v>24</v>
      </c>
      <c r="M274" s="1" t="s">
        <v>24</v>
      </c>
      <c r="N274" s="1" t="s">
        <v>92</v>
      </c>
      <c r="O274">
        <v>5</v>
      </c>
      <c r="P274">
        <v>2959</v>
      </c>
      <c r="Q274" s="1" t="s">
        <v>36</v>
      </c>
      <c r="R274">
        <v>2</v>
      </c>
      <c r="S274" s="1" t="s">
        <v>33</v>
      </c>
      <c r="T274" s="1" t="s">
        <v>34</v>
      </c>
    </row>
    <row r="275" spans="1:20" x14ac:dyDescent="0.25">
      <c r="A275" s="1" t="s">
        <v>37</v>
      </c>
      <c r="B275">
        <v>13</v>
      </c>
      <c r="C275">
        <v>9</v>
      </c>
      <c r="D275">
        <v>15</v>
      </c>
      <c r="E275">
        <v>4</v>
      </c>
      <c r="F275" s="1" t="s">
        <v>46</v>
      </c>
      <c r="G275" s="1" t="s">
        <v>22</v>
      </c>
      <c r="H275" s="1" t="s">
        <v>24</v>
      </c>
      <c r="I275" s="1" t="s">
        <v>24</v>
      </c>
      <c r="J275" s="1" t="s">
        <v>23</v>
      </c>
      <c r="K275" s="1" t="s">
        <v>24</v>
      </c>
      <c r="L275" s="1" t="s">
        <v>24</v>
      </c>
      <c r="M275" s="1" t="s">
        <v>23</v>
      </c>
      <c r="N275" s="1" t="s">
        <v>70</v>
      </c>
      <c r="O275">
        <v>4</v>
      </c>
      <c r="P275">
        <v>3003</v>
      </c>
      <c r="Q275" s="1" t="s">
        <v>26</v>
      </c>
      <c r="R275">
        <v>1</v>
      </c>
      <c r="S275" s="1" t="s">
        <v>47</v>
      </c>
      <c r="T275" s="1" t="s">
        <v>58</v>
      </c>
    </row>
    <row r="276" spans="1:20" x14ac:dyDescent="0.25">
      <c r="A276" s="1" t="s">
        <v>37</v>
      </c>
      <c r="B276">
        <v>9</v>
      </c>
      <c r="C276">
        <v>3</v>
      </c>
      <c r="D276">
        <v>15</v>
      </c>
      <c r="E276">
        <v>5</v>
      </c>
      <c r="F276" s="1" t="s">
        <v>55</v>
      </c>
      <c r="G276" s="1" t="s">
        <v>32</v>
      </c>
      <c r="H276" s="1" t="s">
        <v>24</v>
      </c>
      <c r="I276" s="1" t="s">
        <v>24</v>
      </c>
      <c r="J276" s="1" t="s">
        <v>23</v>
      </c>
      <c r="K276" s="1" t="s">
        <v>24</v>
      </c>
      <c r="L276" s="1" t="s">
        <v>24</v>
      </c>
      <c r="M276" s="1" t="s">
        <v>24</v>
      </c>
      <c r="N276" s="1" t="s">
        <v>95</v>
      </c>
      <c r="O276">
        <v>5</v>
      </c>
      <c r="P276">
        <v>3025</v>
      </c>
      <c r="Q276" s="1" t="s">
        <v>26</v>
      </c>
      <c r="R276">
        <v>1</v>
      </c>
      <c r="S276" s="1" t="s">
        <v>57</v>
      </c>
      <c r="T276" s="1" t="s">
        <v>51</v>
      </c>
    </row>
    <row r="277" spans="1:20" x14ac:dyDescent="0.25">
      <c r="A277" s="1" t="s">
        <v>63</v>
      </c>
      <c r="B277">
        <v>2</v>
      </c>
      <c r="C277">
        <v>0</v>
      </c>
      <c r="D277">
        <v>15</v>
      </c>
      <c r="E277">
        <v>1</v>
      </c>
      <c r="F277" s="1" t="s">
        <v>55</v>
      </c>
      <c r="G277" s="1" t="s">
        <v>32</v>
      </c>
      <c r="H277" s="1" t="s">
        <v>24</v>
      </c>
      <c r="I277" s="1" t="s">
        <v>24</v>
      </c>
      <c r="J277" s="1" t="s">
        <v>23</v>
      </c>
      <c r="K277" s="1" t="s">
        <v>24</v>
      </c>
      <c r="L277" s="1" t="s">
        <v>24</v>
      </c>
      <c r="M277" s="1" t="s">
        <v>24</v>
      </c>
      <c r="N277" s="1" t="s">
        <v>102</v>
      </c>
      <c r="O277">
        <v>5</v>
      </c>
      <c r="P277">
        <v>1282</v>
      </c>
      <c r="Q277" s="1" t="s">
        <v>64</v>
      </c>
      <c r="R277">
        <v>1</v>
      </c>
      <c r="S277" s="1" t="s">
        <v>56</v>
      </c>
      <c r="T277" s="1" t="s">
        <v>58</v>
      </c>
    </row>
    <row r="278" spans="1:20" x14ac:dyDescent="0.25">
      <c r="A278" s="1" t="s">
        <v>48</v>
      </c>
      <c r="B278">
        <v>58</v>
      </c>
      <c r="C278">
        <v>9</v>
      </c>
      <c r="D278">
        <v>15</v>
      </c>
      <c r="E278">
        <v>4</v>
      </c>
      <c r="F278" s="1" t="s">
        <v>46</v>
      </c>
      <c r="G278" s="1" t="s">
        <v>41</v>
      </c>
      <c r="H278" s="1" t="s">
        <v>24</v>
      </c>
      <c r="I278" s="1" t="s">
        <v>24</v>
      </c>
      <c r="J278" s="1" t="s">
        <v>23</v>
      </c>
      <c r="K278" s="1" t="s">
        <v>24</v>
      </c>
      <c r="L278" s="1" t="s">
        <v>24</v>
      </c>
      <c r="M278" s="1" t="s">
        <v>24</v>
      </c>
      <c r="N278" s="1" t="s">
        <v>62</v>
      </c>
      <c r="O278">
        <v>3</v>
      </c>
      <c r="P278">
        <v>3981</v>
      </c>
      <c r="Q278" s="1" t="s">
        <v>49</v>
      </c>
      <c r="R278">
        <v>0</v>
      </c>
      <c r="S278" s="1" t="s">
        <v>47</v>
      </c>
      <c r="T278" s="1" t="s">
        <v>34</v>
      </c>
    </row>
    <row r="279" spans="1:20" x14ac:dyDescent="0.25">
      <c r="A279" s="1" t="s">
        <v>20</v>
      </c>
      <c r="B279">
        <v>28</v>
      </c>
      <c r="C279">
        <v>20</v>
      </c>
      <c r="D279">
        <v>14</v>
      </c>
      <c r="E279">
        <v>3</v>
      </c>
      <c r="F279" s="1" t="s">
        <v>46</v>
      </c>
      <c r="G279" s="1" t="s">
        <v>41</v>
      </c>
      <c r="H279" s="1" t="s">
        <v>24</v>
      </c>
      <c r="I279" s="1" t="s">
        <v>24</v>
      </c>
      <c r="J279" s="1" t="s">
        <v>23</v>
      </c>
      <c r="K279" s="1" t="s">
        <v>24</v>
      </c>
      <c r="L279" s="1" t="s">
        <v>24</v>
      </c>
      <c r="M279" s="1" t="s">
        <v>24</v>
      </c>
      <c r="N279" s="1" t="s">
        <v>95</v>
      </c>
      <c r="O279">
        <v>5</v>
      </c>
      <c r="P279">
        <v>3025</v>
      </c>
      <c r="Q279" s="1" t="s">
        <v>26</v>
      </c>
      <c r="R279">
        <v>8</v>
      </c>
      <c r="S279" s="1" t="s">
        <v>47</v>
      </c>
      <c r="T279" s="1" t="s">
        <v>30</v>
      </c>
    </row>
    <row r="280" spans="1:20" x14ac:dyDescent="0.25">
      <c r="A280" s="1" t="s">
        <v>35</v>
      </c>
      <c r="B280">
        <v>2</v>
      </c>
      <c r="C280">
        <v>18</v>
      </c>
      <c r="D280">
        <v>14</v>
      </c>
      <c r="E280">
        <v>5</v>
      </c>
      <c r="F280" s="1" t="s">
        <v>55</v>
      </c>
      <c r="G280" s="1" t="s">
        <v>41</v>
      </c>
      <c r="H280" s="1" t="s">
        <v>24</v>
      </c>
      <c r="I280" s="1" t="s">
        <v>24</v>
      </c>
      <c r="J280" s="1" t="s">
        <v>24</v>
      </c>
      <c r="K280" s="1" t="s">
        <v>24</v>
      </c>
      <c r="L280" s="1" t="s">
        <v>24</v>
      </c>
      <c r="M280" s="1" t="s">
        <v>24</v>
      </c>
      <c r="N280" s="1" t="s">
        <v>100</v>
      </c>
      <c r="O280">
        <v>5</v>
      </c>
      <c r="P280">
        <v>2700</v>
      </c>
      <c r="Q280" s="1" t="s">
        <v>36</v>
      </c>
      <c r="R280">
        <v>8</v>
      </c>
      <c r="S280" s="1" t="s">
        <v>59</v>
      </c>
      <c r="T280" s="1" t="s">
        <v>51</v>
      </c>
    </row>
    <row r="281" spans="1:20" x14ac:dyDescent="0.25">
      <c r="A281" s="1" t="s">
        <v>35</v>
      </c>
      <c r="B281">
        <v>14</v>
      </c>
      <c r="C281">
        <v>7</v>
      </c>
      <c r="D281">
        <v>14</v>
      </c>
      <c r="E281">
        <v>4</v>
      </c>
      <c r="F281" s="1" t="s">
        <v>31</v>
      </c>
      <c r="G281" s="1" t="s">
        <v>22</v>
      </c>
      <c r="H281" s="1" t="s">
        <v>23</v>
      </c>
      <c r="I281" s="1" t="s">
        <v>24</v>
      </c>
      <c r="J281" s="1" t="s">
        <v>23</v>
      </c>
      <c r="K281" s="1" t="s">
        <v>23</v>
      </c>
      <c r="L281" s="1" t="s">
        <v>24</v>
      </c>
      <c r="M281" s="1" t="s">
        <v>24</v>
      </c>
      <c r="N281" s="1" t="s">
        <v>25</v>
      </c>
      <c r="O281">
        <v>3</v>
      </c>
      <c r="P281">
        <v>3773</v>
      </c>
      <c r="Q281" s="1" t="s">
        <v>36</v>
      </c>
      <c r="R281">
        <v>6</v>
      </c>
      <c r="S281" s="1" t="s">
        <v>33</v>
      </c>
      <c r="T281" s="1" t="s">
        <v>30</v>
      </c>
    </row>
    <row r="282" spans="1:20" x14ac:dyDescent="0.25">
      <c r="A282" s="1" t="s">
        <v>79</v>
      </c>
      <c r="B282">
        <v>29</v>
      </c>
      <c r="C282">
        <v>11</v>
      </c>
      <c r="D282">
        <v>14</v>
      </c>
      <c r="E282">
        <v>3</v>
      </c>
      <c r="F282" s="1" t="s">
        <v>21</v>
      </c>
      <c r="G282" s="1" t="s">
        <v>29</v>
      </c>
      <c r="H282" s="1" t="s">
        <v>24</v>
      </c>
      <c r="I282" s="1" t="s">
        <v>24</v>
      </c>
      <c r="J282" s="1" t="s">
        <v>24</v>
      </c>
      <c r="K282" s="1" t="s">
        <v>24</v>
      </c>
      <c r="L282" s="1" t="s">
        <v>24</v>
      </c>
      <c r="M282" s="1" t="s">
        <v>24</v>
      </c>
      <c r="N282" s="1" t="s">
        <v>80</v>
      </c>
      <c r="O282">
        <v>4</v>
      </c>
      <c r="P282">
        <v>2884</v>
      </c>
      <c r="Q282" s="1" t="s">
        <v>36</v>
      </c>
      <c r="R282">
        <v>6</v>
      </c>
      <c r="S282" s="1" t="s">
        <v>27</v>
      </c>
      <c r="T282" s="1" t="s">
        <v>53</v>
      </c>
    </row>
    <row r="283" spans="1:20" x14ac:dyDescent="0.25">
      <c r="A283" s="1" t="s">
        <v>20</v>
      </c>
      <c r="B283">
        <v>14</v>
      </c>
      <c r="C283">
        <v>3</v>
      </c>
      <c r="D283">
        <v>14</v>
      </c>
      <c r="E283">
        <v>5</v>
      </c>
      <c r="F283" s="1" t="s">
        <v>55</v>
      </c>
      <c r="G283" s="1" t="s">
        <v>22</v>
      </c>
      <c r="H283" s="1" t="s">
        <v>24</v>
      </c>
      <c r="I283" s="1" t="s">
        <v>24</v>
      </c>
      <c r="J283" s="1" t="s">
        <v>24</v>
      </c>
      <c r="K283" s="1" t="s">
        <v>23</v>
      </c>
      <c r="L283" s="1" t="s">
        <v>23</v>
      </c>
      <c r="M283" s="1" t="s">
        <v>24</v>
      </c>
      <c r="N283" s="1" t="s">
        <v>117</v>
      </c>
      <c r="O283">
        <v>35</v>
      </c>
      <c r="P283">
        <v>787</v>
      </c>
      <c r="Q283" s="1" t="s">
        <v>26</v>
      </c>
      <c r="R283">
        <v>6</v>
      </c>
      <c r="S283" s="1" t="s">
        <v>56</v>
      </c>
      <c r="T283" s="1" t="s">
        <v>40</v>
      </c>
    </row>
    <row r="284" spans="1:20" x14ac:dyDescent="0.25">
      <c r="A284" s="1" t="s">
        <v>20</v>
      </c>
      <c r="B284">
        <v>31</v>
      </c>
      <c r="C284">
        <v>10</v>
      </c>
      <c r="D284">
        <v>14</v>
      </c>
      <c r="E284">
        <v>4</v>
      </c>
      <c r="F284" s="1" t="s">
        <v>31</v>
      </c>
      <c r="G284" s="1" t="s">
        <v>41</v>
      </c>
      <c r="H284" s="1" t="s">
        <v>24</v>
      </c>
      <c r="I284" s="1" t="s">
        <v>24</v>
      </c>
      <c r="J284" s="1" t="s">
        <v>23</v>
      </c>
      <c r="K284" s="1" t="s">
        <v>24</v>
      </c>
      <c r="L284" s="1" t="s">
        <v>24</v>
      </c>
      <c r="M284" s="1" t="s">
        <v>24</v>
      </c>
      <c r="N284" s="1" t="s">
        <v>95</v>
      </c>
      <c r="O284">
        <v>5</v>
      </c>
      <c r="P284">
        <v>3025</v>
      </c>
      <c r="Q284" s="1" t="s">
        <v>26</v>
      </c>
      <c r="R284">
        <v>5</v>
      </c>
      <c r="S284" s="1" t="s">
        <v>42</v>
      </c>
      <c r="T284" s="1" t="s">
        <v>53</v>
      </c>
    </row>
    <row r="285" spans="1:20" x14ac:dyDescent="0.25">
      <c r="A285" s="1" t="s">
        <v>20</v>
      </c>
      <c r="B285">
        <v>5</v>
      </c>
      <c r="C285">
        <v>5</v>
      </c>
      <c r="D285">
        <v>14</v>
      </c>
      <c r="E285">
        <v>5</v>
      </c>
      <c r="F285" s="1" t="s">
        <v>55</v>
      </c>
      <c r="G285" s="1" t="s">
        <v>41</v>
      </c>
      <c r="H285" s="1" t="s">
        <v>24</v>
      </c>
      <c r="I285" s="1" t="s">
        <v>24</v>
      </c>
      <c r="J285" s="1" t="s">
        <v>23</v>
      </c>
      <c r="K285" s="1" t="s">
        <v>24</v>
      </c>
      <c r="L285" s="1" t="s">
        <v>24</v>
      </c>
      <c r="M285" s="1" t="s">
        <v>24</v>
      </c>
      <c r="N285" s="1" t="s">
        <v>106</v>
      </c>
      <c r="O285">
        <v>5</v>
      </c>
      <c r="P285">
        <v>2034</v>
      </c>
      <c r="Q285" s="1" t="s">
        <v>26</v>
      </c>
      <c r="R285">
        <v>5</v>
      </c>
      <c r="S285" s="1" t="s">
        <v>59</v>
      </c>
      <c r="T285" s="1" t="s">
        <v>53</v>
      </c>
    </row>
    <row r="286" spans="1:20" x14ac:dyDescent="0.25">
      <c r="A286" s="1" t="s">
        <v>35</v>
      </c>
      <c r="B286">
        <v>19</v>
      </c>
      <c r="C286">
        <v>11</v>
      </c>
      <c r="D286">
        <v>14</v>
      </c>
      <c r="E286">
        <v>3</v>
      </c>
      <c r="F286" s="1" t="s">
        <v>55</v>
      </c>
      <c r="G286" s="1" t="s">
        <v>41</v>
      </c>
      <c r="H286" s="1" t="s">
        <v>24</v>
      </c>
      <c r="I286" s="1" t="s">
        <v>24</v>
      </c>
      <c r="J286" s="1" t="s">
        <v>24</v>
      </c>
      <c r="K286" s="1" t="s">
        <v>24</v>
      </c>
      <c r="L286" s="1" t="s">
        <v>24</v>
      </c>
      <c r="M286" s="1" t="s">
        <v>24</v>
      </c>
      <c r="N286" s="1" t="s">
        <v>114</v>
      </c>
      <c r="O286">
        <v>3</v>
      </c>
      <c r="P286">
        <v>716</v>
      </c>
      <c r="Q286" s="1" t="s">
        <v>36</v>
      </c>
      <c r="R286">
        <v>5</v>
      </c>
      <c r="S286" s="1" t="s">
        <v>57</v>
      </c>
      <c r="T286" s="1" t="s">
        <v>53</v>
      </c>
    </row>
    <row r="287" spans="1:20" x14ac:dyDescent="0.25">
      <c r="A287" s="1" t="s">
        <v>35</v>
      </c>
      <c r="B287">
        <v>56</v>
      </c>
      <c r="C287">
        <v>11</v>
      </c>
      <c r="D287">
        <v>14</v>
      </c>
      <c r="E287">
        <v>5</v>
      </c>
      <c r="F287" s="1" t="s">
        <v>55</v>
      </c>
      <c r="G287" s="1" t="s">
        <v>41</v>
      </c>
      <c r="H287" s="1" t="s">
        <v>24</v>
      </c>
      <c r="I287" s="1" t="s">
        <v>24</v>
      </c>
      <c r="J287" s="1" t="s">
        <v>23</v>
      </c>
      <c r="K287" s="1" t="s">
        <v>24</v>
      </c>
      <c r="L287" s="1" t="s">
        <v>24</v>
      </c>
      <c r="M287" s="1" t="s">
        <v>24</v>
      </c>
      <c r="N287" s="1" t="s">
        <v>119</v>
      </c>
      <c r="O287">
        <v>5</v>
      </c>
      <c r="P287">
        <v>4027</v>
      </c>
      <c r="Q287" s="1" t="s">
        <v>36</v>
      </c>
      <c r="R287">
        <v>5</v>
      </c>
      <c r="S287" s="1" t="s">
        <v>56</v>
      </c>
      <c r="T287" s="1" t="s">
        <v>30</v>
      </c>
    </row>
    <row r="288" spans="1:20" x14ac:dyDescent="0.25">
      <c r="A288" s="1" t="s">
        <v>20</v>
      </c>
      <c r="B288">
        <v>41</v>
      </c>
      <c r="C288">
        <v>8</v>
      </c>
      <c r="D288">
        <v>14</v>
      </c>
      <c r="E288">
        <v>3</v>
      </c>
      <c r="F288" s="1" t="s">
        <v>46</v>
      </c>
      <c r="G288" s="1" t="s">
        <v>32</v>
      </c>
      <c r="H288" s="1" t="s">
        <v>24</v>
      </c>
      <c r="I288" s="1" t="s">
        <v>24</v>
      </c>
      <c r="J288" s="1" t="s">
        <v>24</v>
      </c>
      <c r="K288" s="1" t="s">
        <v>23</v>
      </c>
      <c r="L288" s="1" t="s">
        <v>23</v>
      </c>
      <c r="M288" s="1" t="s">
        <v>24</v>
      </c>
      <c r="N288" s="1" t="s">
        <v>117</v>
      </c>
      <c r="O288">
        <v>35</v>
      </c>
      <c r="P288">
        <v>787</v>
      </c>
      <c r="Q288" s="1" t="s">
        <v>26</v>
      </c>
      <c r="R288">
        <v>4</v>
      </c>
      <c r="S288" s="1" t="s">
        <v>52</v>
      </c>
      <c r="T288" s="1" t="s">
        <v>51</v>
      </c>
    </row>
    <row r="289" spans="1:20" x14ac:dyDescent="0.25">
      <c r="A289" s="1" t="s">
        <v>48</v>
      </c>
      <c r="B289">
        <v>21</v>
      </c>
      <c r="C289">
        <v>20</v>
      </c>
      <c r="D289">
        <v>14</v>
      </c>
      <c r="E289">
        <v>5</v>
      </c>
      <c r="F289" s="1" t="s">
        <v>46</v>
      </c>
      <c r="G289" s="1" t="s">
        <v>41</v>
      </c>
      <c r="H289" s="1" t="s">
        <v>24</v>
      </c>
      <c r="I289" s="1" t="s">
        <v>24</v>
      </c>
      <c r="J289" s="1" t="s">
        <v>24</v>
      </c>
      <c r="K289" s="1" t="s">
        <v>24</v>
      </c>
      <c r="L289" s="1" t="s">
        <v>24</v>
      </c>
      <c r="M289" s="1" t="s">
        <v>24</v>
      </c>
      <c r="N289" s="1" t="s">
        <v>80</v>
      </c>
      <c r="O289">
        <v>4</v>
      </c>
      <c r="P289">
        <v>2884</v>
      </c>
      <c r="Q289" s="1" t="s">
        <v>49</v>
      </c>
      <c r="R289">
        <v>3</v>
      </c>
      <c r="S289" s="1" t="s">
        <v>50</v>
      </c>
      <c r="T289" s="1" t="s">
        <v>51</v>
      </c>
    </row>
    <row r="290" spans="1:20" x14ac:dyDescent="0.25">
      <c r="A290" s="1" t="s">
        <v>48</v>
      </c>
      <c r="B290">
        <v>16</v>
      </c>
      <c r="C290">
        <v>9</v>
      </c>
      <c r="D290">
        <v>14</v>
      </c>
      <c r="E290">
        <v>4</v>
      </c>
      <c r="F290" s="1" t="s">
        <v>21</v>
      </c>
      <c r="G290" s="1" t="s">
        <v>22</v>
      </c>
      <c r="H290" s="1" t="s">
        <v>24</v>
      </c>
      <c r="I290" s="1" t="s">
        <v>24</v>
      </c>
      <c r="J290" s="1" t="s">
        <v>23</v>
      </c>
      <c r="K290" s="1" t="s">
        <v>24</v>
      </c>
      <c r="L290" s="1" t="s">
        <v>24</v>
      </c>
      <c r="M290" s="1" t="s">
        <v>24</v>
      </c>
      <c r="N290" s="1" t="s">
        <v>92</v>
      </c>
      <c r="O290">
        <v>5</v>
      </c>
      <c r="P290">
        <v>2959</v>
      </c>
      <c r="Q290" s="1" t="s">
        <v>49</v>
      </c>
      <c r="R290">
        <v>3</v>
      </c>
      <c r="S290" s="1" t="s">
        <v>27</v>
      </c>
      <c r="T290" s="1" t="s">
        <v>28</v>
      </c>
    </row>
    <row r="291" spans="1:20" x14ac:dyDescent="0.25">
      <c r="A291" s="1" t="s">
        <v>20</v>
      </c>
      <c r="B291">
        <v>32</v>
      </c>
      <c r="C291">
        <v>11</v>
      </c>
      <c r="D291">
        <v>14</v>
      </c>
      <c r="E291">
        <v>5</v>
      </c>
      <c r="F291" s="1" t="s">
        <v>46</v>
      </c>
      <c r="G291" s="1" t="s">
        <v>32</v>
      </c>
      <c r="H291" s="1" t="s">
        <v>24</v>
      </c>
      <c r="I291" s="1" t="s">
        <v>24</v>
      </c>
      <c r="J291" s="1" t="s">
        <v>23</v>
      </c>
      <c r="K291" s="1" t="s">
        <v>24</v>
      </c>
      <c r="L291" s="1" t="s">
        <v>24</v>
      </c>
      <c r="M291" s="1" t="s">
        <v>24</v>
      </c>
      <c r="N291" s="1" t="s">
        <v>106</v>
      </c>
      <c r="O291">
        <v>5</v>
      </c>
      <c r="P291">
        <v>2034</v>
      </c>
      <c r="Q291" s="1" t="s">
        <v>26</v>
      </c>
      <c r="R291">
        <v>3</v>
      </c>
      <c r="S291" s="1" t="s">
        <v>50</v>
      </c>
      <c r="T291" s="1" t="s">
        <v>53</v>
      </c>
    </row>
    <row r="292" spans="1:20" x14ac:dyDescent="0.25">
      <c r="A292" s="1" t="s">
        <v>35</v>
      </c>
      <c r="B292">
        <v>6</v>
      </c>
      <c r="C292">
        <v>3</v>
      </c>
      <c r="D292">
        <v>14</v>
      </c>
      <c r="E292">
        <v>5</v>
      </c>
      <c r="F292" s="1" t="s">
        <v>46</v>
      </c>
      <c r="G292" s="1" t="s">
        <v>32</v>
      </c>
      <c r="H292" s="1" t="s">
        <v>24</v>
      </c>
      <c r="I292" s="1" t="s">
        <v>24</v>
      </c>
      <c r="J292" s="1" t="s">
        <v>24</v>
      </c>
      <c r="K292" s="1" t="s">
        <v>23</v>
      </c>
      <c r="L292" s="1" t="s">
        <v>23</v>
      </c>
      <c r="M292" s="1" t="s">
        <v>24</v>
      </c>
      <c r="N292" s="1" t="s">
        <v>117</v>
      </c>
      <c r="O292">
        <v>35</v>
      </c>
      <c r="P292">
        <v>787</v>
      </c>
      <c r="Q292" s="1" t="s">
        <v>36</v>
      </c>
      <c r="R292">
        <v>3</v>
      </c>
      <c r="S292" s="1" t="s">
        <v>50</v>
      </c>
      <c r="T292" s="1" t="s">
        <v>53</v>
      </c>
    </row>
    <row r="293" spans="1:20" x14ac:dyDescent="0.25">
      <c r="A293" s="1" t="s">
        <v>20</v>
      </c>
      <c r="B293">
        <v>28</v>
      </c>
      <c r="C293">
        <v>17</v>
      </c>
      <c r="D293">
        <v>14</v>
      </c>
      <c r="E293">
        <v>5</v>
      </c>
      <c r="F293" s="1" t="s">
        <v>55</v>
      </c>
      <c r="G293" s="1" t="s">
        <v>38</v>
      </c>
      <c r="H293" s="1" t="s">
        <v>24</v>
      </c>
      <c r="I293" s="1" t="s">
        <v>24</v>
      </c>
      <c r="J293" s="1" t="s">
        <v>23</v>
      </c>
      <c r="K293" s="1" t="s">
        <v>24</v>
      </c>
      <c r="L293" s="1" t="s">
        <v>24</v>
      </c>
      <c r="M293" s="1" t="s">
        <v>24</v>
      </c>
      <c r="N293" s="1" t="s">
        <v>108</v>
      </c>
      <c r="O293">
        <v>35</v>
      </c>
      <c r="P293">
        <v>1228</v>
      </c>
      <c r="Q293" s="1" t="s">
        <v>26</v>
      </c>
      <c r="R293">
        <v>2</v>
      </c>
      <c r="S293" s="1" t="s">
        <v>56</v>
      </c>
      <c r="T293" s="1" t="s">
        <v>51</v>
      </c>
    </row>
    <row r="294" spans="1:20" x14ac:dyDescent="0.25">
      <c r="A294" s="1" t="s">
        <v>20</v>
      </c>
      <c r="B294">
        <v>6</v>
      </c>
      <c r="C294">
        <v>4</v>
      </c>
      <c r="D294">
        <v>14</v>
      </c>
      <c r="E294">
        <v>1</v>
      </c>
      <c r="F294" s="1" t="s">
        <v>46</v>
      </c>
      <c r="G294" s="1" t="s">
        <v>29</v>
      </c>
      <c r="H294" s="1" t="s">
        <v>24</v>
      </c>
      <c r="I294" s="1" t="s">
        <v>24</v>
      </c>
      <c r="J294" s="1" t="s">
        <v>23</v>
      </c>
      <c r="K294" s="1" t="s">
        <v>24</v>
      </c>
      <c r="L294" s="1" t="s">
        <v>24</v>
      </c>
      <c r="M294" s="1" t="s">
        <v>24</v>
      </c>
      <c r="N294" s="1" t="s">
        <v>92</v>
      </c>
      <c r="O294">
        <v>5</v>
      </c>
      <c r="P294">
        <v>2959</v>
      </c>
      <c r="Q294" s="1" t="s">
        <v>26</v>
      </c>
      <c r="R294">
        <v>1</v>
      </c>
      <c r="S294" s="1" t="s">
        <v>50</v>
      </c>
      <c r="T294" s="1" t="s">
        <v>51</v>
      </c>
    </row>
    <row r="295" spans="1:20" x14ac:dyDescent="0.25">
      <c r="A295" s="1" t="s">
        <v>35</v>
      </c>
      <c r="B295">
        <v>21</v>
      </c>
      <c r="C295">
        <v>7</v>
      </c>
      <c r="D295">
        <v>13</v>
      </c>
      <c r="E295">
        <v>5</v>
      </c>
      <c r="F295" s="1" t="s">
        <v>21</v>
      </c>
      <c r="G295" s="1" t="s">
        <v>38</v>
      </c>
      <c r="H295" s="1" t="s">
        <v>24</v>
      </c>
      <c r="I295" s="1" t="s">
        <v>24</v>
      </c>
      <c r="J295" s="1" t="s">
        <v>23</v>
      </c>
      <c r="K295" s="1" t="s">
        <v>24</v>
      </c>
      <c r="L295" s="1" t="s">
        <v>24</v>
      </c>
      <c r="M295" s="1" t="s">
        <v>24</v>
      </c>
      <c r="N295" s="1" t="s">
        <v>102</v>
      </c>
      <c r="O295">
        <v>5</v>
      </c>
      <c r="P295">
        <v>1282</v>
      </c>
      <c r="Q295" s="1" t="s">
        <v>36</v>
      </c>
      <c r="R295">
        <v>10</v>
      </c>
      <c r="S295" s="1" t="s">
        <v>27</v>
      </c>
      <c r="T295" s="1" t="s">
        <v>40</v>
      </c>
    </row>
    <row r="296" spans="1:20" x14ac:dyDescent="0.25">
      <c r="A296" s="1" t="s">
        <v>20</v>
      </c>
      <c r="B296">
        <v>11</v>
      </c>
      <c r="C296">
        <v>4</v>
      </c>
      <c r="D296">
        <v>13</v>
      </c>
      <c r="E296">
        <v>5</v>
      </c>
      <c r="F296" s="1" t="s">
        <v>21</v>
      </c>
      <c r="G296" s="1" t="s">
        <v>22</v>
      </c>
      <c r="H296" s="1" t="s">
        <v>23</v>
      </c>
      <c r="I296" s="1" t="s">
        <v>24</v>
      </c>
      <c r="J296" s="1" t="s">
        <v>23</v>
      </c>
      <c r="K296" s="1" t="s">
        <v>23</v>
      </c>
      <c r="L296" s="1" t="s">
        <v>24</v>
      </c>
      <c r="M296" s="1" t="s">
        <v>24</v>
      </c>
      <c r="N296" s="1" t="s">
        <v>25</v>
      </c>
      <c r="O296">
        <v>3</v>
      </c>
      <c r="P296">
        <v>3773</v>
      </c>
      <c r="Q296" s="1" t="s">
        <v>26</v>
      </c>
      <c r="R296">
        <v>9</v>
      </c>
      <c r="S296" s="1" t="s">
        <v>27</v>
      </c>
      <c r="T296" s="1" t="s">
        <v>28</v>
      </c>
    </row>
    <row r="297" spans="1:20" x14ac:dyDescent="0.25">
      <c r="A297" s="1" t="s">
        <v>37</v>
      </c>
      <c r="B297">
        <v>11</v>
      </c>
      <c r="C297">
        <v>8</v>
      </c>
      <c r="D297">
        <v>13</v>
      </c>
      <c r="E297">
        <v>5</v>
      </c>
      <c r="F297" s="1" t="s">
        <v>31</v>
      </c>
      <c r="G297" s="1" t="s">
        <v>41</v>
      </c>
      <c r="H297" s="1" t="s">
        <v>24</v>
      </c>
      <c r="I297" s="1" t="s">
        <v>24</v>
      </c>
      <c r="J297" s="1" t="s">
        <v>23</v>
      </c>
      <c r="K297" s="1" t="s">
        <v>24</v>
      </c>
      <c r="L297" s="1" t="s">
        <v>24</v>
      </c>
      <c r="M297" s="1" t="s">
        <v>24</v>
      </c>
      <c r="N297" s="1" t="s">
        <v>62</v>
      </c>
      <c r="O297">
        <v>3</v>
      </c>
      <c r="P297">
        <v>3981</v>
      </c>
      <c r="Q297" s="1" t="s">
        <v>26</v>
      </c>
      <c r="R297">
        <v>7</v>
      </c>
      <c r="S297" s="1" t="s">
        <v>42</v>
      </c>
      <c r="T297" s="1" t="s">
        <v>30</v>
      </c>
    </row>
    <row r="298" spans="1:20" x14ac:dyDescent="0.25">
      <c r="A298" s="1" t="s">
        <v>71</v>
      </c>
      <c r="B298">
        <v>24</v>
      </c>
      <c r="C298">
        <v>10</v>
      </c>
      <c r="D298">
        <v>13</v>
      </c>
      <c r="E298">
        <v>5</v>
      </c>
      <c r="F298" s="1" t="s">
        <v>31</v>
      </c>
      <c r="G298" s="1" t="s">
        <v>41</v>
      </c>
      <c r="H298" s="1" t="s">
        <v>24</v>
      </c>
      <c r="I298" s="1" t="s">
        <v>24</v>
      </c>
      <c r="J298" s="1" t="s">
        <v>23</v>
      </c>
      <c r="K298" s="1" t="s">
        <v>24</v>
      </c>
      <c r="L298" s="1" t="s">
        <v>24</v>
      </c>
      <c r="M298" s="1" t="s">
        <v>23</v>
      </c>
      <c r="N298" s="1" t="s">
        <v>70</v>
      </c>
      <c r="O298">
        <v>4</v>
      </c>
      <c r="P298">
        <v>3003</v>
      </c>
      <c r="Q298" s="1" t="s">
        <v>36</v>
      </c>
      <c r="R298">
        <v>5</v>
      </c>
      <c r="S298" s="1" t="s">
        <v>42</v>
      </c>
      <c r="T298" s="1" t="s">
        <v>51</v>
      </c>
    </row>
    <row r="299" spans="1:20" x14ac:dyDescent="0.25">
      <c r="A299" s="1" t="s">
        <v>20</v>
      </c>
      <c r="B299">
        <v>15</v>
      </c>
      <c r="C299">
        <v>3</v>
      </c>
      <c r="D299">
        <v>13</v>
      </c>
      <c r="E299">
        <v>5</v>
      </c>
      <c r="F299" s="1" t="s">
        <v>21</v>
      </c>
      <c r="G299" s="1" t="s">
        <v>32</v>
      </c>
      <c r="H299" s="1" t="s">
        <v>24</v>
      </c>
      <c r="I299" s="1" t="s">
        <v>24</v>
      </c>
      <c r="J299" s="1" t="s">
        <v>23</v>
      </c>
      <c r="K299" s="1" t="s">
        <v>24</v>
      </c>
      <c r="L299" s="1" t="s">
        <v>24</v>
      </c>
      <c r="M299" s="1" t="s">
        <v>24</v>
      </c>
      <c r="N299" s="1" t="s">
        <v>120</v>
      </c>
      <c r="O299">
        <v>5</v>
      </c>
      <c r="P299">
        <v>3933</v>
      </c>
      <c r="Q299" s="1" t="s">
        <v>26</v>
      </c>
      <c r="R299">
        <v>5</v>
      </c>
      <c r="S299" s="1" t="s">
        <v>27</v>
      </c>
      <c r="T299" s="1" t="s">
        <v>28</v>
      </c>
    </row>
    <row r="300" spans="1:20" x14ac:dyDescent="0.25">
      <c r="A300" s="1" t="s">
        <v>48</v>
      </c>
      <c r="B300">
        <v>21</v>
      </c>
      <c r="C300">
        <v>11</v>
      </c>
      <c r="D300">
        <v>13</v>
      </c>
      <c r="E300">
        <v>5</v>
      </c>
      <c r="F300" s="1" t="s">
        <v>21</v>
      </c>
      <c r="G300" s="1" t="s">
        <v>32</v>
      </c>
      <c r="H300" s="1" t="s">
        <v>24</v>
      </c>
      <c r="I300" s="1" t="s">
        <v>24</v>
      </c>
      <c r="J300" s="1" t="s">
        <v>24</v>
      </c>
      <c r="K300" s="1" t="s">
        <v>23</v>
      </c>
      <c r="L300" s="1" t="s">
        <v>23</v>
      </c>
      <c r="M300" s="1" t="s">
        <v>24</v>
      </c>
      <c r="N300" s="1" t="s">
        <v>117</v>
      </c>
      <c r="O300">
        <v>35</v>
      </c>
      <c r="P300">
        <v>787</v>
      </c>
      <c r="Q300" s="1" t="s">
        <v>49</v>
      </c>
      <c r="R300">
        <v>4</v>
      </c>
      <c r="S300" s="1" t="s">
        <v>27</v>
      </c>
      <c r="T300" s="1" t="s">
        <v>53</v>
      </c>
    </row>
    <row r="301" spans="1:20" x14ac:dyDescent="0.25">
      <c r="A301" s="1" t="s">
        <v>20</v>
      </c>
      <c r="B301">
        <v>14</v>
      </c>
      <c r="C301">
        <v>7</v>
      </c>
      <c r="D301">
        <v>13</v>
      </c>
      <c r="E301">
        <v>5</v>
      </c>
      <c r="F301" s="1" t="s">
        <v>31</v>
      </c>
      <c r="G301" s="1" t="s">
        <v>22</v>
      </c>
      <c r="H301" s="1" t="s">
        <v>24</v>
      </c>
      <c r="I301" s="1" t="s">
        <v>24</v>
      </c>
      <c r="J301" s="1" t="s">
        <v>23</v>
      </c>
      <c r="K301" s="1" t="s">
        <v>24</v>
      </c>
      <c r="L301" s="1" t="s">
        <v>24</v>
      </c>
      <c r="M301" s="1" t="s">
        <v>24</v>
      </c>
      <c r="N301" s="1" t="s">
        <v>123</v>
      </c>
      <c r="O301">
        <v>4</v>
      </c>
      <c r="P301">
        <v>826</v>
      </c>
      <c r="Q301" s="1" t="s">
        <v>26</v>
      </c>
      <c r="R301">
        <v>4</v>
      </c>
      <c r="S301" s="1" t="s">
        <v>39</v>
      </c>
      <c r="T301" s="1" t="s">
        <v>28</v>
      </c>
    </row>
    <row r="302" spans="1:20" x14ac:dyDescent="0.25">
      <c r="A302" s="1" t="s">
        <v>20</v>
      </c>
      <c r="B302">
        <v>39</v>
      </c>
      <c r="C302">
        <v>10</v>
      </c>
      <c r="D302">
        <v>13</v>
      </c>
      <c r="E302">
        <v>4</v>
      </c>
      <c r="F302" s="1" t="s">
        <v>31</v>
      </c>
      <c r="G302" s="1" t="s">
        <v>41</v>
      </c>
      <c r="H302" s="1" t="s">
        <v>24</v>
      </c>
      <c r="I302" s="1" t="s">
        <v>24</v>
      </c>
      <c r="J302" s="1" t="s">
        <v>24</v>
      </c>
      <c r="K302" s="1" t="s">
        <v>24</v>
      </c>
      <c r="L302" s="1" t="s">
        <v>24</v>
      </c>
      <c r="M302" s="1" t="s">
        <v>24</v>
      </c>
      <c r="N302" s="1" t="s">
        <v>114</v>
      </c>
      <c r="O302">
        <v>3</v>
      </c>
      <c r="P302">
        <v>716</v>
      </c>
      <c r="Q302" s="1" t="s">
        <v>26</v>
      </c>
      <c r="R302">
        <v>3</v>
      </c>
      <c r="S302" s="1" t="s">
        <v>42</v>
      </c>
      <c r="T302" s="1" t="s">
        <v>51</v>
      </c>
    </row>
    <row r="303" spans="1:20" x14ac:dyDescent="0.25">
      <c r="A303" s="1" t="s">
        <v>20</v>
      </c>
      <c r="B303">
        <v>17</v>
      </c>
      <c r="C303">
        <v>15</v>
      </c>
      <c r="D303">
        <v>13</v>
      </c>
      <c r="E303">
        <v>4</v>
      </c>
      <c r="F303" s="1" t="s">
        <v>46</v>
      </c>
      <c r="G303" s="1" t="s">
        <v>41</v>
      </c>
      <c r="H303" s="1" t="s">
        <v>24</v>
      </c>
      <c r="I303" s="1" t="s">
        <v>24</v>
      </c>
      <c r="J303" s="1" t="s">
        <v>23</v>
      </c>
      <c r="K303" s="1" t="s">
        <v>24</v>
      </c>
      <c r="L303" s="1" t="s">
        <v>24</v>
      </c>
      <c r="M303" s="1" t="s">
        <v>24</v>
      </c>
      <c r="N303" s="1" t="s">
        <v>90</v>
      </c>
      <c r="O303">
        <v>5</v>
      </c>
      <c r="P303">
        <v>3348</v>
      </c>
      <c r="Q303" s="1" t="s">
        <v>26</v>
      </c>
      <c r="R303">
        <v>2</v>
      </c>
      <c r="S303" s="1" t="s">
        <v>47</v>
      </c>
      <c r="T303" s="1" t="s">
        <v>53</v>
      </c>
    </row>
    <row r="304" spans="1:20" x14ac:dyDescent="0.25">
      <c r="A304" s="1" t="s">
        <v>20</v>
      </c>
      <c r="B304">
        <v>9</v>
      </c>
      <c r="C304">
        <v>3</v>
      </c>
      <c r="D304">
        <v>13</v>
      </c>
      <c r="E304">
        <v>3</v>
      </c>
      <c r="F304" s="1" t="s">
        <v>31</v>
      </c>
      <c r="G304" s="1" t="s">
        <v>41</v>
      </c>
      <c r="H304" s="1" t="s">
        <v>24</v>
      </c>
      <c r="I304" s="1" t="s">
        <v>24</v>
      </c>
      <c r="J304" s="1" t="s">
        <v>23</v>
      </c>
      <c r="K304" s="1" t="s">
        <v>24</v>
      </c>
      <c r="L304" s="1" t="s">
        <v>24</v>
      </c>
      <c r="M304" s="1" t="s">
        <v>24</v>
      </c>
      <c r="N304" s="1" t="s">
        <v>119</v>
      </c>
      <c r="O304">
        <v>5</v>
      </c>
      <c r="P304">
        <v>4027</v>
      </c>
      <c r="Q304" s="1" t="s">
        <v>26</v>
      </c>
      <c r="R304">
        <v>2</v>
      </c>
      <c r="S304" s="1" t="s">
        <v>39</v>
      </c>
      <c r="T304" s="1" t="s">
        <v>28</v>
      </c>
    </row>
    <row r="305" spans="1:20" x14ac:dyDescent="0.25">
      <c r="A305" s="1" t="s">
        <v>37</v>
      </c>
      <c r="B305">
        <v>13</v>
      </c>
      <c r="C305">
        <v>6</v>
      </c>
      <c r="D305">
        <v>13</v>
      </c>
      <c r="E305">
        <v>5</v>
      </c>
      <c r="F305" s="1" t="s">
        <v>55</v>
      </c>
      <c r="G305" s="1" t="s">
        <v>41</v>
      </c>
      <c r="H305" s="1" t="s">
        <v>24</v>
      </c>
      <c r="I305" s="1" t="s">
        <v>24</v>
      </c>
      <c r="J305" s="1" t="s">
        <v>23</v>
      </c>
      <c r="K305" s="1" t="s">
        <v>24</v>
      </c>
      <c r="L305" s="1" t="s">
        <v>24</v>
      </c>
      <c r="M305" s="1" t="s">
        <v>24</v>
      </c>
      <c r="N305" s="1" t="s">
        <v>122</v>
      </c>
      <c r="O305">
        <v>4</v>
      </c>
      <c r="P305">
        <v>2916</v>
      </c>
      <c r="Q305" s="1" t="s">
        <v>26</v>
      </c>
      <c r="R305">
        <v>2</v>
      </c>
      <c r="S305" s="1" t="s">
        <v>56</v>
      </c>
      <c r="T305" s="1" t="s">
        <v>40</v>
      </c>
    </row>
    <row r="306" spans="1:20" x14ac:dyDescent="0.25">
      <c r="A306" s="1" t="s">
        <v>20</v>
      </c>
      <c r="B306">
        <v>22</v>
      </c>
      <c r="C306">
        <v>5</v>
      </c>
      <c r="D306">
        <v>13</v>
      </c>
      <c r="E306">
        <v>3</v>
      </c>
      <c r="F306" s="1" t="s">
        <v>46</v>
      </c>
      <c r="G306" s="1" t="s">
        <v>22</v>
      </c>
      <c r="H306" s="1" t="s">
        <v>23</v>
      </c>
      <c r="I306" s="1" t="s">
        <v>24</v>
      </c>
      <c r="J306" s="1" t="s">
        <v>23</v>
      </c>
      <c r="K306" s="1" t="s">
        <v>23</v>
      </c>
      <c r="L306" s="1" t="s">
        <v>24</v>
      </c>
      <c r="M306" s="1" t="s">
        <v>24</v>
      </c>
      <c r="N306" s="1" t="s">
        <v>25</v>
      </c>
      <c r="O306">
        <v>3</v>
      </c>
      <c r="P306">
        <v>3773</v>
      </c>
      <c r="Q306" s="1" t="s">
        <v>26</v>
      </c>
      <c r="R306">
        <v>1</v>
      </c>
      <c r="S306" s="1" t="s">
        <v>50</v>
      </c>
      <c r="T306" s="1" t="s">
        <v>28</v>
      </c>
    </row>
    <row r="307" spans="1:20" x14ac:dyDescent="0.25">
      <c r="A307" s="1" t="s">
        <v>20</v>
      </c>
      <c r="B307">
        <v>42</v>
      </c>
      <c r="C307">
        <v>9</v>
      </c>
      <c r="D307">
        <v>13</v>
      </c>
      <c r="E307">
        <v>5</v>
      </c>
      <c r="F307" s="1" t="s">
        <v>21</v>
      </c>
      <c r="G307" s="1" t="s">
        <v>41</v>
      </c>
      <c r="H307" s="1" t="s">
        <v>24</v>
      </c>
      <c r="I307" s="1" t="s">
        <v>24</v>
      </c>
      <c r="J307" s="1" t="s">
        <v>23</v>
      </c>
      <c r="K307" s="1" t="s">
        <v>23</v>
      </c>
      <c r="L307" s="1" t="s">
        <v>24</v>
      </c>
      <c r="M307" s="1" t="s">
        <v>24</v>
      </c>
      <c r="N307" s="1" t="s">
        <v>109</v>
      </c>
      <c r="O307">
        <v>35</v>
      </c>
      <c r="P307">
        <v>732</v>
      </c>
      <c r="Q307" s="1" t="s">
        <v>26</v>
      </c>
      <c r="R307">
        <v>1</v>
      </c>
      <c r="S307" s="1" t="s">
        <v>60</v>
      </c>
      <c r="T307" s="1" t="s">
        <v>40</v>
      </c>
    </row>
    <row r="308" spans="1:20" x14ac:dyDescent="0.25">
      <c r="A308" s="1" t="s">
        <v>20</v>
      </c>
      <c r="B308">
        <v>6</v>
      </c>
      <c r="C308">
        <v>6</v>
      </c>
      <c r="D308">
        <v>12</v>
      </c>
      <c r="E308">
        <v>4</v>
      </c>
      <c r="F308" s="1" t="s">
        <v>21</v>
      </c>
      <c r="G308" s="1" t="s">
        <v>41</v>
      </c>
      <c r="H308" s="1" t="s">
        <v>24</v>
      </c>
      <c r="I308" s="1" t="s">
        <v>24</v>
      </c>
      <c r="J308" s="1" t="s">
        <v>23</v>
      </c>
      <c r="K308" s="1" t="s">
        <v>24</v>
      </c>
      <c r="L308" s="1" t="s">
        <v>24</v>
      </c>
      <c r="M308" s="1" t="s">
        <v>24</v>
      </c>
      <c r="N308" s="1" t="s">
        <v>119</v>
      </c>
      <c r="O308">
        <v>5</v>
      </c>
      <c r="P308">
        <v>4027</v>
      </c>
      <c r="Q308" s="1" t="s">
        <v>26</v>
      </c>
      <c r="R308">
        <v>10</v>
      </c>
      <c r="S308" s="1" t="s">
        <v>60</v>
      </c>
      <c r="T308" s="1" t="s">
        <v>51</v>
      </c>
    </row>
    <row r="309" spans="1:20" x14ac:dyDescent="0.25">
      <c r="A309" s="1" t="s">
        <v>20</v>
      </c>
      <c r="B309">
        <v>21</v>
      </c>
      <c r="C309">
        <v>5</v>
      </c>
      <c r="D309">
        <v>12</v>
      </c>
      <c r="E309">
        <v>4</v>
      </c>
      <c r="F309" s="1" t="s">
        <v>31</v>
      </c>
      <c r="G309" s="1" t="s">
        <v>29</v>
      </c>
      <c r="H309" s="1" t="s">
        <v>24</v>
      </c>
      <c r="I309" s="1" t="s">
        <v>24</v>
      </c>
      <c r="J309" s="1" t="s">
        <v>24</v>
      </c>
      <c r="K309" s="1" t="s">
        <v>24</v>
      </c>
      <c r="L309" s="1" t="s">
        <v>24</v>
      </c>
      <c r="M309" s="1" t="s">
        <v>24</v>
      </c>
      <c r="N309" s="1" t="s">
        <v>100</v>
      </c>
      <c r="O309">
        <v>5</v>
      </c>
      <c r="P309">
        <v>2700</v>
      </c>
      <c r="Q309" s="1" t="s">
        <v>26</v>
      </c>
      <c r="R309">
        <v>8</v>
      </c>
      <c r="S309" s="1" t="s">
        <v>39</v>
      </c>
      <c r="T309" s="1" t="s">
        <v>58</v>
      </c>
    </row>
    <row r="310" spans="1:20" x14ac:dyDescent="0.25">
      <c r="A310" s="1" t="s">
        <v>20</v>
      </c>
      <c r="B310">
        <v>25</v>
      </c>
      <c r="C310">
        <v>5</v>
      </c>
      <c r="D310">
        <v>12</v>
      </c>
      <c r="E310">
        <v>5</v>
      </c>
      <c r="F310" s="1" t="s">
        <v>21</v>
      </c>
      <c r="G310" s="1" t="s">
        <v>22</v>
      </c>
      <c r="H310" s="1" t="s">
        <v>24</v>
      </c>
      <c r="I310" s="1" t="s">
        <v>24</v>
      </c>
      <c r="J310" s="1" t="s">
        <v>24</v>
      </c>
      <c r="K310" s="1" t="s">
        <v>24</v>
      </c>
      <c r="L310" s="1" t="s">
        <v>24</v>
      </c>
      <c r="M310" s="1" t="s">
        <v>24</v>
      </c>
      <c r="N310" s="1" t="s">
        <v>114</v>
      </c>
      <c r="O310">
        <v>3</v>
      </c>
      <c r="P310">
        <v>716</v>
      </c>
      <c r="Q310" s="1" t="s">
        <v>26</v>
      </c>
      <c r="R310">
        <v>8</v>
      </c>
      <c r="S310" s="1" t="s">
        <v>27</v>
      </c>
      <c r="T310" s="1" t="s">
        <v>28</v>
      </c>
    </row>
    <row r="311" spans="1:20" x14ac:dyDescent="0.25">
      <c r="A311" s="1" t="s">
        <v>20</v>
      </c>
      <c r="B311">
        <v>11</v>
      </c>
      <c r="C311">
        <v>8</v>
      </c>
      <c r="D311">
        <v>12</v>
      </c>
      <c r="E311">
        <v>3</v>
      </c>
      <c r="F311" s="1" t="s">
        <v>31</v>
      </c>
      <c r="G311" s="1" t="s">
        <v>22</v>
      </c>
      <c r="H311" s="1" t="s">
        <v>24</v>
      </c>
      <c r="I311" s="1" t="s">
        <v>24</v>
      </c>
      <c r="J311" s="1" t="s">
        <v>23</v>
      </c>
      <c r="K311" s="1" t="s">
        <v>23</v>
      </c>
      <c r="L311" s="1" t="s">
        <v>23</v>
      </c>
      <c r="M311" s="1" t="s">
        <v>24</v>
      </c>
      <c r="N311" s="1" t="s">
        <v>115</v>
      </c>
      <c r="O311">
        <v>3</v>
      </c>
      <c r="P311">
        <v>315</v>
      </c>
      <c r="Q311" s="1" t="s">
        <v>26</v>
      </c>
      <c r="R311">
        <v>6</v>
      </c>
      <c r="S311" s="1" t="s">
        <v>45</v>
      </c>
      <c r="T311" s="1" t="s">
        <v>53</v>
      </c>
    </row>
    <row r="312" spans="1:20" x14ac:dyDescent="0.25">
      <c r="A312" s="1" t="s">
        <v>35</v>
      </c>
      <c r="B312">
        <v>13</v>
      </c>
      <c r="C312">
        <v>7</v>
      </c>
      <c r="D312">
        <v>12</v>
      </c>
      <c r="E312">
        <v>4</v>
      </c>
      <c r="F312" s="1" t="s">
        <v>46</v>
      </c>
      <c r="G312" s="1" t="s">
        <v>41</v>
      </c>
      <c r="H312" s="1" t="s">
        <v>24</v>
      </c>
      <c r="I312" s="1" t="s">
        <v>24</v>
      </c>
      <c r="J312" s="1" t="s">
        <v>23</v>
      </c>
      <c r="K312" s="1" t="s">
        <v>24</v>
      </c>
      <c r="L312" s="1" t="s">
        <v>24</v>
      </c>
      <c r="M312" s="1" t="s">
        <v>24</v>
      </c>
      <c r="N312" s="1" t="s">
        <v>119</v>
      </c>
      <c r="O312">
        <v>5</v>
      </c>
      <c r="P312">
        <v>4027</v>
      </c>
      <c r="Q312" s="1" t="s">
        <v>36</v>
      </c>
      <c r="R312">
        <v>5</v>
      </c>
      <c r="S312" s="1" t="s">
        <v>50</v>
      </c>
      <c r="T312" s="1" t="s">
        <v>53</v>
      </c>
    </row>
    <row r="313" spans="1:20" x14ac:dyDescent="0.25">
      <c r="A313" s="1" t="s">
        <v>20</v>
      </c>
      <c r="B313">
        <v>15</v>
      </c>
      <c r="C313">
        <v>5</v>
      </c>
      <c r="D313">
        <v>12</v>
      </c>
      <c r="E313">
        <v>5</v>
      </c>
      <c r="F313" s="1" t="s">
        <v>21</v>
      </c>
      <c r="G313" s="1" t="s">
        <v>29</v>
      </c>
      <c r="H313" s="1" t="s">
        <v>24</v>
      </c>
      <c r="I313" s="1" t="s">
        <v>24</v>
      </c>
      <c r="J313" s="1" t="s">
        <v>23</v>
      </c>
      <c r="K313" s="1" t="s">
        <v>24</v>
      </c>
      <c r="L313" s="1" t="s">
        <v>24</v>
      </c>
      <c r="M313" s="1" t="s">
        <v>24</v>
      </c>
      <c r="N313" s="1" t="s">
        <v>106</v>
      </c>
      <c r="O313">
        <v>5</v>
      </c>
      <c r="P313">
        <v>2034</v>
      </c>
      <c r="Q313" s="1" t="s">
        <v>26</v>
      </c>
      <c r="R313">
        <v>4</v>
      </c>
      <c r="S313" s="1" t="s">
        <v>33</v>
      </c>
      <c r="T313" s="1" t="s">
        <v>53</v>
      </c>
    </row>
    <row r="314" spans="1:20" x14ac:dyDescent="0.25">
      <c r="A314" s="1" t="s">
        <v>20</v>
      </c>
      <c r="B314">
        <v>33</v>
      </c>
      <c r="C314">
        <v>11</v>
      </c>
      <c r="D314">
        <v>12</v>
      </c>
      <c r="E314">
        <v>5</v>
      </c>
      <c r="F314" s="1" t="s">
        <v>31</v>
      </c>
      <c r="G314" s="1" t="s">
        <v>29</v>
      </c>
      <c r="H314" s="1" t="s">
        <v>24</v>
      </c>
      <c r="I314" s="1" t="s">
        <v>24</v>
      </c>
      <c r="J314" s="1" t="s">
        <v>23</v>
      </c>
      <c r="K314" s="1" t="s">
        <v>24</v>
      </c>
      <c r="L314" s="1" t="s">
        <v>24</v>
      </c>
      <c r="M314" s="1" t="s">
        <v>24</v>
      </c>
      <c r="N314" s="1" t="s">
        <v>123</v>
      </c>
      <c r="O314">
        <v>4</v>
      </c>
      <c r="P314">
        <v>826</v>
      </c>
      <c r="Q314" s="1" t="s">
        <v>26</v>
      </c>
      <c r="R314">
        <v>4</v>
      </c>
      <c r="S314" s="1" t="s">
        <v>39</v>
      </c>
      <c r="T314" s="1" t="s">
        <v>51</v>
      </c>
    </row>
    <row r="315" spans="1:20" x14ac:dyDescent="0.25">
      <c r="A315" s="1" t="s">
        <v>37</v>
      </c>
      <c r="B315">
        <v>14</v>
      </c>
      <c r="C315">
        <v>3</v>
      </c>
      <c r="D315">
        <v>12</v>
      </c>
      <c r="E315">
        <v>5</v>
      </c>
      <c r="F315" s="1" t="s">
        <v>21</v>
      </c>
      <c r="G315" s="1" t="s">
        <v>32</v>
      </c>
      <c r="H315" s="1" t="s">
        <v>24</v>
      </c>
      <c r="I315" s="1" t="s">
        <v>24</v>
      </c>
      <c r="J315" s="1" t="s">
        <v>23</v>
      </c>
      <c r="K315" s="1" t="s">
        <v>24</v>
      </c>
      <c r="L315" s="1" t="s">
        <v>24</v>
      </c>
      <c r="M315" s="1" t="s">
        <v>24</v>
      </c>
      <c r="N315" s="1" t="s">
        <v>90</v>
      </c>
      <c r="O315">
        <v>5</v>
      </c>
      <c r="P315">
        <v>3348</v>
      </c>
      <c r="Q315" s="1" t="s">
        <v>26</v>
      </c>
      <c r="R315">
        <v>2</v>
      </c>
      <c r="S315" s="1" t="s">
        <v>33</v>
      </c>
      <c r="T315" s="1" t="s">
        <v>28</v>
      </c>
    </row>
    <row r="316" spans="1:20" x14ac:dyDescent="0.25">
      <c r="A316" s="1" t="s">
        <v>20</v>
      </c>
      <c r="B316">
        <v>17</v>
      </c>
      <c r="C316">
        <v>3</v>
      </c>
      <c r="D316">
        <v>12</v>
      </c>
      <c r="E316">
        <v>4</v>
      </c>
      <c r="F316" s="1" t="s">
        <v>21</v>
      </c>
      <c r="G316" s="1" t="s">
        <v>22</v>
      </c>
      <c r="H316" s="1" t="s">
        <v>24</v>
      </c>
      <c r="I316" s="1" t="s">
        <v>24</v>
      </c>
      <c r="J316" s="1" t="s">
        <v>24</v>
      </c>
      <c r="K316" s="1" t="s">
        <v>23</v>
      </c>
      <c r="L316" s="1" t="s">
        <v>23</v>
      </c>
      <c r="M316" s="1" t="s">
        <v>24</v>
      </c>
      <c r="N316" s="1" t="s">
        <v>117</v>
      </c>
      <c r="O316">
        <v>35</v>
      </c>
      <c r="P316">
        <v>787</v>
      </c>
      <c r="Q316" s="1" t="s">
        <v>26</v>
      </c>
      <c r="R316">
        <v>2</v>
      </c>
      <c r="S316" s="1" t="s">
        <v>27</v>
      </c>
      <c r="T316" s="1" t="s">
        <v>58</v>
      </c>
    </row>
    <row r="317" spans="1:20" x14ac:dyDescent="0.25">
      <c r="A317" s="1" t="s">
        <v>20</v>
      </c>
      <c r="B317">
        <v>26</v>
      </c>
      <c r="C317">
        <v>6</v>
      </c>
      <c r="D317">
        <v>12</v>
      </c>
      <c r="E317">
        <v>5</v>
      </c>
      <c r="F317" s="1" t="s">
        <v>21</v>
      </c>
      <c r="G317" s="1" t="s">
        <v>32</v>
      </c>
      <c r="H317" s="1" t="s">
        <v>24</v>
      </c>
      <c r="I317" s="1" t="s">
        <v>23</v>
      </c>
      <c r="J317" s="1" t="s">
        <v>23</v>
      </c>
      <c r="K317" s="1" t="s">
        <v>23</v>
      </c>
      <c r="L317" s="1" t="s">
        <v>24</v>
      </c>
      <c r="M317" s="1" t="s">
        <v>24</v>
      </c>
      <c r="N317" s="1" t="s">
        <v>105</v>
      </c>
      <c r="O317">
        <v>45</v>
      </c>
      <c r="P317">
        <v>188</v>
      </c>
      <c r="Q317" s="1" t="s">
        <v>26</v>
      </c>
      <c r="R317">
        <v>1</v>
      </c>
      <c r="S317" s="1" t="s">
        <v>33</v>
      </c>
      <c r="T317" s="1" t="s">
        <v>53</v>
      </c>
    </row>
    <row r="318" spans="1:20" x14ac:dyDescent="0.25">
      <c r="A318" s="1" t="s">
        <v>35</v>
      </c>
      <c r="B318">
        <v>13</v>
      </c>
      <c r="C318">
        <v>6</v>
      </c>
      <c r="D318">
        <v>12</v>
      </c>
      <c r="E318">
        <v>4</v>
      </c>
      <c r="F318" s="1" t="s">
        <v>55</v>
      </c>
      <c r="G318" s="1" t="s">
        <v>41</v>
      </c>
      <c r="H318" s="1" t="s">
        <v>24</v>
      </c>
      <c r="I318" s="1" t="s">
        <v>24</v>
      </c>
      <c r="J318" s="1" t="s">
        <v>23</v>
      </c>
      <c r="K318" s="1" t="s">
        <v>24</v>
      </c>
      <c r="L318" s="1" t="s">
        <v>24</v>
      </c>
      <c r="M318" s="1" t="s">
        <v>24</v>
      </c>
      <c r="N318" s="1" t="s">
        <v>120</v>
      </c>
      <c r="O318">
        <v>5</v>
      </c>
      <c r="P318">
        <v>3933</v>
      </c>
      <c r="Q318" s="1" t="s">
        <v>36</v>
      </c>
      <c r="R318">
        <v>1</v>
      </c>
      <c r="S318" s="1" t="s">
        <v>57</v>
      </c>
      <c r="T318" s="1" t="s">
        <v>34</v>
      </c>
    </row>
    <row r="319" spans="1:20" x14ac:dyDescent="0.25">
      <c r="A319" s="1" t="s">
        <v>37</v>
      </c>
      <c r="B319">
        <v>19</v>
      </c>
      <c r="C319">
        <v>3</v>
      </c>
      <c r="D319">
        <v>12</v>
      </c>
      <c r="E319">
        <v>5</v>
      </c>
      <c r="F319" s="1" t="s">
        <v>21</v>
      </c>
      <c r="G319" s="1" t="s">
        <v>41</v>
      </c>
      <c r="H319" s="1" t="s">
        <v>24</v>
      </c>
      <c r="I319" s="1" t="s">
        <v>24</v>
      </c>
      <c r="J319" s="1" t="s">
        <v>23</v>
      </c>
      <c r="K319" s="1" t="s">
        <v>24</v>
      </c>
      <c r="L319" s="1" t="s">
        <v>24</v>
      </c>
      <c r="M319" s="1" t="s">
        <v>24</v>
      </c>
      <c r="N319" s="1" t="s">
        <v>122</v>
      </c>
      <c r="O319">
        <v>4</v>
      </c>
      <c r="P319">
        <v>2916</v>
      </c>
      <c r="Q319" s="1" t="s">
        <v>26</v>
      </c>
      <c r="R319">
        <v>1</v>
      </c>
      <c r="S319" s="1" t="s">
        <v>27</v>
      </c>
      <c r="T319" s="1" t="s">
        <v>51</v>
      </c>
    </row>
    <row r="320" spans="1:20" x14ac:dyDescent="0.25">
      <c r="A320" s="1" t="s">
        <v>35</v>
      </c>
      <c r="B320">
        <v>24</v>
      </c>
      <c r="C320">
        <v>18</v>
      </c>
      <c r="D320">
        <v>12</v>
      </c>
      <c r="E320">
        <v>5</v>
      </c>
      <c r="F320" s="1" t="s">
        <v>55</v>
      </c>
      <c r="G320" s="1" t="s">
        <v>32</v>
      </c>
      <c r="H320" s="1" t="s">
        <v>24</v>
      </c>
      <c r="I320" s="1" t="s">
        <v>24</v>
      </c>
      <c r="J320" s="1" t="s">
        <v>23</v>
      </c>
      <c r="K320" s="1" t="s">
        <v>24</v>
      </c>
      <c r="L320" s="1" t="s">
        <v>24</v>
      </c>
      <c r="M320" s="1" t="s">
        <v>24</v>
      </c>
      <c r="N320" s="1" t="s">
        <v>102</v>
      </c>
      <c r="O320">
        <v>5</v>
      </c>
      <c r="P320">
        <v>1282</v>
      </c>
      <c r="Q320" s="1" t="s">
        <v>36</v>
      </c>
      <c r="R320">
        <v>0</v>
      </c>
      <c r="S320" s="1" t="s">
        <v>56</v>
      </c>
      <c r="T320" s="1" t="s">
        <v>28</v>
      </c>
    </row>
    <row r="321" spans="1:20" x14ac:dyDescent="0.25">
      <c r="A321" s="1" t="s">
        <v>20</v>
      </c>
      <c r="B321">
        <v>32</v>
      </c>
      <c r="C321">
        <v>6</v>
      </c>
      <c r="D321">
        <v>11</v>
      </c>
      <c r="E321">
        <v>5</v>
      </c>
      <c r="F321" s="1" t="s">
        <v>21</v>
      </c>
      <c r="G321" s="1" t="s">
        <v>32</v>
      </c>
      <c r="H321" s="1" t="s">
        <v>24</v>
      </c>
      <c r="I321" s="1" t="s">
        <v>24</v>
      </c>
      <c r="J321" s="1" t="s">
        <v>23</v>
      </c>
      <c r="K321" s="1" t="s">
        <v>24</v>
      </c>
      <c r="L321" s="1" t="s">
        <v>24</v>
      </c>
      <c r="M321" s="1" t="s">
        <v>24</v>
      </c>
      <c r="N321" s="1" t="s">
        <v>95</v>
      </c>
      <c r="O321">
        <v>5</v>
      </c>
      <c r="P321">
        <v>3025</v>
      </c>
      <c r="Q321" s="1" t="s">
        <v>26</v>
      </c>
      <c r="R321">
        <v>10</v>
      </c>
      <c r="S321" s="1" t="s">
        <v>27</v>
      </c>
      <c r="T321" s="1" t="s">
        <v>30</v>
      </c>
    </row>
    <row r="322" spans="1:20" x14ac:dyDescent="0.25">
      <c r="A322" s="1" t="s">
        <v>20</v>
      </c>
      <c r="B322">
        <v>9</v>
      </c>
      <c r="C322">
        <v>5</v>
      </c>
      <c r="D322">
        <v>11</v>
      </c>
      <c r="E322">
        <v>4</v>
      </c>
      <c r="F322" s="1" t="s">
        <v>55</v>
      </c>
      <c r="G322" s="1" t="s">
        <v>29</v>
      </c>
      <c r="H322" s="1" t="s">
        <v>24</v>
      </c>
      <c r="I322" s="1" t="s">
        <v>24</v>
      </c>
      <c r="J322" s="1" t="s">
        <v>23</v>
      </c>
      <c r="K322" s="1" t="s">
        <v>24</v>
      </c>
      <c r="L322" s="1" t="s">
        <v>24</v>
      </c>
      <c r="M322" s="1" t="s">
        <v>24</v>
      </c>
      <c r="N322" s="1" t="s">
        <v>108</v>
      </c>
      <c r="O322">
        <v>35</v>
      </c>
      <c r="P322">
        <v>1228</v>
      </c>
      <c r="Q322" s="1" t="s">
        <v>26</v>
      </c>
      <c r="R322">
        <v>9</v>
      </c>
      <c r="S322" s="1" t="s">
        <v>57</v>
      </c>
      <c r="T322" s="1" t="s">
        <v>51</v>
      </c>
    </row>
    <row r="323" spans="1:20" x14ac:dyDescent="0.25">
      <c r="A323" s="1" t="s">
        <v>98</v>
      </c>
      <c r="B323">
        <v>16</v>
      </c>
      <c r="C323">
        <v>10</v>
      </c>
      <c r="D323">
        <v>11</v>
      </c>
      <c r="E323">
        <v>5</v>
      </c>
      <c r="F323" s="1" t="s">
        <v>21</v>
      </c>
      <c r="G323" s="1" t="s">
        <v>32</v>
      </c>
      <c r="H323" s="1" t="s">
        <v>24</v>
      </c>
      <c r="I323" s="1" t="s">
        <v>24</v>
      </c>
      <c r="J323" s="1" t="s">
        <v>23</v>
      </c>
      <c r="K323" s="1" t="s">
        <v>24</v>
      </c>
      <c r="L323" s="1" t="s">
        <v>24</v>
      </c>
      <c r="M323" s="1" t="s">
        <v>24</v>
      </c>
      <c r="N323" s="1" t="s">
        <v>119</v>
      </c>
      <c r="O323">
        <v>5</v>
      </c>
      <c r="P323">
        <v>4027</v>
      </c>
      <c r="Q323" s="1" t="s">
        <v>44</v>
      </c>
      <c r="R323">
        <v>9</v>
      </c>
      <c r="S323" s="1" t="s">
        <v>60</v>
      </c>
      <c r="T323" s="1" t="s">
        <v>28</v>
      </c>
    </row>
    <row r="324" spans="1:20" x14ac:dyDescent="0.25">
      <c r="A324" s="1" t="s">
        <v>20</v>
      </c>
      <c r="B324">
        <v>32</v>
      </c>
      <c r="C324">
        <v>5</v>
      </c>
      <c r="D324">
        <v>11</v>
      </c>
      <c r="E324">
        <v>4</v>
      </c>
      <c r="F324" s="1" t="s">
        <v>46</v>
      </c>
      <c r="G324" s="1" t="s">
        <v>29</v>
      </c>
      <c r="H324" s="1" t="s">
        <v>24</v>
      </c>
      <c r="I324" s="1" t="s">
        <v>24</v>
      </c>
      <c r="J324" s="1" t="s">
        <v>23</v>
      </c>
      <c r="K324" s="1" t="s">
        <v>24</v>
      </c>
      <c r="L324" s="1" t="s">
        <v>24</v>
      </c>
      <c r="M324" s="1" t="s">
        <v>24</v>
      </c>
      <c r="N324" s="1" t="s">
        <v>120</v>
      </c>
      <c r="O324">
        <v>5</v>
      </c>
      <c r="P324">
        <v>3933</v>
      </c>
      <c r="Q324" s="1" t="s">
        <v>26</v>
      </c>
      <c r="R324">
        <v>6</v>
      </c>
      <c r="S324" s="1" t="s">
        <v>47</v>
      </c>
      <c r="T324" s="1" t="s">
        <v>53</v>
      </c>
    </row>
    <row r="325" spans="1:20" x14ac:dyDescent="0.25">
      <c r="A325" s="1" t="s">
        <v>37</v>
      </c>
      <c r="B325">
        <v>12</v>
      </c>
      <c r="C325">
        <v>7</v>
      </c>
      <c r="D325">
        <v>11</v>
      </c>
      <c r="E325">
        <v>3</v>
      </c>
      <c r="F325" s="1" t="s">
        <v>31</v>
      </c>
      <c r="G325" s="1" t="s">
        <v>32</v>
      </c>
      <c r="H325" s="1" t="s">
        <v>23</v>
      </c>
      <c r="I325" s="1" t="s">
        <v>24</v>
      </c>
      <c r="J325" s="1" t="s">
        <v>23</v>
      </c>
      <c r="K325" s="1" t="s">
        <v>23</v>
      </c>
      <c r="L325" s="1" t="s">
        <v>24</v>
      </c>
      <c r="M325" s="1" t="s">
        <v>24</v>
      </c>
      <c r="N325" s="1" t="s">
        <v>25</v>
      </c>
      <c r="O325">
        <v>3</v>
      </c>
      <c r="P325">
        <v>3773</v>
      </c>
      <c r="Q325" s="1" t="s">
        <v>26</v>
      </c>
      <c r="R325">
        <v>5</v>
      </c>
      <c r="S325" s="1" t="s">
        <v>45</v>
      </c>
      <c r="T325" s="1" t="s">
        <v>40</v>
      </c>
    </row>
    <row r="326" spans="1:20" x14ac:dyDescent="0.25">
      <c r="A326" s="1" t="s">
        <v>20</v>
      </c>
      <c r="B326">
        <v>20</v>
      </c>
      <c r="C326">
        <v>8</v>
      </c>
      <c r="D326">
        <v>11</v>
      </c>
      <c r="E326">
        <v>4</v>
      </c>
      <c r="F326" s="1" t="s">
        <v>21</v>
      </c>
      <c r="G326" s="1" t="s">
        <v>38</v>
      </c>
      <c r="H326" s="1" t="s">
        <v>24</v>
      </c>
      <c r="I326" s="1" t="s">
        <v>24</v>
      </c>
      <c r="J326" s="1" t="s">
        <v>23</v>
      </c>
      <c r="K326" s="1" t="s">
        <v>24</v>
      </c>
      <c r="L326" s="1" t="s">
        <v>24</v>
      </c>
      <c r="M326" s="1" t="s">
        <v>23</v>
      </c>
      <c r="N326" s="1" t="s">
        <v>70</v>
      </c>
      <c r="O326">
        <v>4</v>
      </c>
      <c r="P326">
        <v>3003</v>
      </c>
      <c r="Q326" s="1" t="s">
        <v>26</v>
      </c>
      <c r="R326">
        <v>5</v>
      </c>
      <c r="S326" s="1" t="s">
        <v>27</v>
      </c>
      <c r="T326" s="1" t="s">
        <v>34</v>
      </c>
    </row>
    <row r="327" spans="1:20" x14ac:dyDescent="0.25">
      <c r="A327" s="1" t="s">
        <v>20</v>
      </c>
      <c r="B327">
        <v>38</v>
      </c>
      <c r="C327">
        <v>13</v>
      </c>
      <c r="D327">
        <v>11</v>
      </c>
      <c r="E327">
        <v>3</v>
      </c>
      <c r="F327" s="1" t="s">
        <v>46</v>
      </c>
      <c r="G327" s="1" t="s">
        <v>29</v>
      </c>
      <c r="H327" s="1" t="s">
        <v>24</v>
      </c>
      <c r="I327" s="1" t="s">
        <v>24</v>
      </c>
      <c r="J327" s="1" t="s">
        <v>23</v>
      </c>
      <c r="K327" s="1" t="s">
        <v>24</v>
      </c>
      <c r="L327" s="1" t="s">
        <v>24</v>
      </c>
      <c r="M327" s="1" t="s">
        <v>24</v>
      </c>
      <c r="N327" s="1" t="s">
        <v>123</v>
      </c>
      <c r="O327">
        <v>4</v>
      </c>
      <c r="P327">
        <v>826</v>
      </c>
      <c r="Q327" s="1" t="s">
        <v>26</v>
      </c>
      <c r="R327">
        <v>5</v>
      </c>
      <c r="S327" s="1" t="s">
        <v>47</v>
      </c>
      <c r="T327" s="1" t="s">
        <v>53</v>
      </c>
    </row>
    <row r="328" spans="1:20" x14ac:dyDescent="0.25">
      <c r="A328" s="1" t="s">
        <v>35</v>
      </c>
      <c r="B328">
        <v>10</v>
      </c>
      <c r="C328">
        <v>6</v>
      </c>
      <c r="D328">
        <v>11</v>
      </c>
      <c r="E328">
        <v>5</v>
      </c>
      <c r="F328" s="1" t="s">
        <v>21</v>
      </c>
      <c r="G328" s="1" t="s">
        <v>41</v>
      </c>
      <c r="H328" s="1" t="s">
        <v>24</v>
      </c>
      <c r="I328" s="1" t="s">
        <v>24</v>
      </c>
      <c r="J328" s="1" t="s">
        <v>24</v>
      </c>
      <c r="K328" s="1" t="s">
        <v>24</v>
      </c>
      <c r="L328" s="1" t="s">
        <v>24</v>
      </c>
      <c r="M328" s="1" t="s">
        <v>24</v>
      </c>
      <c r="N328" s="1" t="s">
        <v>85</v>
      </c>
      <c r="O328">
        <v>4</v>
      </c>
      <c r="P328">
        <v>1467</v>
      </c>
      <c r="Q328" s="1" t="s">
        <v>36</v>
      </c>
      <c r="R328">
        <v>4</v>
      </c>
      <c r="S328" s="1" t="s">
        <v>60</v>
      </c>
      <c r="T328" s="1" t="s">
        <v>34</v>
      </c>
    </row>
    <row r="329" spans="1:20" x14ac:dyDescent="0.25">
      <c r="A329" s="1" t="s">
        <v>37</v>
      </c>
      <c r="B329">
        <v>12</v>
      </c>
      <c r="C329">
        <v>7</v>
      </c>
      <c r="D329">
        <v>11</v>
      </c>
      <c r="E329">
        <v>2</v>
      </c>
      <c r="F329" s="1" t="s">
        <v>55</v>
      </c>
      <c r="G329" s="1" t="s">
        <v>29</v>
      </c>
      <c r="H329" s="1" t="s">
        <v>24</v>
      </c>
      <c r="I329" s="1" t="s">
        <v>24</v>
      </c>
      <c r="J329" s="1" t="s">
        <v>24</v>
      </c>
      <c r="K329" s="1" t="s">
        <v>24</v>
      </c>
      <c r="L329" s="1" t="s">
        <v>24</v>
      </c>
      <c r="M329" s="1" t="s">
        <v>24</v>
      </c>
      <c r="N329" s="1" t="s">
        <v>100</v>
      </c>
      <c r="O329">
        <v>5</v>
      </c>
      <c r="P329">
        <v>2700</v>
      </c>
      <c r="Q329" s="1" t="s">
        <v>26</v>
      </c>
      <c r="R329">
        <v>4</v>
      </c>
      <c r="S329" s="1" t="s">
        <v>56</v>
      </c>
      <c r="T329" s="1" t="s">
        <v>58</v>
      </c>
    </row>
    <row r="330" spans="1:20" x14ac:dyDescent="0.25">
      <c r="A330" s="1" t="s">
        <v>35</v>
      </c>
      <c r="B330">
        <v>22</v>
      </c>
      <c r="C330">
        <v>9</v>
      </c>
      <c r="D330">
        <v>11</v>
      </c>
      <c r="E330">
        <v>4</v>
      </c>
      <c r="F330" s="1" t="s">
        <v>46</v>
      </c>
      <c r="G330" s="1" t="s">
        <v>32</v>
      </c>
      <c r="H330" s="1" t="s">
        <v>24</v>
      </c>
      <c r="I330" s="1" t="s">
        <v>24</v>
      </c>
      <c r="J330" s="1" t="s">
        <v>23</v>
      </c>
      <c r="K330" s="1" t="s">
        <v>24</v>
      </c>
      <c r="L330" s="1" t="s">
        <v>24</v>
      </c>
      <c r="M330" s="1" t="s">
        <v>24</v>
      </c>
      <c r="N330" s="1" t="s">
        <v>122</v>
      </c>
      <c r="O330">
        <v>4</v>
      </c>
      <c r="P330">
        <v>2916</v>
      </c>
      <c r="Q330" s="1" t="s">
        <v>36</v>
      </c>
      <c r="R330">
        <v>3</v>
      </c>
      <c r="S330" s="1" t="s">
        <v>50</v>
      </c>
      <c r="T330" s="1" t="s">
        <v>51</v>
      </c>
    </row>
    <row r="331" spans="1:20" x14ac:dyDescent="0.25">
      <c r="A331" s="1" t="s">
        <v>48</v>
      </c>
      <c r="B331">
        <v>20</v>
      </c>
      <c r="C331">
        <v>7</v>
      </c>
      <c r="D331">
        <v>11</v>
      </c>
      <c r="E331">
        <v>4</v>
      </c>
      <c r="F331" s="1" t="s">
        <v>31</v>
      </c>
      <c r="G331" s="1" t="s">
        <v>41</v>
      </c>
      <c r="H331" s="1" t="s">
        <v>24</v>
      </c>
      <c r="I331" s="1" t="s">
        <v>24</v>
      </c>
      <c r="J331" s="1" t="s">
        <v>23</v>
      </c>
      <c r="K331" s="1" t="s">
        <v>24</v>
      </c>
      <c r="L331" s="1" t="s">
        <v>24</v>
      </c>
      <c r="M331" s="1" t="s">
        <v>23</v>
      </c>
      <c r="N331" s="1" t="s">
        <v>70</v>
      </c>
      <c r="O331">
        <v>4</v>
      </c>
      <c r="P331">
        <v>3003</v>
      </c>
      <c r="Q331" s="1" t="s">
        <v>49</v>
      </c>
      <c r="R331">
        <v>2</v>
      </c>
      <c r="S331" s="1" t="s">
        <v>45</v>
      </c>
      <c r="T331" s="1" t="s">
        <v>30</v>
      </c>
    </row>
    <row r="332" spans="1:20" x14ac:dyDescent="0.25">
      <c r="A332" s="1" t="s">
        <v>20</v>
      </c>
      <c r="B332">
        <v>23</v>
      </c>
      <c r="C332">
        <v>17</v>
      </c>
      <c r="D332">
        <v>11</v>
      </c>
      <c r="E332">
        <v>3</v>
      </c>
      <c r="F332" s="1" t="s">
        <v>55</v>
      </c>
      <c r="G332" s="1" t="s">
        <v>32</v>
      </c>
      <c r="H332" s="1" t="s">
        <v>24</v>
      </c>
      <c r="I332" s="1" t="s">
        <v>24</v>
      </c>
      <c r="J332" s="1" t="s">
        <v>23</v>
      </c>
      <c r="K332" s="1" t="s">
        <v>24</v>
      </c>
      <c r="L332" s="1" t="s">
        <v>24</v>
      </c>
      <c r="M332" s="1" t="s">
        <v>23</v>
      </c>
      <c r="N332" s="1" t="s">
        <v>70</v>
      </c>
      <c r="O332">
        <v>4</v>
      </c>
      <c r="P332">
        <v>3003</v>
      </c>
      <c r="Q332" s="1" t="s">
        <v>26</v>
      </c>
      <c r="R332">
        <v>1</v>
      </c>
      <c r="S332" s="1" t="s">
        <v>57</v>
      </c>
      <c r="T332" s="1" t="s">
        <v>30</v>
      </c>
    </row>
    <row r="333" spans="1:20" x14ac:dyDescent="0.25">
      <c r="A333" s="1" t="s">
        <v>20</v>
      </c>
      <c r="B333">
        <v>5</v>
      </c>
      <c r="C333">
        <v>3</v>
      </c>
      <c r="D333">
        <v>11</v>
      </c>
      <c r="E333">
        <v>2</v>
      </c>
      <c r="F333" s="1" t="s">
        <v>55</v>
      </c>
      <c r="G333" s="1" t="s">
        <v>22</v>
      </c>
      <c r="H333" s="1" t="s">
        <v>24</v>
      </c>
      <c r="I333" s="1" t="s">
        <v>24</v>
      </c>
      <c r="J333" s="1" t="s">
        <v>24</v>
      </c>
      <c r="K333" s="1" t="s">
        <v>24</v>
      </c>
      <c r="L333" s="1" t="s">
        <v>24</v>
      </c>
      <c r="M333" s="1" t="s">
        <v>24</v>
      </c>
      <c r="N333" s="1" t="s">
        <v>85</v>
      </c>
      <c r="O333">
        <v>4</v>
      </c>
      <c r="P333">
        <v>1467</v>
      </c>
      <c r="Q333" s="1" t="s">
        <v>26</v>
      </c>
      <c r="R333">
        <v>1</v>
      </c>
      <c r="S333" s="1" t="s">
        <v>57</v>
      </c>
      <c r="T333" s="1" t="s">
        <v>28</v>
      </c>
    </row>
    <row r="334" spans="1:20" x14ac:dyDescent="0.25">
      <c r="A334" s="1" t="s">
        <v>43</v>
      </c>
      <c r="B334">
        <v>31</v>
      </c>
      <c r="C334">
        <v>8</v>
      </c>
      <c r="D334">
        <v>11</v>
      </c>
      <c r="E334">
        <v>4</v>
      </c>
      <c r="F334" s="1" t="s">
        <v>55</v>
      </c>
      <c r="G334" s="1" t="s">
        <v>38</v>
      </c>
      <c r="H334" s="1" t="s">
        <v>24</v>
      </c>
      <c r="I334" s="1" t="s">
        <v>24</v>
      </c>
      <c r="J334" s="1" t="s">
        <v>24</v>
      </c>
      <c r="K334" s="1" t="s">
        <v>24</v>
      </c>
      <c r="L334" s="1" t="s">
        <v>24</v>
      </c>
      <c r="M334" s="1" t="s">
        <v>24</v>
      </c>
      <c r="N334" s="1" t="s">
        <v>85</v>
      </c>
      <c r="O334">
        <v>4</v>
      </c>
      <c r="P334">
        <v>1467</v>
      </c>
      <c r="Q334" s="1" t="s">
        <v>44</v>
      </c>
      <c r="R334">
        <v>1</v>
      </c>
      <c r="S334" s="1" t="s">
        <v>59</v>
      </c>
      <c r="T334" s="1" t="s">
        <v>53</v>
      </c>
    </row>
    <row r="335" spans="1:20" x14ac:dyDescent="0.25">
      <c r="A335" s="1" t="s">
        <v>20</v>
      </c>
      <c r="B335">
        <v>23</v>
      </c>
      <c r="C335">
        <v>23</v>
      </c>
      <c r="D335">
        <v>11</v>
      </c>
      <c r="E335">
        <v>5</v>
      </c>
      <c r="F335" s="1" t="s">
        <v>46</v>
      </c>
      <c r="G335" s="1" t="s">
        <v>32</v>
      </c>
      <c r="H335" s="1" t="s">
        <v>24</v>
      </c>
      <c r="I335" s="1" t="s">
        <v>24</v>
      </c>
      <c r="J335" s="1" t="s">
        <v>23</v>
      </c>
      <c r="K335" s="1" t="s">
        <v>23</v>
      </c>
      <c r="L335" s="1" t="s">
        <v>23</v>
      </c>
      <c r="M335" s="1" t="s">
        <v>24</v>
      </c>
      <c r="N335" s="1" t="s">
        <v>115</v>
      </c>
      <c r="O335">
        <v>3</v>
      </c>
      <c r="P335">
        <v>315</v>
      </c>
      <c r="Q335" s="1" t="s">
        <v>26</v>
      </c>
      <c r="R335">
        <v>1</v>
      </c>
      <c r="S335" s="1" t="s">
        <v>52</v>
      </c>
      <c r="T335" s="1" t="s">
        <v>53</v>
      </c>
    </row>
    <row r="336" spans="1:20" x14ac:dyDescent="0.25">
      <c r="A336" s="1" t="s">
        <v>35</v>
      </c>
      <c r="B336">
        <v>10</v>
      </c>
      <c r="C336">
        <v>6</v>
      </c>
      <c r="D336">
        <v>10</v>
      </c>
      <c r="E336">
        <v>5</v>
      </c>
      <c r="F336" s="1" t="s">
        <v>21</v>
      </c>
      <c r="G336" s="1" t="s">
        <v>41</v>
      </c>
      <c r="H336" s="1" t="s">
        <v>24</v>
      </c>
      <c r="I336" s="1" t="s">
        <v>24</v>
      </c>
      <c r="J336" s="1" t="s">
        <v>24</v>
      </c>
      <c r="K336" s="1" t="s">
        <v>24</v>
      </c>
      <c r="L336" s="1" t="s">
        <v>24</v>
      </c>
      <c r="M336" s="1" t="s">
        <v>24</v>
      </c>
      <c r="N336" s="1" t="s">
        <v>100</v>
      </c>
      <c r="O336">
        <v>5</v>
      </c>
      <c r="P336">
        <v>2700</v>
      </c>
      <c r="Q336" s="1" t="s">
        <v>36</v>
      </c>
      <c r="R336">
        <v>5</v>
      </c>
      <c r="S336" s="1" t="s">
        <v>60</v>
      </c>
      <c r="T336" s="1" t="s">
        <v>40</v>
      </c>
    </row>
    <row r="337" spans="1:20" x14ac:dyDescent="0.25">
      <c r="A337" s="1" t="s">
        <v>20</v>
      </c>
      <c r="B337">
        <v>31</v>
      </c>
      <c r="C337">
        <v>12</v>
      </c>
      <c r="D337">
        <v>10</v>
      </c>
      <c r="E337">
        <v>5</v>
      </c>
      <c r="F337" s="1" t="s">
        <v>31</v>
      </c>
      <c r="G337" s="1" t="s">
        <v>32</v>
      </c>
      <c r="H337" s="1" t="s">
        <v>24</v>
      </c>
      <c r="I337" s="1" t="s">
        <v>24</v>
      </c>
      <c r="J337" s="1" t="s">
        <v>23</v>
      </c>
      <c r="K337" s="1" t="s">
        <v>24</v>
      </c>
      <c r="L337" s="1" t="s">
        <v>24</v>
      </c>
      <c r="M337" s="1" t="s">
        <v>24</v>
      </c>
      <c r="N337" s="1" t="s">
        <v>90</v>
      </c>
      <c r="O337">
        <v>5</v>
      </c>
      <c r="P337">
        <v>3348</v>
      </c>
      <c r="Q337" s="1" t="s">
        <v>26</v>
      </c>
      <c r="R337">
        <v>4</v>
      </c>
      <c r="S337" s="1" t="s">
        <v>39</v>
      </c>
      <c r="T337" s="1" t="s">
        <v>30</v>
      </c>
    </row>
    <row r="338" spans="1:20" x14ac:dyDescent="0.25">
      <c r="A338" s="1" t="s">
        <v>97</v>
      </c>
      <c r="B338">
        <v>19</v>
      </c>
      <c r="C338">
        <v>8</v>
      </c>
      <c r="D338">
        <v>10</v>
      </c>
      <c r="E338">
        <v>4</v>
      </c>
      <c r="F338" s="1" t="s">
        <v>46</v>
      </c>
      <c r="G338" s="1" t="s">
        <v>22</v>
      </c>
      <c r="H338" s="1" t="s">
        <v>24</v>
      </c>
      <c r="I338" s="1" t="s">
        <v>24</v>
      </c>
      <c r="J338" s="1" t="s">
        <v>23</v>
      </c>
      <c r="K338" s="1" t="s">
        <v>24</v>
      </c>
      <c r="L338" s="1" t="s">
        <v>24</v>
      </c>
      <c r="M338" s="1" t="s">
        <v>24</v>
      </c>
      <c r="N338" s="1" t="s">
        <v>95</v>
      </c>
      <c r="O338">
        <v>5</v>
      </c>
      <c r="P338">
        <v>3025</v>
      </c>
      <c r="Q338" s="1" t="s">
        <v>36</v>
      </c>
      <c r="R338">
        <v>3</v>
      </c>
      <c r="S338" s="1" t="s">
        <v>50</v>
      </c>
      <c r="T338" s="1" t="s">
        <v>51</v>
      </c>
    </row>
    <row r="339" spans="1:20" x14ac:dyDescent="0.25">
      <c r="A339" s="1" t="s">
        <v>37</v>
      </c>
      <c r="B339">
        <v>7</v>
      </c>
      <c r="C339">
        <v>4</v>
      </c>
      <c r="D339">
        <v>10</v>
      </c>
      <c r="E339">
        <v>5</v>
      </c>
      <c r="F339" s="1" t="s">
        <v>46</v>
      </c>
      <c r="G339" s="1" t="s">
        <v>41</v>
      </c>
      <c r="H339" s="1" t="s">
        <v>24</v>
      </c>
      <c r="I339" s="1" t="s">
        <v>24</v>
      </c>
      <c r="J339" s="1" t="s">
        <v>24</v>
      </c>
      <c r="K339" s="1" t="s">
        <v>24</v>
      </c>
      <c r="L339" s="1" t="s">
        <v>24</v>
      </c>
      <c r="M339" s="1" t="s">
        <v>24</v>
      </c>
      <c r="N339" s="1" t="s">
        <v>100</v>
      </c>
      <c r="O339">
        <v>5</v>
      </c>
      <c r="P339">
        <v>2700</v>
      </c>
      <c r="Q339" s="1" t="s">
        <v>26</v>
      </c>
      <c r="R339">
        <v>3</v>
      </c>
      <c r="S339" s="1" t="s">
        <v>50</v>
      </c>
      <c r="T339" s="1" t="s">
        <v>53</v>
      </c>
    </row>
    <row r="340" spans="1:20" x14ac:dyDescent="0.25">
      <c r="A340" s="1" t="s">
        <v>37</v>
      </c>
      <c r="B340">
        <v>18</v>
      </c>
      <c r="C340">
        <v>3</v>
      </c>
      <c r="D340">
        <v>10</v>
      </c>
      <c r="E340">
        <v>2</v>
      </c>
      <c r="F340" s="1" t="s">
        <v>55</v>
      </c>
      <c r="G340" s="1" t="s">
        <v>41</v>
      </c>
      <c r="H340" s="1" t="s">
        <v>24</v>
      </c>
      <c r="I340" s="1" t="s">
        <v>24</v>
      </c>
      <c r="J340" s="1" t="s">
        <v>23</v>
      </c>
      <c r="K340" s="1" t="s">
        <v>24</v>
      </c>
      <c r="L340" s="1" t="s">
        <v>24</v>
      </c>
      <c r="M340" s="1" t="s">
        <v>24</v>
      </c>
      <c r="N340" s="1" t="s">
        <v>122</v>
      </c>
      <c r="O340">
        <v>4</v>
      </c>
      <c r="P340">
        <v>2916</v>
      </c>
      <c r="Q340" s="1" t="s">
        <v>26</v>
      </c>
      <c r="R340">
        <v>2</v>
      </c>
      <c r="S340" s="1" t="s">
        <v>57</v>
      </c>
      <c r="T340" s="1" t="s">
        <v>58</v>
      </c>
    </row>
    <row r="341" spans="1:20" x14ac:dyDescent="0.25">
      <c r="A341" s="1" t="s">
        <v>20</v>
      </c>
      <c r="B341">
        <v>30</v>
      </c>
      <c r="C341">
        <v>8</v>
      </c>
      <c r="D341">
        <v>10</v>
      </c>
      <c r="E341">
        <v>2</v>
      </c>
      <c r="F341" s="1" t="s">
        <v>31</v>
      </c>
      <c r="G341" s="1" t="s">
        <v>29</v>
      </c>
      <c r="H341" s="1" t="s">
        <v>24</v>
      </c>
      <c r="I341" s="1" t="s">
        <v>24</v>
      </c>
      <c r="J341" s="1" t="s">
        <v>23</v>
      </c>
      <c r="K341" s="1" t="s">
        <v>24</v>
      </c>
      <c r="L341" s="1" t="s">
        <v>24</v>
      </c>
      <c r="M341" s="1" t="s">
        <v>24</v>
      </c>
      <c r="N341" s="1" t="s">
        <v>92</v>
      </c>
      <c r="O341">
        <v>5</v>
      </c>
      <c r="P341">
        <v>2959</v>
      </c>
      <c r="Q341" s="1" t="s">
        <v>26</v>
      </c>
      <c r="R341">
        <v>1</v>
      </c>
      <c r="S341" s="1" t="s">
        <v>45</v>
      </c>
      <c r="T341" s="1" t="s">
        <v>51</v>
      </c>
    </row>
    <row r="342" spans="1:20" x14ac:dyDescent="0.25">
      <c r="A342" s="1" t="s">
        <v>35</v>
      </c>
      <c r="B342">
        <v>18</v>
      </c>
      <c r="C342">
        <v>9</v>
      </c>
      <c r="D342">
        <v>10</v>
      </c>
      <c r="E342">
        <v>5</v>
      </c>
      <c r="F342" s="1" t="s">
        <v>55</v>
      </c>
      <c r="G342" s="1" t="s">
        <v>41</v>
      </c>
      <c r="H342" s="1" t="s">
        <v>24</v>
      </c>
      <c r="I342" s="1" t="s">
        <v>24</v>
      </c>
      <c r="J342" s="1" t="s">
        <v>23</v>
      </c>
      <c r="K342" s="1" t="s">
        <v>24</v>
      </c>
      <c r="L342" s="1" t="s">
        <v>24</v>
      </c>
      <c r="M342" s="1" t="s">
        <v>24</v>
      </c>
      <c r="N342" s="1" t="s">
        <v>92</v>
      </c>
      <c r="O342">
        <v>5</v>
      </c>
      <c r="P342">
        <v>2959</v>
      </c>
      <c r="Q342" s="1" t="s">
        <v>36</v>
      </c>
      <c r="R342">
        <v>1</v>
      </c>
      <c r="S342" s="1" t="s">
        <v>56</v>
      </c>
      <c r="T342" s="1" t="s">
        <v>51</v>
      </c>
    </row>
    <row r="343" spans="1:20" x14ac:dyDescent="0.25">
      <c r="A343" s="1" t="s">
        <v>20</v>
      </c>
      <c r="B343">
        <v>11</v>
      </c>
      <c r="C343">
        <v>7</v>
      </c>
      <c r="D343">
        <v>10</v>
      </c>
      <c r="E343">
        <v>4</v>
      </c>
      <c r="F343" s="1" t="s">
        <v>31</v>
      </c>
      <c r="G343" s="1" t="s">
        <v>41</v>
      </c>
      <c r="H343" s="1" t="s">
        <v>24</v>
      </c>
      <c r="I343" s="1" t="s">
        <v>24</v>
      </c>
      <c r="J343" s="1" t="s">
        <v>24</v>
      </c>
      <c r="K343" s="1" t="s">
        <v>24</v>
      </c>
      <c r="L343" s="1" t="s">
        <v>24</v>
      </c>
      <c r="M343" s="1" t="s">
        <v>24</v>
      </c>
      <c r="N343" s="1" t="s">
        <v>100</v>
      </c>
      <c r="O343">
        <v>5</v>
      </c>
      <c r="P343">
        <v>2700</v>
      </c>
      <c r="Q343" s="1" t="s">
        <v>26</v>
      </c>
      <c r="R343">
        <v>1</v>
      </c>
      <c r="S343" s="1" t="s">
        <v>42</v>
      </c>
      <c r="T343" s="1" t="s">
        <v>58</v>
      </c>
    </row>
    <row r="344" spans="1:20" x14ac:dyDescent="0.25">
      <c r="A344" s="1" t="s">
        <v>98</v>
      </c>
      <c r="B344">
        <v>37</v>
      </c>
      <c r="C344">
        <v>7</v>
      </c>
      <c r="D344">
        <v>10</v>
      </c>
      <c r="E344">
        <v>5</v>
      </c>
      <c r="F344" s="1" t="s">
        <v>55</v>
      </c>
      <c r="G344" s="1" t="s">
        <v>22</v>
      </c>
      <c r="H344" s="1" t="s">
        <v>24</v>
      </c>
      <c r="I344" s="1" t="s">
        <v>24</v>
      </c>
      <c r="J344" s="1" t="s">
        <v>23</v>
      </c>
      <c r="K344" s="1" t="s">
        <v>24</v>
      </c>
      <c r="L344" s="1" t="s">
        <v>24</v>
      </c>
      <c r="M344" s="1" t="s">
        <v>24</v>
      </c>
      <c r="N344" s="1" t="s">
        <v>95</v>
      </c>
      <c r="O344">
        <v>5</v>
      </c>
      <c r="P344">
        <v>3025</v>
      </c>
      <c r="Q344" s="1" t="s">
        <v>44</v>
      </c>
      <c r="R344">
        <v>0</v>
      </c>
      <c r="S344" s="1" t="s">
        <v>59</v>
      </c>
      <c r="T344" s="1" t="s">
        <v>53</v>
      </c>
    </row>
    <row r="345" spans="1:20" x14ac:dyDescent="0.25">
      <c r="A345" s="1" t="s">
        <v>61</v>
      </c>
      <c r="B345">
        <v>8</v>
      </c>
      <c r="C345">
        <v>7</v>
      </c>
      <c r="D345">
        <v>9</v>
      </c>
      <c r="E345">
        <v>5</v>
      </c>
      <c r="F345" s="1" t="s">
        <v>31</v>
      </c>
      <c r="G345" s="1" t="s">
        <v>41</v>
      </c>
      <c r="H345" s="1" t="s">
        <v>24</v>
      </c>
      <c r="I345" s="1" t="s">
        <v>24</v>
      </c>
      <c r="J345" s="1" t="s">
        <v>23</v>
      </c>
      <c r="K345" s="1" t="s">
        <v>24</v>
      </c>
      <c r="L345" s="1" t="s">
        <v>24</v>
      </c>
      <c r="M345" s="1" t="s">
        <v>24</v>
      </c>
      <c r="N345" s="1" t="s">
        <v>62</v>
      </c>
      <c r="O345">
        <v>3</v>
      </c>
      <c r="P345">
        <v>3981</v>
      </c>
      <c r="Q345" s="1" t="s">
        <v>36</v>
      </c>
      <c r="R345">
        <v>8</v>
      </c>
      <c r="S345" s="1" t="s">
        <v>39</v>
      </c>
      <c r="T345" s="1" t="s">
        <v>51</v>
      </c>
    </row>
    <row r="346" spans="1:20" x14ac:dyDescent="0.25">
      <c r="A346" s="1" t="s">
        <v>48</v>
      </c>
      <c r="B346">
        <v>20</v>
      </c>
      <c r="C346">
        <v>16</v>
      </c>
      <c r="D346">
        <v>9</v>
      </c>
      <c r="E346">
        <v>4</v>
      </c>
      <c r="F346" s="1" t="s">
        <v>21</v>
      </c>
      <c r="G346" s="1" t="s">
        <v>41</v>
      </c>
      <c r="H346" s="1" t="s">
        <v>24</v>
      </c>
      <c r="I346" s="1" t="s">
        <v>24</v>
      </c>
      <c r="J346" s="1" t="s">
        <v>23</v>
      </c>
      <c r="K346" s="1" t="s">
        <v>24</v>
      </c>
      <c r="L346" s="1" t="s">
        <v>24</v>
      </c>
      <c r="M346" s="1" t="s">
        <v>24</v>
      </c>
      <c r="N346" s="1" t="s">
        <v>108</v>
      </c>
      <c r="O346">
        <v>35</v>
      </c>
      <c r="P346">
        <v>1228</v>
      </c>
      <c r="Q346" s="1" t="s">
        <v>49</v>
      </c>
      <c r="R346">
        <v>7</v>
      </c>
      <c r="S346" s="1" t="s">
        <v>60</v>
      </c>
      <c r="T346" s="1" t="s">
        <v>40</v>
      </c>
    </row>
    <row r="347" spans="1:20" x14ac:dyDescent="0.25">
      <c r="A347" s="1" t="s">
        <v>99</v>
      </c>
      <c r="B347">
        <v>11</v>
      </c>
      <c r="C347">
        <v>5</v>
      </c>
      <c r="D347">
        <v>9</v>
      </c>
      <c r="E347">
        <v>5</v>
      </c>
      <c r="F347" s="1" t="s">
        <v>31</v>
      </c>
      <c r="G347" s="1" t="s">
        <v>41</v>
      </c>
      <c r="H347" s="1" t="s">
        <v>24</v>
      </c>
      <c r="I347" s="1" t="s">
        <v>24</v>
      </c>
      <c r="J347" s="1" t="s">
        <v>24</v>
      </c>
      <c r="K347" s="1" t="s">
        <v>24</v>
      </c>
      <c r="L347" s="1" t="s">
        <v>24</v>
      </c>
      <c r="M347" s="1" t="s">
        <v>24</v>
      </c>
      <c r="N347" s="1" t="s">
        <v>114</v>
      </c>
      <c r="O347">
        <v>3</v>
      </c>
      <c r="P347">
        <v>716</v>
      </c>
      <c r="Q347" s="1" t="s">
        <v>83</v>
      </c>
      <c r="R347">
        <v>7</v>
      </c>
      <c r="S347" s="1" t="s">
        <v>42</v>
      </c>
      <c r="T347" s="1" t="s">
        <v>58</v>
      </c>
    </row>
    <row r="348" spans="1:20" x14ac:dyDescent="0.25">
      <c r="A348" s="1" t="s">
        <v>43</v>
      </c>
      <c r="B348">
        <v>12</v>
      </c>
      <c r="C348">
        <v>11</v>
      </c>
      <c r="D348">
        <v>9</v>
      </c>
      <c r="E348">
        <v>4</v>
      </c>
      <c r="F348" s="1" t="s">
        <v>46</v>
      </c>
      <c r="G348" s="1" t="s">
        <v>32</v>
      </c>
      <c r="H348" s="1" t="s">
        <v>24</v>
      </c>
      <c r="I348" s="1" t="s">
        <v>24</v>
      </c>
      <c r="J348" s="1" t="s">
        <v>23</v>
      </c>
      <c r="K348" s="1" t="s">
        <v>24</v>
      </c>
      <c r="L348" s="1" t="s">
        <v>24</v>
      </c>
      <c r="M348" s="1" t="s">
        <v>24</v>
      </c>
      <c r="N348" s="1" t="s">
        <v>123</v>
      </c>
      <c r="O348">
        <v>4</v>
      </c>
      <c r="P348">
        <v>826</v>
      </c>
      <c r="Q348" s="1" t="s">
        <v>44</v>
      </c>
      <c r="R348">
        <v>6</v>
      </c>
      <c r="S348" s="1" t="s">
        <v>50</v>
      </c>
      <c r="T348" s="1" t="s">
        <v>58</v>
      </c>
    </row>
    <row r="349" spans="1:20" x14ac:dyDescent="0.25">
      <c r="A349" s="1" t="s">
        <v>37</v>
      </c>
      <c r="B349">
        <v>8</v>
      </c>
      <c r="C349">
        <v>8</v>
      </c>
      <c r="D349">
        <v>9</v>
      </c>
      <c r="E349">
        <v>1</v>
      </c>
      <c r="F349" s="1" t="s">
        <v>55</v>
      </c>
      <c r="G349" s="1" t="s">
        <v>32</v>
      </c>
      <c r="H349" s="1" t="s">
        <v>23</v>
      </c>
      <c r="I349" s="1" t="s">
        <v>24</v>
      </c>
      <c r="J349" s="1" t="s">
        <v>23</v>
      </c>
      <c r="K349" s="1" t="s">
        <v>23</v>
      </c>
      <c r="L349" s="1" t="s">
        <v>24</v>
      </c>
      <c r="M349" s="1" t="s">
        <v>24</v>
      </c>
      <c r="N349" s="1" t="s">
        <v>25</v>
      </c>
      <c r="O349">
        <v>3</v>
      </c>
      <c r="P349">
        <v>3773</v>
      </c>
      <c r="Q349" s="1" t="s">
        <v>26</v>
      </c>
      <c r="R349">
        <v>4</v>
      </c>
      <c r="S349" s="1" t="s">
        <v>56</v>
      </c>
      <c r="T349" s="1" t="s">
        <v>51</v>
      </c>
    </row>
    <row r="350" spans="1:20" x14ac:dyDescent="0.25">
      <c r="A350" s="1" t="s">
        <v>20</v>
      </c>
      <c r="B350">
        <v>5</v>
      </c>
      <c r="C350">
        <v>3</v>
      </c>
      <c r="D350">
        <v>9</v>
      </c>
      <c r="E350">
        <v>5</v>
      </c>
      <c r="F350" s="1" t="s">
        <v>21</v>
      </c>
      <c r="G350" s="1" t="s">
        <v>32</v>
      </c>
      <c r="H350" s="1" t="s">
        <v>24</v>
      </c>
      <c r="I350" s="1" t="s">
        <v>24</v>
      </c>
      <c r="J350" s="1" t="s">
        <v>24</v>
      </c>
      <c r="K350" s="1" t="s">
        <v>24</v>
      </c>
      <c r="L350" s="1" t="s">
        <v>24</v>
      </c>
      <c r="M350" s="1" t="s">
        <v>24</v>
      </c>
      <c r="N350" s="1" t="s">
        <v>100</v>
      </c>
      <c r="O350">
        <v>5</v>
      </c>
      <c r="P350">
        <v>2700</v>
      </c>
      <c r="Q350" s="1" t="s">
        <v>26</v>
      </c>
      <c r="R350">
        <v>4</v>
      </c>
      <c r="S350" s="1" t="s">
        <v>27</v>
      </c>
      <c r="T350" s="1" t="s">
        <v>40</v>
      </c>
    </row>
    <row r="351" spans="1:20" x14ac:dyDescent="0.25">
      <c r="A351" s="1" t="s">
        <v>65</v>
      </c>
      <c r="B351">
        <v>39</v>
      </c>
      <c r="C351">
        <v>18</v>
      </c>
      <c r="D351">
        <v>9</v>
      </c>
      <c r="E351">
        <v>4</v>
      </c>
      <c r="F351" s="1" t="s">
        <v>46</v>
      </c>
      <c r="G351" s="1" t="s">
        <v>32</v>
      </c>
      <c r="H351" s="1" t="s">
        <v>24</v>
      </c>
      <c r="I351" s="1" t="s">
        <v>24</v>
      </c>
      <c r="J351" s="1" t="s">
        <v>23</v>
      </c>
      <c r="K351" s="1" t="s">
        <v>24</v>
      </c>
      <c r="L351" s="1" t="s">
        <v>24</v>
      </c>
      <c r="M351" s="1" t="s">
        <v>24</v>
      </c>
      <c r="N351" s="1" t="s">
        <v>108</v>
      </c>
      <c r="O351">
        <v>35</v>
      </c>
      <c r="P351">
        <v>1228</v>
      </c>
      <c r="Q351" s="1" t="s">
        <v>36</v>
      </c>
      <c r="R351">
        <v>4</v>
      </c>
      <c r="S351" s="1" t="s">
        <v>50</v>
      </c>
      <c r="T351" s="1" t="s">
        <v>28</v>
      </c>
    </row>
    <row r="352" spans="1:20" x14ac:dyDescent="0.25">
      <c r="A352" s="1" t="s">
        <v>20</v>
      </c>
      <c r="B352">
        <v>37</v>
      </c>
      <c r="C352">
        <v>8</v>
      </c>
      <c r="D352">
        <v>9</v>
      </c>
      <c r="E352">
        <v>4</v>
      </c>
      <c r="F352" s="1" t="s">
        <v>21</v>
      </c>
      <c r="G352" s="1" t="s">
        <v>41</v>
      </c>
      <c r="H352" s="1" t="s">
        <v>24</v>
      </c>
      <c r="I352" s="1" t="s">
        <v>24</v>
      </c>
      <c r="J352" s="1" t="s">
        <v>23</v>
      </c>
      <c r="K352" s="1" t="s">
        <v>24</v>
      </c>
      <c r="L352" s="1" t="s">
        <v>24</v>
      </c>
      <c r="M352" s="1" t="s">
        <v>24</v>
      </c>
      <c r="N352" s="1" t="s">
        <v>95</v>
      </c>
      <c r="O352">
        <v>5</v>
      </c>
      <c r="P352">
        <v>3025</v>
      </c>
      <c r="Q352" s="1" t="s">
        <v>26</v>
      </c>
      <c r="R352">
        <v>3</v>
      </c>
      <c r="S352" s="1" t="s">
        <v>33</v>
      </c>
      <c r="T352" s="1" t="s">
        <v>40</v>
      </c>
    </row>
    <row r="353" spans="1:20" x14ac:dyDescent="0.25">
      <c r="A353" s="1" t="s">
        <v>20</v>
      </c>
      <c r="B353">
        <v>28</v>
      </c>
      <c r="C353">
        <v>6</v>
      </c>
      <c r="D353">
        <v>9</v>
      </c>
      <c r="E353">
        <v>3</v>
      </c>
      <c r="F353" s="1" t="s">
        <v>55</v>
      </c>
      <c r="G353" s="1" t="s">
        <v>29</v>
      </c>
      <c r="H353" s="1" t="s">
        <v>24</v>
      </c>
      <c r="I353" s="1" t="s">
        <v>24</v>
      </c>
      <c r="J353" s="1" t="s">
        <v>24</v>
      </c>
      <c r="K353" s="1" t="s">
        <v>24</v>
      </c>
      <c r="L353" s="1" t="s">
        <v>24</v>
      </c>
      <c r="M353" s="1" t="s">
        <v>24</v>
      </c>
      <c r="N353" s="1" t="s">
        <v>114</v>
      </c>
      <c r="O353">
        <v>3</v>
      </c>
      <c r="P353">
        <v>716</v>
      </c>
      <c r="Q353" s="1" t="s">
        <v>26</v>
      </c>
      <c r="R353">
        <v>3</v>
      </c>
      <c r="S353" s="1" t="s">
        <v>59</v>
      </c>
      <c r="T353" s="1" t="s">
        <v>40</v>
      </c>
    </row>
    <row r="354" spans="1:20" x14ac:dyDescent="0.25">
      <c r="A354" s="1" t="s">
        <v>20</v>
      </c>
      <c r="B354">
        <v>24</v>
      </c>
      <c r="C354">
        <v>6</v>
      </c>
      <c r="D354">
        <v>9</v>
      </c>
      <c r="E354">
        <v>2</v>
      </c>
      <c r="F354" s="1" t="s">
        <v>46</v>
      </c>
      <c r="G354" s="1" t="s">
        <v>32</v>
      </c>
      <c r="H354" s="1" t="s">
        <v>24</v>
      </c>
      <c r="I354" s="1" t="s">
        <v>24</v>
      </c>
      <c r="J354" s="1" t="s">
        <v>23</v>
      </c>
      <c r="K354" s="1" t="s">
        <v>24</v>
      </c>
      <c r="L354" s="1" t="s">
        <v>24</v>
      </c>
      <c r="M354" s="1" t="s">
        <v>24</v>
      </c>
      <c r="N354" s="1" t="s">
        <v>62</v>
      </c>
      <c r="O354">
        <v>3</v>
      </c>
      <c r="P354">
        <v>3981</v>
      </c>
      <c r="Q354" s="1" t="s">
        <v>26</v>
      </c>
      <c r="R354">
        <v>2</v>
      </c>
      <c r="S354" s="1" t="s">
        <v>52</v>
      </c>
      <c r="T354" s="1" t="s">
        <v>51</v>
      </c>
    </row>
    <row r="355" spans="1:20" x14ac:dyDescent="0.25">
      <c r="A355" s="1" t="s">
        <v>48</v>
      </c>
      <c r="B355">
        <v>5</v>
      </c>
      <c r="C355">
        <v>3</v>
      </c>
      <c r="D355">
        <v>9</v>
      </c>
      <c r="E355">
        <v>5</v>
      </c>
      <c r="F355" s="1" t="s">
        <v>55</v>
      </c>
      <c r="G355" s="1" t="s">
        <v>41</v>
      </c>
      <c r="H355" s="1" t="s">
        <v>24</v>
      </c>
      <c r="I355" s="1" t="s">
        <v>24</v>
      </c>
      <c r="J355" s="1" t="s">
        <v>23</v>
      </c>
      <c r="K355" s="1" t="s">
        <v>24</v>
      </c>
      <c r="L355" s="1" t="s">
        <v>24</v>
      </c>
      <c r="M355" s="1" t="s">
        <v>24</v>
      </c>
      <c r="N355" s="1" t="s">
        <v>95</v>
      </c>
      <c r="O355">
        <v>5</v>
      </c>
      <c r="P355">
        <v>3025</v>
      </c>
      <c r="Q355" s="1" t="s">
        <v>49</v>
      </c>
      <c r="R355">
        <v>2</v>
      </c>
      <c r="S355" s="1" t="s">
        <v>57</v>
      </c>
      <c r="T355" s="1" t="s">
        <v>28</v>
      </c>
    </row>
    <row r="356" spans="1:20" x14ac:dyDescent="0.25">
      <c r="A356" s="1" t="s">
        <v>20</v>
      </c>
      <c r="B356">
        <v>7</v>
      </c>
      <c r="C356">
        <v>6</v>
      </c>
      <c r="D356">
        <v>9</v>
      </c>
      <c r="E356">
        <v>2</v>
      </c>
      <c r="F356" s="1" t="s">
        <v>46</v>
      </c>
      <c r="G356" s="1" t="s">
        <v>22</v>
      </c>
      <c r="H356" s="1" t="s">
        <v>23</v>
      </c>
      <c r="I356" s="1" t="s">
        <v>24</v>
      </c>
      <c r="J356" s="1" t="s">
        <v>23</v>
      </c>
      <c r="K356" s="1" t="s">
        <v>23</v>
      </c>
      <c r="L356" s="1" t="s">
        <v>24</v>
      </c>
      <c r="M356" s="1" t="s">
        <v>24</v>
      </c>
      <c r="N356" s="1" t="s">
        <v>25</v>
      </c>
      <c r="O356">
        <v>3</v>
      </c>
      <c r="P356">
        <v>3773</v>
      </c>
      <c r="Q356" s="1" t="s">
        <v>26</v>
      </c>
      <c r="R356">
        <v>1</v>
      </c>
      <c r="S356" s="1" t="s">
        <v>50</v>
      </c>
      <c r="T356" s="1" t="s">
        <v>51</v>
      </c>
    </row>
    <row r="357" spans="1:20" x14ac:dyDescent="0.25">
      <c r="A357" s="1" t="s">
        <v>35</v>
      </c>
      <c r="B357">
        <v>14</v>
      </c>
      <c r="C357">
        <v>4</v>
      </c>
      <c r="D357">
        <v>9</v>
      </c>
      <c r="E357">
        <v>4</v>
      </c>
      <c r="F357" s="1" t="s">
        <v>31</v>
      </c>
      <c r="G357" s="1" t="s">
        <v>41</v>
      </c>
      <c r="H357" s="1" t="s">
        <v>24</v>
      </c>
      <c r="I357" s="1" t="s">
        <v>24</v>
      </c>
      <c r="J357" s="1" t="s">
        <v>24</v>
      </c>
      <c r="K357" s="1" t="s">
        <v>24</v>
      </c>
      <c r="L357" s="1" t="s">
        <v>24</v>
      </c>
      <c r="M357" s="1" t="s">
        <v>24</v>
      </c>
      <c r="N357" s="1" t="s">
        <v>85</v>
      </c>
      <c r="O357">
        <v>4</v>
      </c>
      <c r="P357">
        <v>1467</v>
      </c>
      <c r="Q357" s="1" t="s">
        <v>36</v>
      </c>
      <c r="R357">
        <v>1</v>
      </c>
      <c r="S357" s="1" t="s">
        <v>39</v>
      </c>
      <c r="T357" s="1" t="s">
        <v>30</v>
      </c>
    </row>
    <row r="358" spans="1:20" x14ac:dyDescent="0.25">
      <c r="A358" s="1" t="s">
        <v>35</v>
      </c>
      <c r="B358">
        <v>10</v>
      </c>
      <c r="C358">
        <v>0</v>
      </c>
      <c r="D358">
        <v>9</v>
      </c>
      <c r="E358">
        <v>5</v>
      </c>
      <c r="F358" s="1" t="s">
        <v>46</v>
      </c>
      <c r="G358" s="1" t="s">
        <v>32</v>
      </c>
      <c r="H358" s="1" t="s">
        <v>24</v>
      </c>
      <c r="I358" s="1" t="s">
        <v>24</v>
      </c>
      <c r="J358" s="1" t="s">
        <v>23</v>
      </c>
      <c r="K358" s="1" t="s">
        <v>24</v>
      </c>
      <c r="L358" s="1" t="s">
        <v>24</v>
      </c>
      <c r="M358" s="1" t="s">
        <v>24</v>
      </c>
      <c r="N358" s="1" t="s">
        <v>108</v>
      </c>
      <c r="O358">
        <v>35</v>
      </c>
      <c r="P358">
        <v>1228</v>
      </c>
      <c r="Q358" s="1" t="s">
        <v>36</v>
      </c>
      <c r="R358">
        <v>1</v>
      </c>
      <c r="S358" s="1" t="s">
        <v>50</v>
      </c>
      <c r="T358" s="1" t="s">
        <v>51</v>
      </c>
    </row>
    <row r="359" spans="1:20" x14ac:dyDescent="0.25">
      <c r="A359" s="1" t="s">
        <v>37</v>
      </c>
      <c r="B359">
        <v>27</v>
      </c>
      <c r="C359">
        <v>0</v>
      </c>
      <c r="D359">
        <v>9</v>
      </c>
      <c r="E359">
        <v>1</v>
      </c>
      <c r="F359" s="1" t="s">
        <v>55</v>
      </c>
      <c r="G359" s="1" t="s">
        <v>41</v>
      </c>
      <c r="H359" s="1" t="s">
        <v>24</v>
      </c>
      <c r="I359" s="1" t="s">
        <v>24</v>
      </c>
      <c r="J359" s="1" t="s">
        <v>24</v>
      </c>
      <c r="K359" s="1" t="s">
        <v>24</v>
      </c>
      <c r="L359" s="1" t="s">
        <v>24</v>
      </c>
      <c r="M359" s="1" t="s">
        <v>24</v>
      </c>
      <c r="N359" s="1" t="s">
        <v>85</v>
      </c>
      <c r="O359">
        <v>4</v>
      </c>
      <c r="P359">
        <v>1467</v>
      </c>
      <c r="Q359" s="1" t="s">
        <v>26</v>
      </c>
      <c r="R359">
        <v>0</v>
      </c>
      <c r="S359" s="1" t="s">
        <v>56</v>
      </c>
      <c r="T359" s="1" t="s">
        <v>40</v>
      </c>
    </row>
    <row r="360" spans="1:20" x14ac:dyDescent="0.25">
      <c r="A360" s="1" t="s">
        <v>48</v>
      </c>
      <c r="B360">
        <v>6</v>
      </c>
      <c r="C360">
        <v>6</v>
      </c>
      <c r="D360">
        <v>9</v>
      </c>
      <c r="E360">
        <v>3</v>
      </c>
      <c r="F360" s="1" t="s">
        <v>55</v>
      </c>
      <c r="G360" s="1" t="s">
        <v>32</v>
      </c>
      <c r="H360" s="1" t="s">
        <v>24</v>
      </c>
      <c r="I360" s="1" t="s">
        <v>24</v>
      </c>
      <c r="J360" s="1" t="s">
        <v>23</v>
      </c>
      <c r="K360" s="1" t="s">
        <v>24</v>
      </c>
      <c r="L360" s="1" t="s">
        <v>24</v>
      </c>
      <c r="M360" s="1" t="s">
        <v>24</v>
      </c>
      <c r="N360" s="1" t="s">
        <v>90</v>
      </c>
      <c r="O360">
        <v>5</v>
      </c>
      <c r="P360">
        <v>3348</v>
      </c>
      <c r="Q360" s="1" t="s">
        <v>49</v>
      </c>
      <c r="R360">
        <v>0</v>
      </c>
      <c r="S360" s="1" t="s">
        <v>59</v>
      </c>
      <c r="T360" s="1" t="s">
        <v>53</v>
      </c>
    </row>
    <row r="361" spans="1:20" x14ac:dyDescent="0.25">
      <c r="A361" s="1" t="s">
        <v>48</v>
      </c>
      <c r="B361">
        <v>26</v>
      </c>
      <c r="C361">
        <v>7</v>
      </c>
      <c r="D361">
        <v>9</v>
      </c>
      <c r="E361">
        <v>4</v>
      </c>
      <c r="F361" s="1" t="s">
        <v>55</v>
      </c>
      <c r="G361" s="1" t="s">
        <v>32</v>
      </c>
      <c r="H361" s="1" t="s">
        <v>24</v>
      </c>
      <c r="I361" s="1" t="s">
        <v>24</v>
      </c>
      <c r="J361" s="1" t="s">
        <v>23</v>
      </c>
      <c r="K361" s="1" t="s">
        <v>23</v>
      </c>
      <c r="L361" s="1" t="s">
        <v>23</v>
      </c>
      <c r="M361" s="1" t="s">
        <v>24</v>
      </c>
      <c r="N361" s="1" t="s">
        <v>115</v>
      </c>
      <c r="O361">
        <v>3</v>
      </c>
      <c r="P361">
        <v>315</v>
      </c>
      <c r="Q361" s="1" t="s">
        <v>49</v>
      </c>
      <c r="R361">
        <v>0</v>
      </c>
      <c r="S361" s="1" t="s">
        <v>57</v>
      </c>
      <c r="T361" s="1" t="s">
        <v>30</v>
      </c>
    </row>
    <row r="362" spans="1:20" x14ac:dyDescent="0.25">
      <c r="A362" s="1" t="s">
        <v>20</v>
      </c>
      <c r="B362">
        <v>20</v>
      </c>
      <c r="C362">
        <v>6</v>
      </c>
      <c r="D362">
        <v>9</v>
      </c>
      <c r="E362">
        <v>5</v>
      </c>
      <c r="F362" s="1" t="s">
        <v>21</v>
      </c>
      <c r="G362" s="1" t="s">
        <v>38</v>
      </c>
      <c r="H362" s="1" t="s">
        <v>24</v>
      </c>
      <c r="I362" s="1" t="s">
        <v>24</v>
      </c>
      <c r="J362" s="1" t="s">
        <v>23</v>
      </c>
      <c r="K362" s="1" t="s">
        <v>24</v>
      </c>
      <c r="L362" s="1" t="s">
        <v>24</v>
      </c>
      <c r="M362" s="1" t="s">
        <v>24</v>
      </c>
      <c r="N362" s="1" t="s">
        <v>119</v>
      </c>
      <c r="O362">
        <v>5</v>
      </c>
      <c r="P362">
        <v>4027</v>
      </c>
      <c r="Q362" s="1" t="s">
        <v>26</v>
      </c>
      <c r="R362">
        <v>0</v>
      </c>
      <c r="S362" s="1" t="s">
        <v>27</v>
      </c>
      <c r="T362" s="1" t="s">
        <v>51</v>
      </c>
    </row>
    <row r="363" spans="1:20" x14ac:dyDescent="0.25">
      <c r="A363" s="1" t="s">
        <v>35</v>
      </c>
      <c r="B363">
        <v>20</v>
      </c>
      <c r="C363">
        <v>3</v>
      </c>
      <c r="D363">
        <v>9</v>
      </c>
      <c r="E363">
        <v>5</v>
      </c>
      <c r="F363" s="1" t="s">
        <v>31</v>
      </c>
      <c r="G363" s="1" t="s">
        <v>41</v>
      </c>
      <c r="H363" s="1" t="s">
        <v>24</v>
      </c>
      <c r="I363" s="1" t="s">
        <v>24</v>
      </c>
      <c r="J363" s="1" t="s">
        <v>23</v>
      </c>
      <c r="K363" s="1" t="s">
        <v>24</v>
      </c>
      <c r="L363" s="1" t="s">
        <v>24</v>
      </c>
      <c r="M363" s="1" t="s">
        <v>24</v>
      </c>
      <c r="N363" s="1" t="s">
        <v>119</v>
      </c>
      <c r="O363">
        <v>5</v>
      </c>
      <c r="P363">
        <v>4027</v>
      </c>
      <c r="Q363" s="1" t="s">
        <v>36</v>
      </c>
      <c r="R363">
        <v>0</v>
      </c>
      <c r="S363" s="1" t="s">
        <v>45</v>
      </c>
      <c r="T363" s="1" t="s">
        <v>58</v>
      </c>
    </row>
    <row r="364" spans="1:20" x14ac:dyDescent="0.25">
      <c r="A364" s="1" t="s">
        <v>37</v>
      </c>
      <c r="B364">
        <v>6</v>
      </c>
      <c r="C364">
        <v>0</v>
      </c>
      <c r="D364">
        <v>8</v>
      </c>
      <c r="E364">
        <v>5</v>
      </c>
      <c r="F364" s="1" t="s">
        <v>31</v>
      </c>
      <c r="G364" s="1" t="s">
        <v>41</v>
      </c>
      <c r="H364" s="1" t="s">
        <v>24</v>
      </c>
      <c r="I364" s="1" t="s">
        <v>24</v>
      </c>
      <c r="J364" s="1" t="s">
        <v>23</v>
      </c>
      <c r="K364" s="1" t="s">
        <v>23</v>
      </c>
      <c r="L364" s="1" t="s">
        <v>24</v>
      </c>
      <c r="M364" s="1" t="s">
        <v>24</v>
      </c>
      <c r="N364" s="1" t="s">
        <v>109</v>
      </c>
      <c r="O364">
        <v>35</v>
      </c>
      <c r="P364">
        <v>732</v>
      </c>
      <c r="Q364" s="1" t="s">
        <v>26</v>
      </c>
      <c r="R364">
        <v>10</v>
      </c>
      <c r="S364" s="1" t="s">
        <v>42</v>
      </c>
      <c r="T364" s="1" t="s">
        <v>51</v>
      </c>
    </row>
    <row r="365" spans="1:20" x14ac:dyDescent="0.25">
      <c r="A365" s="1" t="s">
        <v>75</v>
      </c>
      <c r="B365">
        <v>8</v>
      </c>
      <c r="C365">
        <v>5</v>
      </c>
      <c r="D365">
        <v>8</v>
      </c>
      <c r="E365">
        <v>4</v>
      </c>
      <c r="F365" s="1" t="s">
        <v>55</v>
      </c>
      <c r="G365" s="1" t="s">
        <v>41</v>
      </c>
      <c r="H365" s="1" t="s">
        <v>24</v>
      </c>
      <c r="I365" s="1" t="s">
        <v>24</v>
      </c>
      <c r="J365" s="1" t="s">
        <v>23</v>
      </c>
      <c r="K365" s="1" t="s">
        <v>24</v>
      </c>
      <c r="L365" s="1" t="s">
        <v>24</v>
      </c>
      <c r="M365" s="1" t="s">
        <v>23</v>
      </c>
      <c r="N365" s="1" t="s">
        <v>70</v>
      </c>
      <c r="O365">
        <v>4</v>
      </c>
      <c r="P365">
        <v>3003</v>
      </c>
      <c r="Q365" s="1" t="s">
        <v>36</v>
      </c>
      <c r="R365">
        <v>8</v>
      </c>
      <c r="S365" s="1" t="s">
        <v>59</v>
      </c>
      <c r="T365" s="1" t="s">
        <v>30</v>
      </c>
    </row>
    <row r="366" spans="1:20" x14ac:dyDescent="0.25">
      <c r="A366" s="1" t="s">
        <v>37</v>
      </c>
      <c r="B366">
        <v>4</v>
      </c>
      <c r="C366">
        <v>3</v>
      </c>
      <c r="D366">
        <v>8</v>
      </c>
      <c r="E366">
        <v>2</v>
      </c>
      <c r="F366" s="1" t="s">
        <v>21</v>
      </c>
      <c r="G366" s="1" t="s">
        <v>41</v>
      </c>
      <c r="H366" s="1" t="s">
        <v>24</v>
      </c>
      <c r="I366" s="1" t="s">
        <v>24</v>
      </c>
      <c r="J366" s="1" t="s">
        <v>23</v>
      </c>
      <c r="K366" s="1" t="s">
        <v>24</v>
      </c>
      <c r="L366" s="1" t="s">
        <v>24</v>
      </c>
      <c r="M366" s="1" t="s">
        <v>24</v>
      </c>
      <c r="N366" s="1" t="s">
        <v>92</v>
      </c>
      <c r="O366">
        <v>5</v>
      </c>
      <c r="P366">
        <v>2959</v>
      </c>
      <c r="Q366" s="1" t="s">
        <v>26</v>
      </c>
      <c r="R366">
        <v>8</v>
      </c>
      <c r="S366" s="1" t="s">
        <v>60</v>
      </c>
      <c r="T366" s="1" t="s">
        <v>40</v>
      </c>
    </row>
    <row r="367" spans="1:20" x14ac:dyDescent="0.25">
      <c r="A367" s="1" t="s">
        <v>68</v>
      </c>
      <c r="B367">
        <v>33</v>
      </c>
      <c r="C367">
        <v>8</v>
      </c>
      <c r="D367">
        <v>8</v>
      </c>
      <c r="E367">
        <v>5</v>
      </c>
      <c r="F367" s="1" t="s">
        <v>55</v>
      </c>
      <c r="G367" s="1" t="s">
        <v>22</v>
      </c>
      <c r="H367" s="1" t="s">
        <v>24</v>
      </c>
      <c r="I367" s="1" t="s">
        <v>24</v>
      </c>
      <c r="J367" s="1" t="s">
        <v>24</v>
      </c>
      <c r="K367" s="1" t="s">
        <v>24</v>
      </c>
      <c r="L367" s="1" t="s">
        <v>24</v>
      </c>
      <c r="M367" s="1" t="s">
        <v>24</v>
      </c>
      <c r="N367" s="1" t="s">
        <v>85</v>
      </c>
      <c r="O367">
        <v>4</v>
      </c>
      <c r="P367">
        <v>1467</v>
      </c>
      <c r="Q367" s="1" t="s">
        <v>36</v>
      </c>
      <c r="R367">
        <v>7</v>
      </c>
      <c r="S367" s="1" t="s">
        <v>59</v>
      </c>
      <c r="T367" s="1" t="s">
        <v>34</v>
      </c>
    </row>
    <row r="368" spans="1:20" x14ac:dyDescent="0.25">
      <c r="A368" s="1" t="s">
        <v>99</v>
      </c>
      <c r="B368">
        <v>7</v>
      </c>
      <c r="C368">
        <v>4</v>
      </c>
      <c r="D368">
        <v>8</v>
      </c>
      <c r="E368">
        <v>5</v>
      </c>
      <c r="F368" s="1" t="s">
        <v>31</v>
      </c>
      <c r="G368" s="1" t="s">
        <v>32</v>
      </c>
      <c r="H368" s="1" t="s">
        <v>24</v>
      </c>
      <c r="I368" s="1" t="s">
        <v>24</v>
      </c>
      <c r="J368" s="1" t="s">
        <v>23</v>
      </c>
      <c r="K368" s="1" t="s">
        <v>24</v>
      </c>
      <c r="L368" s="1" t="s">
        <v>24</v>
      </c>
      <c r="M368" s="1" t="s">
        <v>24</v>
      </c>
      <c r="N368" s="1" t="s">
        <v>102</v>
      </c>
      <c r="O368">
        <v>5</v>
      </c>
      <c r="P368">
        <v>1282</v>
      </c>
      <c r="Q368" s="1" t="s">
        <v>83</v>
      </c>
      <c r="R368">
        <v>7</v>
      </c>
      <c r="S368" s="1" t="s">
        <v>45</v>
      </c>
      <c r="T368" s="1" t="s">
        <v>53</v>
      </c>
    </row>
    <row r="369" spans="1:20" x14ac:dyDescent="0.25">
      <c r="A369" s="1" t="s">
        <v>84</v>
      </c>
      <c r="B369">
        <v>18</v>
      </c>
      <c r="C369">
        <v>9</v>
      </c>
      <c r="D369">
        <v>8</v>
      </c>
      <c r="E369">
        <v>3</v>
      </c>
      <c r="F369" s="1" t="s">
        <v>55</v>
      </c>
      <c r="G369" s="1" t="s">
        <v>29</v>
      </c>
      <c r="H369" s="1" t="s">
        <v>24</v>
      </c>
      <c r="I369" s="1" t="s">
        <v>24</v>
      </c>
      <c r="J369" s="1" t="s">
        <v>23</v>
      </c>
      <c r="K369" s="1" t="s">
        <v>23</v>
      </c>
      <c r="L369" s="1" t="s">
        <v>24</v>
      </c>
      <c r="M369" s="1" t="s">
        <v>24</v>
      </c>
      <c r="N369" s="1" t="s">
        <v>109</v>
      </c>
      <c r="O369">
        <v>35</v>
      </c>
      <c r="P369">
        <v>732</v>
      </c>
      <c r="Q369" s="1" t="s">
        <v>44</v>
      </c>
      <c r="R369">
        <v>7</v>
      </c>
      <c r="S369" s="1" t="s">
        <v>57</v>
      </c>
      <c r="T369" s="1" t="s">
        <v>58</v>
      </c>
    </row>
    <row r="370" spans="1:20" x14ac:dyDescent="0.25">
      <c r="A370" s="1" t="s">
        <v>20</v>
      </c>
      <c r="B370">
        <v>7</v>
      </c>
      <c r="C370">
        <v>3</v>
      </c>
      <c r="D370">
        <v>8</v>
      </c>
      <c r="E370">
        <v>5</v>
      </c>
      <c r="F370" s="1" t="s">
        <v>21</v>
      </c>
      <c r="G370" s="1" t="s">
        <v>32</v>
      </c>
      <c r="H370" s="1" t="s">
        <v>24</v>
      </c>
      <c r="I370" s="1" t="s">
        <v>24</v>
      </c>
      <c r="J370" s="1" t="s">
        <v>23</v>
      </c>
      <c r="K370" s="1" t="s">
        <v>24</v>
      </c>
      <c r="L370" s="1" t="s">
        <v>24</v>
      </c>
      <c r="M370" s="1" t="s">
        <v>24</v>
      </c>
      <c r="N370" s="1" t="s">
        <v>92</v>
      </c>
      <c r="O370">
        <v>5</v>
      </c>
      <c r="P370">
        <v>2959</v>
      </c>
      <c r="Q370" s="1" t="s">
        <v>26</v>
      </c>
      <c r="R370">
        <v>5</v>
      </c>
      <c r="S370" s="1" t="s">
        <v>60</v>
      </c>
      <c r="T370" s="1" t="s">
        <v>53</v>
      </c>
    </row>
    <row r="371" spans="1:20" x14ac:dyDescent="0.25">
      <c r="A371" s="1" t="s">
        <v>20</v>
      </c>
      <c r="B371">
        <v>33</v>
      </c>
      <c r="C371">
        <v>13</v>
      </c>
      <c r="D371">
        <v>8</v>
      </c>
      <c r="E371">
        <v>5</v>
      </c>
      <c r="F371" s="1" t="s">
        <v>21</v>
      </c>
      <c r="G371" s="1" t="s">
        <v>29</v>
      </c>
      <c r="H371" s="1" t="s">
        <v>24</v>
      </c>
      <c r="I371" s="1" t="s">
        <v>24</v>
      </c>
      <c r="J371" s="1" t="s">
        <v>23</v>
      </c>
      <c r="K371" s="1" t="s">
        <v>24</v>
      </c>
      <c r="L371" s="1" t="s">
        <v>24</v>
      </c>
      <c r="M371" s="1" t="s">
        <v>24</v>
      </c>
      <c r="N371" s="1" t="s">
        <v>102</v>
      </c>
      <c r="O371">
        <v>5</v>
      </c>
      <c r="P371">
        <v>1282</v>
      </c>
      <c r="Q371" s="1" t="s">
        <v>26</v>
      </c>
      <c r="R371">
        <v>5</v>
      </c>
      <c r="S371" s="1" t="s">
        <v>33</v>
      </c>
      <c r="T371" s="1" t="s">
        <v>51</v>
      </c>
    </row>
    <row r="372" spans="1:20" x14ac:dyDescent="0.25">
      <c r="A372" s="1" t="s">
        <v>43</v>
      </c>
      <c r="B372">
        <v>13</v>
      </c>
      <c r="C372">
        <v>7</v>
      </c>
      <c r="D372">
        <v>8</v>
      </c>
      <c r="E372">
        <v>5</v>
      </c>
      <c r="F372" s="1" t="s">
        <v>55</v>
      </c>
      <c r="G372" s="1" t="s">
        <v>41</v>
      </c>
      <c r="H372" s="1" t="s">
        <v>24</v>
      </c>
      <c r="I372" s="1" t="s">
        <v>24</v>
      </c>
      <c r="J372" s="1" t="s">
        <v>23</v>
      </c>
      <c r="K372" s="1" t="s">
        <v>24</v>
      </c>
      <c r="L372" s="1" t="s">
        <v>24</v>
      </c>
      <c r="M372" s="1" t="s">
        <v>24</v>
      </c>
      <c r="N372" s="1" t="s">
        <v>106</v>
      </c>
      <c r="O372">
        <v>5</v>
      </c>
      <c r="P372">
        <v>2034</v>
      </c>
      <c r="Q372" s="1" t="s">
        <v>44</v>
      </c>
      <c r="R372">
        <v>5</v>
      </c>
      <c r="S372" s="1" t="s">
        <v>59</v>
      </c>
      <c r="T372" s="1" t="s">
        <v>53</v>
      </c>
    </row>
    <row r="373" spans="1:20" x14ac:dyDescent="0.25">
      <c r="A373" s="1" t="s">
        <v>63</v>
      </c>
      <c r="B373">
        <v>13</v>
      </c>
      <c r="C373">
        <v>12</v>
      </c>
      <c r="D373">
        <v>8</v>
      </c>
      <c r="E373">
        <v>3</v>
      </c>
      <c r="F373" s="1" t="s">
        <v>31</v>
      </c>
      <c r="G373" s="1" t="s">
        <v>22</v>
      </c>
      <c r="H373" s="1" t="s">
        <v>24</v>
      </c>
      <c r="I373" s="1" t="s">
        <v>24</v>
      </c>
      <c r="J373" s="1" t="s">
        <v>23</v>
      </c>
      <c r="K373" s="1" t="s">
        <v>24</v>
      </c>
      <c r="L373" s="1" t="s">
        <v>24</v>
      </c>
      <c r="M373" s="1" t="s">
        <v>24</v>
      </c>
      <c r="N373" s="1" t="s">
        <v>62</v>
      </c>
      <c r="O373">
        <v>3</v>
      </c>
      <c r="P373">
        <v>3981</v>
      </c>
      <c r="Q373" s="1" t="s">
        <v>64</v>
      </c>
      <c r="R373">
        <v>4</v>
      </c>
      <c r="S373" s="1" t="s">
        <v>45</v>
      </c>
      <c r="T373" s="1" t="s">
        <v>51</v>
      </c>
    </row>
    <row r="374" spans="1:20" x14ac:dyDescent="0.25">
      <c r="A374" s="1" t="s">
        <v>43</v>
      </c>
      <c r="B374">
        <v>24</v>
      </c>
      <c r="C374">
        <v>3</v>
      </c>
      <c r="D374">
        <v>8</v>
      </c>
      <c r="E374">
        <v>4</v>
      </c>
      <c r="F374" s="1" t="s">
        <v>31</v>
      </c>
      <c r="G374" s="1" t="s">
        <v>22</v>
      </c>
      <c r="H374" s="1" t="s">
        <v>23</v>
      </c>
      <c r="I374" s="1" t="s">
        <v>24</v>
      </c>
      <c r="J374" s="1" t="s">
        <v>23</v>
      </c>
      <c r="K374" s="1" t="s">
        <v>23</v>
      </c>
      <c r="L374" s="1" t="s">
        <v>24</v>
      </c>
      <c r="M374" s="1" t="s">
        <v>24</v>
      </c>
      <c r="N374" s="1" t="s">
        <v>25</v>
      </c>
      <c r="O374">
        <v>3</v>
      </c>
      <c r="P374">
        <v>3773</v>
      </c>
      <c r="Q374" s="1" t="s">
        <v>44</v>
      </c>
      <c r="R374">
        <v>3</v>
      </c>
      <c r="S374" s="1" t="s">
        <v>45</v>
      </c>
      <c r="T374" s="1" t="s">
        <v>34</v>
      </c>
    </row>
    <row r="375" spans="1:20" x14ac:dyDescent="0.25">
      <c r="A375" s="1" t="s">
        <v>37</v>
      </c>
      <c r="B375">
        <v>13</v>
      </c>
      <c r="C375">
        <v>3</v>
      </c>
      <c r="D375">
        <v>8</v>
      </c>
      <c r="E375">
        <v>4</v>
      </c>
      <c r="F375" s="1" t="s">
        <v>31</v>
      </c>
      <c r="G375" s="1" t="s">
        <v>29</v>
      </c>
      <c r="H375" s="1" t="s">
        <v>24</v>
      </c>
      <c r="I375" s="1" t="s">
        <v>24</v>
      </c>
      <c r="J375" s="1" t="s">
        <v>24</v>
      </c>
      <c r="K375" s="1" t="s">
        <v>24</v>
      </c>
      <c r="L375" s="1" t="s">
        <v>24</v>
      </c>
      <c r="M375" s="1" t="s">
        <v>24</v>
      </c>
      <c r="N375" s="1" t="s">
        <v>85</v>
      </c>
      <c r="O375">
        <v>4</v>
      </c>
      <c r="P375">
        <v>1467</v>
      </c>
      <c r="Q375" s="1" t="s">
        <v>26</v>
      </c>
      <c r="R375">
        <v>3</v>
      </c>
      <c r="S375" s="1" t="s">
        <v>39</v>
      </c>
      <c r="T375" s="1" t="s">
        <v>51</v>
      </c>
    </row>
    <row r="376" spans="1:20" x14ac:dyDescent="0.25">
      <c r="A376" s="1" t="s">
        <v>97</v>
      </c>
      <c r="B376">
        <v>3</v>
      </c>
      <c r="C376">
        <v>0</v>
      </c>
      <c r="D376">
        <v>8</v>
      </c>
      <c r="E376">
        <v>2</v>
      </c>
      <c r="F376" s="1" t="s">
        <v>31</v>
      </c>
      <c r="G376" s="1" t="s">
        <v>32</v>
      </c>
      <c r="H376" s="1" t="s">
        <v>24</v>
      </c>
      <c r="I376" s="1" t="s">
        <v>24</v>
      </c>
      <c r="J376" s="1" t="s">
        <v>23</v>
      </c>
      <c r="K376" s="1" t="s">
        <v>24</v>
      </c>
      <c r="L376" s="1" t="s">
        <v>24</v>
      </c>
      <c r="M376" s="1" t="s">
        <v>24</v>
      </c>
      <c r="N376" s="1" t="s">
        <v>120</v>
      </c>
      <c r="O376">
        <v>5</v>
      </c>
      <c r="P376">
        <v>3933</v>
      </c>
      <c r="Q376" s="1" t="s">
        <v>36</v>
      </c>
      <c r="R376">
        <v>3</v>
      </c>
      <c r="S376" s="1" t="s">
        <v>42</v>
      </c>
      <c r="T376" s="1" t="s">
        <v>40</v>
      </c>
    </row>
    <row r="377" spans="1:20" x14ac:dyDescent="0.25">
      <c r="A377" s="1" t="s">
        <v>48</v>
      </c>
      <c r="B377">
        <v>27</v>
      </c>
      <c r="C377">
        <v>9</v>
      </c>
      <c r="D377">
        <v>8</v>
      </c>
      <c r="E377">
        <v>4</v>
      </c>
      <c r="F377" s="1" t="s">
        <v>55</v>
      </c>
      <c r="G377" s="1" t="s">
        <v>32</v>
      </c>
      <c r="H377" s="1" t="s">
        <v>24</v>
      </c>
      <c r="I377" s="1" t="s">
        <v>24</v>
      </c>
      <c r="J377" s="1" t="s">
        <v>24</v>
      </c>
      <c r="K377" s="1" t="s">
        <v>24</v>
      </c>
      <c r="L377" s="1" t="s">
        <v>24</v>
      </c>
      <c r="M377" s="1" t="s">
        <v>24</v>
      </c>
      <c r="N377" s="1" t="s">
        <v>80</v>
      </c>
      <c r="O377">
        <v>4</v>
      </c>
      <c r="P377">
        <v>2884</v>
      </c>
      <c r="Q377" s="1" t="s">
        <v>49</v>
      </c>
      <c r="R377">
        <v>2</v>
      </c>
      <c r="S377" s="1" t="s">
        <v>59</v>
      </c>
      <c r="T377" s="1" t="s">
        <v>30</v>
      </c>
    </row>
    <row r="378" spans="1:20" x14ac:dyDescent="0.25">
      <c r="A378" s="1" t="s">
        <v>20</v>
      </c>
      <c r="B378">
        <v>93</v>
      </c>
      <c r="C378">
        <v>4</v>
      </c>
      <c r="D378">
        <v>8</v>
      </c>
      <c r="E378">
        <v>5</v>
      </c>
      <c r="F378" s="1" t="s">
        <v>55</v>
      </c>
      <c r="G378" s="1" t="s">
        <v>32</v>
      </c>
      <c r="H378" s="1" t="s">
        <v>24</v>
      </c>
      <c r="I378" s="1" t="s">
        <v>24</v>
      </c>
      <c r="J378" s="1" t="s">
        <v>23</v>
      </c>
      <c r="K378" s="1" t="s">
        <v>24</v>
      </c>
      <c r="L378" s="1" t="s">
        <v>24</v>
      </c>
      <c r="M378" s="1" t="s">
        <v>24</v>
      </c>
      <c r="N378" s="1" t="s">
        <v>95</v>
      </c>
      <c r="O378">
        <v>5</v>
      </c>
      <c r="P378">
        <v>3025</v>
      </c>
      <c r="Q378" s="1" t="s">
        <v>26</v>
      </c>
      <c r="R378">
        <v>2</v>
      </c>
      <c r="S378" s="1" t="s">
        <v>56</v>
      </c>
      <c r="T378" s="1" t="s">
        <v>34</v>
      </c>
    </row>
    <row r="379" spans="1:20" x14ac:dyDescent="0.25">
      <c r="A379" s="1" t="s">
        <v>99</v>
      </c>
      <c r="B379">
        <v>20</v>
      </c>
      <c r="C379">
        <v>0</v>
      </c>
      <c r="D379">
        <v>8</v>
      </c>
      <c r="E379">
        <v>5</v>
      </c>
      <c r="F379" s="1" t="s">
        <v>55</v>
      </c>
      <c r="G379" s="1" t="s">
        <v>41</v>
      </c>
      <c r="H379" s="1" t="s">
        <v>24</v>
      </c>
      <c r="I379" s="1" t="s">
        <v>24</v>
      </c>
      <c r="J379" s="1" t="s">
        <v>23</v>
      </c>
      <c r="K379" s="1" t="s">
        <v>24</v>
      </c>
      <c r="L379" s="1" t="s">
        <v>24</v>
      </c>
      <c r="M379" s="1" t="s">
        <v>24</v>
      </c>
      <c r="N379" s="1" t="s">
        <v>119</v>
      </c>
      <c r="O379">
        <v>5</v>
      </c>
      <c r="P379">
        <v>4027</v>
      </c>
      <c r="Q379" s="1" t="s">
        <v>83</v>
      </c>
      <c r="R379">
        <v>2</v>
      </c>
      <c r="S379" s="1" t="s">
        <v>57</v>
      </c>
      <c r="T379" s="1" t="s">
        <v>30</v>
      </c>
    </row>
    <row r="380" spans="1:20" x14ac:dyDescent="0.25">
      <c r="A380" s="1" t="s">
        <v>48</v>
      </c>
      <c r="B380">
        <v>11</v>
      </c>
      <c r="C380">
        <v>5</v>
      </c>
      <c r="D380">
        <v>8</v>
      </c>
      <c r="E380">
        <v>4</v>
      </c>
      <c r="F380" s="1" t="s">
        <v>21</v>
      </c>
      <c r="G380" s="1" t="s">
        <v>41</v>
      </c>
      <c r="H380" s="1" t="s">
        <v>24</v>
      </c>
      <c r="I380" s="1" t="s">
        <v>24</v>
      </c>
      <c r="J380" s="1" t="s">
        <v>24</v>
      </c>
      <c r="K380" s="1" t="s">
        <v>24</v>
      </c>
      <c r="L380" s="1" t="s">
        <v>24</v>
      </c>
      <c r="M380" s="1" t="s">
        <v>24</v>
      </c>
      <c r="N380" s="1" t="s">
        <v>80</v>
      </c>
      <c r="O380">
        <v>4</v>
      </c>
      <c r="P380">
        <v>2884</v>
      </c>
      <c r="Q380" s="1" t="s">
        <v>49</v>
      </c>
      <c r="R380">
        <v>1</v>
      </c>
      <c r="S380" s="1" t="s">
        <v>27</v>
      </c>
      <c r="T380" s="1" t="s">
        <v>28</v>
      </c>
    </row>
    <row r="381" spans="1:20" x14ac:dyDescent="0.25">
      <c r="A381" s="1" t="s">
        <v>20</v>
      </c>
      <c r="B381">
        <v>3</v>
      </c>
      <c r="C381">
        <v>3</v>
      </c>
      <c r="D381">
        <v>8</v>
      </c>
      <c r="E381">
        <v>2</v>
      </c>
      <c r="F381" s="1" t="s">
        <v>21</v>
      </c>
      <c r="G381" s="1" t="s">
        <v>32</v>
      </c>
      <c r="H381" s="1" t="s">
        <v>24</v>
      </c>
      <c r="I381" s="1" t="s">
        <v>24</v>
      </c>
      <c r="J381" s="1" t="s">
        <v>23</v>
      </c>
      <c r="K381" s="1" t="s">
        <v>23</v>
      </c>
      <c r="L381" s="1" t="s">
        <v>23</v>
      </c>
      <c r="M381" s="1" t="s">
        <v>24</v>
      </c>
      <c r="N381" s="1" t="s">
        <v>115</v>
      </c>
      <c r="O381">
        <v>3</v>
      </c>
      <c r="P381">
        <v>315</v>
      </c>
      <c r="Q381" s="1" t="s">
        <v>26</v>
      </c>
      <c r="R381">
        <v>1</v>
      </c>
      <c r="S381" s="1" t="s">
        <v>33</v>
      </c>
      <c r="T381" s="1" t="s">
        <v>34</v>
      </c>
    </row>
    <row r="382" spans="1:20" x14ac:dyDescent="0.25">
      <c r="A382" s="1" t="s">
        <v>35</v>
      </c>
      <c r="B382">
        <v>15</v>
      </c>
      <c r="C382">
        <v>4</v>
      </c>
      <c r="D382">
        <v>8</v>
      </c>
      <c r="E382">
        <v>5</v>
      </c>
      <c r="F382" s="1" t="s">
        <v>55</v>
      </c>
      <c r="G382" s="1" t="s">
        <v>41</v>
      </c>
      <c r="H382" s="1" t="s">
        <v>24</v>
      </c>
      <c r="I382" s="1" t="s">
        <v>24</v>
      </c>
      <c r="J382" s="1" t="s">
        <v>23</v>
      </c>
      <c r="K382" s="1" t="s">
        <v>24</v>
      </c>
      <c r="L382" s="1" t="s">
        <v>24</v>
      </c>
      <c r="M382" s="1" t="s">
        <v>24</v>
      </c>
      <c r="N382" s="1" t="s">
        <v>123</v>
      </c>
      <c r="O382">
        <v>4</v>
      </c>
      <c r="P382">
        <v>826</v>
      </c>
      <c r="Q382" s="1" t="s">
        <v>36</v>
      </c>
      <c r="R382">
        <v>1</v>
      </c>
      <c r="S382" s="1" t="s">
        <v>57</v>
      </c>
      <c r="T382" s="1" t="s">
        <v>53</v>
      </c>
    </row>
    <row r="383" spans="1:20" x14ac:dyDescent="0.25">
      <c r="A383" s="1" t="s">
        <v>96</v>
      </c>
      <c r="B383">
        <v>17</v>
      </c>
      <c r="C383">
        <v>4</v>
      </c>
      <c r="D383">
        <v>8</v>
      </c>
      <c r="E383">
        <v>5</v>
      </c>
      <c r="F383" s="1" t="s">
        <v>31</v>
      </c>
      <c r="G383" s="1" t="s">
        <v>41</v>
      </c>
      <c r="H383" s="1" t="s">
        <v>24</v>
      </c>
      <c r="I383" s="1" t="s">
        <v>24</v>
      </c>
      <c r="J383" s="1" t="s">
        <v>23</v>
      </c>
      <c r="K383" s="1" t="s">
        <v>24</v>
      </c>
      <c r="L383" s="1" t="s">
        <v>24</v>
      </c>
      <c r="M383" s="1" t="s">
        <v>24</v>
      </c>
      <c r="N383" s="1" t="s">
        <v>95</v>
      </c>
      <c r="O383">
        <v>5</v>
      </c>
      <c r="P383">
        <v>3025</v>
      </c>
      <c r="Q383" s="1" t="s">
        <v>36</v>
      </c>
      <c r="R383">
        <v>0</v>
      </c>
      <c r="S383" s="1" t="s">
        <v>45</v>
      </c>
      <c r="T383" s="1" t="s">
        <v>34</v>
      </c>
    </row>
    <row r="384" spans="1:20" x14ac:dyDescent="0.25">
      <c r="A384" s="1" t="s">
        <v>20</v>
      </c>
      <c r="B384">
        <v>14</v>
      </c>
      <c r="C384">
        <v>6</v>
      </c>
      <c r="D384">
        <v>7</v>
      </c>
      <c r="E384">
        <v>5</v>
      </c>
      <c r="F384" s="1" t="s">
        <v>55</v>
      </c>
      <c r="G384" s="1" t="s">
        <v>29</v>
      </c>
      <c r="H384" s="1" t="s">
        <v>24</v>
      </c>
      <c r="I384" s="1" t="s">
        <v>24</v>
      </c>
      <c r="J384" s="1" t="s">
        <v>23</v>
      </c>
      <c r="K384" s="1" t="s">
        <v>24</v>
      </c>
      <c r="L384" s="1" t="s">
        <v>24</v>
      </c>
      <c r="M384" s="1" t="s">
        <v>24</v>
      </c>
      <c r="N384" s="1" t="s">
        <v>90</v>
      </c>
      <c r="O384">
        <v>5</v>
      </c>
      <c r="P384">
        <v>3348</v>
      </c>
      <c r="Q384" s="1" t="s">
        <v>26</v>
      </c>
      <c r="R384">
        <v>11</v>
      </c>
      <c r="S384" s="1" t="s">
        <v>57</v>
      </c>
      <c r="T384" s="1" t="s">
        <v>53</v>
      </c>
    </row>
    <row r="385" spans="1:20" x14ac:dyDescent="0.25">
      <c r="A385" s="1" t="s">
        <v>61</v>
      </c>
      <c r="B385">
        <v>7</v>
      </c>
      <c r="C385">
        <v>5</v>
      </c>
      <c r="D385">
        <v>7</v>
      </c>
      <c r="E385">
        <v>4</v>
      </c>
      <c r="F385" s="1" t="s">
        <v>46</v>
      </c>
      <c r="G385" s="1" t="s">
        <v>41</v>
      </c>
      <c r="H385" s="1" t="s">
        <v>24</v>
      </c>
      <c r="I385" s="1" t="s">
        <v>24</v>
      </c>
      <c r="J385" s="1" t="s">
        <v>23</v>
      </c>
      <c r="K385" s="1" t="s">
        <v>24</v>
      </c>
      <c r="L385" s="1" t="s">
        <v>24</v>
      </c>
      <c r="M385" s="1" t="s">
        <v>23</v>
      </c>
      <c r="N385" s="1" t="s">
        <v>70</v>
      </c>
      <c r="O385">
        <v>4</v>
      </c>
      <c r="P385">
        <v>3003</v>
      </c>
      <c r="Q385" s="1" t="s">
        <v>36</v>
      </c>
      <c r="R385">
        <v>9</v>
      </c>
      <c r="S385" s="1" t="s">
        <v>47</v>
      </c>
      <c r="T385" s="1" t="s">
        <v>40</v>
      </c>
    </row>
    <row r="386" spans="1:20" x14ac:dyDescent="0.25">
      <c r="A386" s="1" t="s">
        <v>20</v>
      </c>
      <c r="B386">
        <v>15</v>
      </c>
      <c r="C386">
        <v>14</v>
      </c>
      <c r="D386">
        <v>7</v>
      </c>
      <c r="E386">
        <v>4</v>
      </c>
      <c r="F386" s="1" t="s">
        <v>31</v>
      </c>
      <c r="G386" s="1" t="s">
        <v>22</v>
      </c>
      <c r="H386" s="1" t="s">
        <v>24</v>
      </c>
      <c r="I386" s="1" t="s">
        <v>24</v>
      </c>
      <c r="J386" s="1" t="s">
        <v>24</v>
      </c>
      <c r="K386" s="1" t="s">
        <v>24</v>
      </c>
      <c r="L386" s="1" t="s">
        <v>24</v>
      </c>
      <c r="M386" s="1" t="s">
        <v>24</v>
      </c>
      <c r="N386" s="1" t="s">
        <v>80</v>
      </c>
      <c r="O386">
        <v>4</v>
      </c>
      <c r="P386">
        <v>2884</v>
      </c>
      <c r="Q386" s="1" t="s">
        <v>26</v>
      </c>
      <c r="R386">
        <v>9</v>
      </c>
      <c r="S386" s="1" t="s">
        <v>42</v>
      </c>
      <c r="T386" s="1" t="s">
        <v>40</v>
      </c>
    </row>
    <row r="387" spans="1:20" x14ac:dyDescent="0.25">
      <c r="A387" s="1" t="s">
        <v>94</v>
      </c>
      <c r="B387">
        <v>6</v>
      </c>
      <c r="C387">
        <v>6</v>
      </c>
      <c r="D387">
        <v>7</v>
      </c>
      <c r="E387">
        <v>5</v>
      </c>
      <c r="F387" s="1" t="s">
        <v>55</v>
      </c>
      <c r="G387" s="1" t="s">
        <v>41</v>
      </c>
      <c r="H387" s="1" t="s">
        <v>24</v>
      </c>
      <c r="I387" s="1" t="s">
        <v>24</v>
      </c>
      <c r="J387" s="1" t="s">
        <v>23</v>
      </c>
      <c r="K387" s="1" t="s">
        <v>24</v>
      </c>
      <c r="L387" s="1" t="s">
        <v>24</v>
      </c>
      <c r="M387" s="1" t="s">
        <v>24</v>
      </c>
      <c r="N387" s="1" t="s">
        <v>92</v>
      </c>
      <c r="O387">
        <v>5</v>
      </c>
      <c r="P387">
        <v>2959</v>
      </c>
      <c r="Q387" s="1" t="s">
        <v>36</v>
      </c>
      <c r="R387">
        <v>7</v>
      </c>
      <c r="S387" s="1" t="s">
        <v>56</v>
      </c>
      <c r="T387" s="1" t="s">
        <v>40</v>
      </c>
    </row>
    <row r="388" spans="1:20" x14ac:dyDescent="0.25">
      <c r="A388" s="1" t="s">
        <v>43</v>
      </c>
      <c r="B388">
        <v>23</v>
      </c>
      <c r="C388">
        <v>12</v>
      </c>
      <c r="D388">
        <v>7</v>
      </c>
      <c r="E388">
        <v>5</v>
      </c>
      <c r="F388" s="1" t="s">
        <v>46</v>
      </c>
      <c r="G388" s="1" t="s">
        <v>32</v>
      </c>
      <c r="H388" s="1" t="s">
        <v>24</v>
      </c>
      <c r="I388" s="1" t="s">
        <v>24</v>
      </c>
      <c r="J388" s="1" t="s">
        <v>24</v>
      </c>
      <c r="K388" s="1" t="s">
        <v>23</v>
      </c>
      <c r="L388" s="1" t="s">
        <v>23</v>
      </c>
      <c r="M388" s="1" t="s">
        <v>24</v>
      </c>
      <c r="N388" s="1" t="s">
        <v>117</v>
      </c>
      <c r="O388">
        <v>35</v>
      </c>
      <c r="P388">
        <v>787</v>
      </c>
      <c r="Q388" s="1" t="s">
        <v>44</v>
      </c>
      <c r="R388">
        <v>7</v>
      </c>
      <c r="S388" s="1" t="s">
        <v>47</v>
      </c>
      <c r="T388" s="1" t="s">
        <v>34</v>
      </c>
    </row>
    <row r="389" spans="1:20" x14ac:dyDescent="0.25">
      <c r="A389" s="1" t="s">
        <v>20</v>
      </c>
      <c r="B389">
        <v>14</v>
      </c>
      <c r="C389">
        <v>3</v>
      </c>
      <c r="D389">
        <v>7</v>
      </c>
      <c r="E389">
        <v>4</v>
      </c>
      <c r="F389" s="1" t="s">
        <v>21</v>
      </c>
      <c r="G389" s="1" t="s">
        <v>41</v>
      </c>
      <c r="H389" s="1" t="s">
        <v>24</v>
      </c>
      <c r="I389" s="1" t="s">
        <v>24</v>
      </c>
      <c r="J389" s="1" t="s">
        <v>23</v>
      </c>
      <c r="K389" s="1" t="s">
        <v>24</v>
      </c>
      <c r="L389" s="1" t="s">
        <v>24</v>
      </c>
      <c r="M389" s="1" t="s">
        <v>24</v>
      </c>
      <c r="N389" s="1" t="s">
        <v>122</v>
      </c>
      <c r="O389">
        <v>4</v>
      </c>
      <c r="P389">
        <v>2916</v>
      </c>
      <c r="Q389" s="1" t="s">
        <v>26</v>
      </c>
      <c r="R389">
        <v>7</v>
      </c>
      <c r="S389" s="1" t="s">
        <v>27</v>
      </c>
      <c r="T389" s="1" t="s">
        <v>34</v>
      </c>
    </row>
    <row r="390" spans="1:20" x14ac:dyDescent="0.25">
      <c r="A390" s="1" t="s">
        <v>37</v>
      </c>
      <c r="B390">
        <v>10</v>
      </c>
      <c r="C390">
        <v>3</v>
      </c>
      <c r="D390">
        <v>7</v>
      </c>
      <c r="E390">
        <v>5</v>
      </c>
      <c r="F390" s="1" t="s">
        <v>31</v>
      </c>
      <c r="G390" s="1" t="s">
        <v>32</v>
      </c>
      <c r="H390" s="1" t="s">
        <v>24</v>
      </c>
      <c r="I390" s="1" t="s">
        <v>24</v>
      </c>
      <c r="J390" s="1" t="s">
        <v>23</v>
      </c>
      <c r="K390" s="1" t="s">
        <v>24</v>
      </c>
      <c r="L390" s="1" t="s">
        <v>24</v>
      </c>
      <c r="M390" s="1" t="s">
        <v>24</v>
      </c>
      <c r="N390" s="1" t="s">
        <v>95</v>
      </c>
      <c r="O390">
        <v>5</v>
      </c>
      <c r="P390">
        <v>3025</v>
      </c>
      <c r="Q390" s="1" t="s">
        <v>26</v>
      </c>
      <c r="R390">
        <v>6</v>
      </c>
      <c r="S390" s="1" t="s">
        <v>39</v>
      </c>
      <c r="T390" s="1" t="s">
        <v>51</v>
      </c>
    </row>
    <row r="391" spans="1:20" x14ac:dyDescent="0.25">
      <c r="A391" s="1" t="s">
        <v>63</v>
      </c>
      <c r="B391">
        <v>9</v>
      </c>
      <c r="C391">
        <v>7</v>
      </c>
      <c r="D391">
        <v>7</v>
      </c>
      <c r="E391">
        <v>5</v>
      </c>
      <c r="F391" s="1" t="s">
        <v>55</v>
      </c>
      <c r="G391" s="1" t="s">
        <v>29</v>
      </c>
      <c r="H391" s="1" t="s">
        <v>24</v>
      </c>
      <c r="I391" s="1" t="s">
        <v>24</v>
      </c>
      <c r="J391" s="1" t="s">
        <v>23</v>
      </c>
      <c r="K391" s="1" t="s">
        <v>24</v>
      </c>
      <c r="L391" s="1" t="s">
        <v>24</v>
      </c>
      <c r="M391" s="1" t="s">
        <v>24</v>
      </c>
      <c r="N391" s="1" t="s">
        <v>92</v>
      </c>
      <c r="O391">
        <v>5</v>
      </c>
      <c r="P391">
        <v>2959</v>
      </c>
      <c r="Q391" s="1" t="s">
        <v>64</v>
      </c>
      <c r="R391">
        <v>5</v>
      </c>
      <c r="S391" s="1" t="s">
        <v>59</v>
      </c>
      <c r="T391" s="1" t="s">
        <v>51</v>
      </c>
    </row>
    <row r="392" spans="1:20" x14ac:dyDescent="0.25">
      <c r="A392" s="1" t="s">
        <v>37</v>
      </c>
      <c r="B392">
        <v>12</v>
      </c>
      <c r="C392">
        <v>3</v>
      </c>
      <c r="D392">
        <v>7</v>
      </c>
      <c r="E392">
        <v>4</v>
      </c>
      <c r="F392" s="1" t="s">
        <v>21</v>
      </c>
      <c r="G392" s="1" t="s">
        <v>22</v>
      </c>
      <c r="H392" s="1" t="s">
        <v>24</v>
      </c>
      <c r="I392" s="1" t="s">
        <v>24</v>
      </c>
      <c r="J392" s="1" t="s">
        <v>24</v>
      </c>
      <c r="K392" s="1" t="s">
        <v>24</v>
      </c>
      <c r="L392" s="1" t="s">
        <v>24</v>
      </c>
      <c r="M392" s="1" t="s">
        <v>24</v>
      </c>
      <c r="N392" s="1" t="s">
        <v>80</v>
      </c>
      <c r="O392">
        <v>4</v>
      </c>
      <c r="P392">
        <v>2884</v>
      </c>
      <c r="Q392" s="1" t="s">
        <v>26</v>
      </c>
      <c r="R392">
        <v>4</v>
      </c>
      <c r="S392" s="1" t="s">
        <v>60</v>
      </c>
      <c r="T392" s="1" t="s">
        <v>34</v>
      </c>
    </row>
    <row r="393" spans="1:20" x14ac:dyDescent="0.25">
      <c r="A393" s="1" t="s">
        <v>35</v>
      </c>
      <c r="B393">
        <v>34</v>
      </c>
      <c r="C393">
        <v>10</v>
      </c>
      <c r="D393">
        <v>7</v>
      </c>
      <c r="E393">
        <v>4</v>
      </c>
      <c r="F393" s="1" t="s">
        <v>55</v>
      </c>
      <c r="G393" s="1" t="s">
        <v>29</v>
      </c>
      <c r="H393" s="1" t="s">
        <v>24</v>
      </c>
      <c r="I393" s="1" t="s">
        <v>24</v>
      </c>
      <c r="J393" s="1" t="s">
        <v>23</v>
      </c>
      <c r="K393" s="1" t="s">
        <v>24</v>
      </c>
      <c r="L393" s="1" t="s">
        <v>24</v>
      </c>
      <c r="M393" s="1" t="s">
        <v>24</v>
      </c>
      <c r="N393" s="1" t="s">
        <v>106</v>
      </c>
      <c r="O393">
        <v>5</v>
      </c>
      <c r="P393">
        <v>2034</v>
      </c>
      <c r="Q393" s="1" t="s">
        <v>36</v>
      </c>
      <c r="R393">
        <v>4</v>
      </c>
      <c r="S393" s="1" t="s">
        <v>57</v>
      </c>
      <c r="T393" s="1" t="s">
        <v>28</v>
      </c>
    </row>
    <row r="394" spans="1:20" x14ac:dyDescent="0.25">
      <c r="A394" s="1" t="s">
        <v>20</v>
      </c>
      <c r="B394">
        <v>16</v>
      </c>
      <c r="C394">
        <v>4</v>
      </c>
      <c r="D394">
        <v>7</v>
      </c>
      <c r="E394">
        <v>5</v>
      </c>
      <c r="F394" s="1" t="s">
        <v>31</v>
      </c>
      <c r="G394" s="1" t="s">
        <v>41</v>
      </c>
      <c r="H394" s="1" t="s">
        <v>24</v>
      </c>
      <c r="I394" s="1" t="s">
        <v>24</v>
      </c>
      <c r="J394" s="1" t="s">
        <v>24</v>
      </c>
      <c r="K394" s="1" t="s">
        <v>23</v>
      </c>
      <c r="L394" s="1" t="s">
        <v>23</v>
      </c>
      <c r="M394" s="1" t="s">
        <v>24</v>
      </c>
      <c r="N394" s="1" t="s">
        <v>117</v>
      </c>
      <c r="O394">
        <v>35</v>
      </c>
      <c r="P394">
        <v>787</v>
      </c>
      <c r="Q394" s="1" t="s">
        <v>26</v>
      </c>
      <c r="R394">
        <v>4</v>
      </c>
      <c r="S394" s="1" t="s">
        <v>42</v>
      </c>
      <c r="T394" s="1" t="s">
        <v>34</v>
      </c>
    </row>
    <row r="395" spans="1:20" x14ac:dyDescent="0.25">
      <c r="A395" s="1" t="s">
        <v>20</v>
      </c>
      <c r="B395">
        <v>10</v>
      </c>
      <c r="C395">
        <v>7</v>
      </c>
      <c r="D395">
        <v>7</v>
      </c>
      <c r="E395">
        <v>5</v>
      </c>
      <c r="F395" s="1" t="s">
        <v>55</v>
      </c>
      <c r="G395" s="1" t="s">
        <v>41</v>
      </c>
      <c r="H395" s="1" t="s">
        <v>24</v>
      </c>
      <c r="I395" s="1" t="s">
        <v>24</v>
      </c>
      <c r="J395" s="1" t="s">
        <v>23</v>
      </c>
      <c r="K395" s="1" t="s">
        <v>24</v>
      </c>
      <c r="L395" s="1" t="s">
        <v>24</v>
      </c>
      <c r="M395" s="1" t="s">
        <v>24</v>
      </c>
      <c r="N395" s="1" t="s">
        <v>90</v>
      </c>
      <c r="O395">
        <v>5</v>
      </c>
      <c r="P395">
        <v>3348</v>
      </c>
      <c r="Q395" s="1" t="s">
        <v>26</v>
      </c>
      <c r="R395">
        <v>3</v>
      </c>
      <c r="S395" s="1" t="s">
        <v>56</v>
      </c>
      <c r="T395" s="1" t="s">
        <v>40</v>
      </c>
    </row>
    <row r="396" spans="1:20" x14ac:dyDescent="0.25">
      <c r="A396" s="1" t="s">
        <v>37</v>
      </c>
      <c r="B396">
        <v>7</v>
      </c>
      <c r="C396">
        <v>3</v>
      </c>
      <c r="D396">
        <v>7</v>
      </c>
      <c r="E396">
        <v>4</v>
      </c>
      <c r="F396" s="1" t="s">
        <v>46</v>
      </c>
      <c r="G396" s="1" t="s">
        <v>29</v>
      </c>
      <c r="H396" s="1" t="s">
        <v>24</v>
      </c>
      <c r="I396" s="1" t="s">
        <v>24</v>
      </c>
      <c r="J396" s="1" t="s">
        <v>24</v>
      </c>
      <c r="K396" s="1" t="s">
        <v>24</v>
      </c>
      <c r="L396" s="1" t="s">
        <v>24</v>
      </c>
      <c r="M396" s="1" t="s">
        <v>24</v>
      </c>
      <c r="N396" s="1" t="s">
        <v>114</v>
      </c>
      <c r="O396">
        <v>3</v>
      </c>
      <c r="P396">
        <v>716</v>
      </c>
      <c r="Q396" s="1" t="s">
        <v>26</v>
      </c>
      <c r="R396">
        <v>3</v>
      </c>
      <c r="S396" s="1" t="s">
        <v>50</v>
      </c>
      <c r="T396" s="1" t="s">
        <v>30</v>
      </c>
    </row>
    <row r="397" spans="1:20" x14ac:dyDescent="0.25">
      <c r="A397" s="1" t="s">
        <v>37</v>
      </c>
      <c r="B397">
        <v>56</v>
      </c>
      <c r="C397">
        <v>8</v>
      </c>
      <c r="D397">
        <v>7</v>
      </c>
      <c r="E397">
        <v>3</v>
      </c>
      <c r="F397" s="1" t="s">
        <v>31</v>
      </c>
      <c r="G397" s="1" t="s">
        <v>38</v>
      </c>
      <c r="H397" s="1" t="s">
        <v>24</v>
      </c>
      <c r="I397" s="1" t="s">
        <v>24</v>
      </c>
      <c r="J397" s="1" t="s">
        <v>23</v>
      </c>
      <c r="K397" s="1" t="s">
        <v>24</v>
      </c>
      <c r="L397" s="1" t="s">
        <v>24</v>
      </c>
      <c r="M397" s="1" t="s">
        <v>24</v>
      </c>
      <c r="N397" s="1" t="s">
        <v>62</v>
      </c>
      <c r="O397">
        <v>3</v>
      </c>
      <c r="P397">
        <v>3981</v>
      </c>
      <c r="Q397" s="1" t="s">
        <v>26</v>
      </c>
      <c r="R397">
        <v>1</v>
      </c>
      <c r="S397" s="1" t="s">
        <v>45</v>
      </c>
      <c r="T397" s="1" t="s">
        <v>40</v>
      </c>
    </row>
    <row r="398" spans="1:20" x14ac:dyDescent="0.25">
      <c r="A398" s="1" t="s">
        <v>66</v>
      </c>
      <c r="B398">
        <v>6</v>
      </c>
      <c r="C398">
        <v>3</v>
      </c>
      <c r="D398">
        <v>7</v>
      </c>
      <c r="E398">
        <v>4</v>
      </c>
      <c r="F398" s="1" t="s">
        <v>46</v>
      </c>
      <c r="G398" s="1" t="s">
        <v>22</v>
      </c>
      <c r="H398" s="1" t="s">
        <v>24</v>
      </c>
      <c r="I398" s="1" t="s">
        <v>24</v>
      </c>
      <c r="J398" s="1" t="s">
        <v>23</v>
      </c>
      <c r="K398" s="1" t="s">
        <v>24</v>
      </c>
      <c r="L398" s="1" t="s">
        <v>24</v>
      </c>
      <c r="M398" s="1" t="s">
        <v>24</v>
      </c>
      <c r="N398" s="1" t="s">
        <v>62</v>
      </c>
      <c r="O398">
        <v>3</v>
      </c>
      <c r="P398">
        <v>3981</v>
      </c>
      <c r="Q398" s="1" t="s">
        <v>64</v>
      </c>
      <c r="R398">
        <v>1</v>
      </c>
      <c r="S398" s="1" t="s">
        <v>50</v>
      </c>
      <c r="T398" s="1" t="s">
        <v>28</v>
      </c>
    </row>
    <row r="399" spans="1:20" x14ac:dyDescent="0.25">
      <c r="A399" s="1" t="s">
        <v>20</v>
      </c>
      <c r="B399">
        <v>11</v>
      </c>
      <c r="C399">
        <v>6</v>
      </c>
      <c r="D399">
        <v>7</v>
      </c>
      <c r="E399">
        <v>5</v>
      </c>
      <c r="F399" s="1" t="s">
        <v>46</v>
      </c>
      <c r="G399" s="1" t="s">
        <v>38</v>
      </c>
      <c r="H399" s="1" t="s">
        <v>24</v>
      </c>
      <c r="I399" s="1" t="s">
        <v>24</v>
      </c>
      <c r="J399" s="1" t="s">
        <v>23</v>
      </c>
      <c r="K399" s="1" t="s">
        <v>24</v>
      </c>
      <c r="L399" s="1" t="s">
        <v>24</v>
      </c>
      <c r="M399" s="1" t="s">
        <v>24</v>
      </c>
      <c r="N399" s="1" t="s">
        <v>108</v>
      </c>
      <c r="O399">
        <v>35</v>
      </c>
      <c r="P399">
        <v>1228</v>
      </c>
      <c r="Q399" s="1" t="s">
        <v>26</v>
      </c>
      <c r="R399">
        <v>1</v>
      </c>
      <c r="S399" s="1" t="s">
        <v>47</v>
      </c>
      <c r="T399" s="1" t="s">
        <v>58</v>
      </c>
    </row>
    <row r="400" spans="1:20" x14ac:dyDescent="0.25">
      <c r="A400" s="1" t="s">
        <v>111</v>
      </c>
      <c r="B400">
        <v>20</v>
      </c>
      <c r="C400">
        <v>12</v>
      </c>
      <c r="D400">
        <v>7</v>
      </c>
      <c r="E400">
        <v>5</v>
      </c>
      <c r="F400" s="1" t="s">
        <v>46</v>
      </c>
      <c r="G400" s="1" t="s">
        <v>32</v>
      </c>
      <c r="H400" s="1" t="s">
        <v>24</v>
      </c>
      <c r="I400" s="1" t="s">
        <v>24</v>
      </c>
      <c r="J400" s="1" t="s">
        <v>23</v>
      </c>
      <c r="K400" s="1" t="s">
        <v>23</v>
      </c>
      <c r="L400" s="1" t="s">
        <v>24</v>
      </c>
      <c r="M400" s="1" t="s">
        <v>24</v>
      </c>
      <c r="N400" s="1" t="s">
        <v>109</v>
      </c>
      <c r="O400">
        <v>35</v>
      </c>
      <c r="P400">
        <v>732</v>
      </c>
      <c r="Q400" s="1" t="s">
        <v>44</v>
      </c>
      <c r="R400">
        <v>1</v>
      </c>
      <c r="S400" s="1" t="s">
        <v>52</v>
      </c>
      <c r="T400" s="1" t="s">
        <v>51</v>
      </c>
    </row>
    <row r="401" spans="1:20" x14ac:dyDescent="0.25">
      <c r="A401" s="1" t="s">
        <v>74</v>
      </c>
      <c r="B401">
        <v>16</v>
      </c>
      <c r="C401">
        <v>7</v>
      </c>
      <c r="D401">
        <v>6</v>
      </c>
      <c r="E401">
        <v>4</v>
      </c>
      <c r="F401" s="1" t="s">
        <v>31</v>
      </c>
      <c r="G401" s="1" t="s">
        <v>41</v>
      </c>
      <c r="H401" s="1" t="s">
        <v>24</v>
      </c>
      <c r="I401" s="1" t="s">
        <v>24</v>
      </c>
      <c r="J401" s="1" t="s">
        <v>23</v>
      </c>
      <c r="K401" s="1" t="s">
        <v>24</v>
      </c>
      <c r="L401" s="1" t="s">
        <v>24</v>
      </c>
      <c r="M401" s="1" t="s">
        <v>24</v>
      </c>
      <c r="N401" s="1" t="s">
        <v>102</v>
      </c>
      <c r="O401">
        <v>5</v>
      </c>
      <c r="P401">
        <v>1282</v>
      </c>
      <c r="Q401" s="1" t="s">
        <v>44</v>
      </c>
      <c r="R401">
        <v>7</v>
      </c>
      <c r="S401" s="1" t="s">
        <v>42</v>
      </c>
      <c r="T401" s="1" t="s">
        <v>58</v>
      </c>
    </row>
    <row r="402" spans="1:20" x14ac:dyDescent="0.25">
      <c r="A402" s="1" t="s">
        <v>20</v>
      </c>
      <c r="B402">
        <v>11</v>
      </c>
      <c r="C402">
        <v>10</v>
      </c>
      <c r="D402">
        <v>6</v>
      </c>
      <c r="E402">
        <v>5</v>
      </c>
      <c r="F402" s="1" t="s">
        <v>21</v>
      </c>
      <c r="G402" s="1" t="s">
        <v>29</v>
      </c>
      <c r="H402" s="1" t="s">
        <v>24</v>
      </c>
      <c r="I402" s="1" t="s">
        <v>24</v>
      </c>
      <c r="J402" s="1" t="s">
        <v>23</v>
      </c>
      <c r="K402" s="1" t="s">
        <v>24</v>
      </c>
      <c r="L402" s="1" t="s">
        <v>24</v>
      </c>
      <c r="M402" s="1" t="s">
        <v>24</v>
      </c>
      <c r="N402" s="1" t="s">
        <v>106</v>
      </c>
      <c r="O402">
        <v>5</v>
      </c>
      <c r="P402">
        <v>2034</v>
      </c>
      <c r="Q402" s="1" t="s">
        <v>26</v>
      </c>
      <c r="R402">
        <v>7</v>
      </c>
      <c r="S402" s="1" t="s">
        <v>60</v>
      </c>
      <c r="T402" s="1" t="s">
        <v>40</v>
      </c>
    </row>
    <row r="403" spans="1:20" x14ac:dyDescent="0.25">
      <c r="A403" s="1" t="s">
        <v>20</v>
      </c>
      <c r="B403">
        <v>6</v>
      </c>
      <c r="C403">
        <v>5</v>
      </c>
      <c r="D403">
        <v>6</v>
      </c>
      <c r="E403">
        <v>5</v>
      </c>
      <c r="F403" s="1" t="s">
        <v>46</v>
      </c>
      <c r="G403" s="1" t="s">
        <v>32</v>
      </c>
      <c r="H403" s="1" t="s">
        <v>24</v>
      </c>
      <c r="I403" s="1" t="s">
        <v>24</v>
      </c>
      <c r="J403" s="1" t="s">
        <v>23</v>
      </c>
      <c r="K403" s="1" t="s">
        <v>23</v>
      </c>
      <c r="L403" s="1" t="s">
        <v>24</v>
      </c>
      <c r="M403" s="1" t="s">
        <v>24</v>
      </c>
      <c r="N403" s="1" t="s">
        <v>109</v>
      </c>
      <c r="O403">
        <v>35</v>
      </c>
      <c r="P403">
        <v>732</v>
      </c>
      <c r="Q403" s="1" t="s">
        <v>26</v>
      </c>
      <c r="R403">
        <v>4</v>
      </c>
      <c r="S403" s="1" t="s">
        <v>47</v>
      </c>
      <c r="T403" s="1" t="s">
        <v>40</v>
      </c>
    </row>
    <row r="404" spans="1:20" x14ac:dyDescent="0.25">
      <c r="A404" s="1" t="s">
        <v>35</v>
      </c>
      <c r="B404">
        <v>12</v>
      </c>
      <c r="C404">
        <v>12</v>
      </c>
      <c r="D404">
        <v>6</v>
      </c>
      <c r="E404">
        <v>3</v>
      </c>
      <c r="F404" s="1" t="s">
        <v>21</v>
      </c>
      <c r="G404" s="1" t="s">
        <v>29</v>
      </c>
      <c r="H404" s="1" t="s">
        <v>24</v>
      </c>
      <c r="I404" s="1" t="s">
        <v>24</v>
      </c>
      <c r="J404" s="1" t="s">
        <v>24</v>
      </c>
      <c r="K404" s="1" t="s">
        <v>24</v>
      </c>
      <c r="L404" s="1" t="s">
        <v>24</v>
      </c>
      <c r="M404" s="1" t="s">
        <v>24</v>
      </c>
      <c r="N404" s="1" t="s">
        <v>114</v>
      </c>
      <c r="O404">
        <v>3</v>
      </c>
      <c r="P404">
        <v>716</v>
      </c>
      <c r="Q404" s="1" t="s">
        <v>36</v>
      </c>
      <c r="R404">
        <v>4</v>
      </c>
      <c r="S404" s="1" t="s">
        <v>33</v>
      </c>
      <c r="T404" s="1" t="s">
        <v>30</v>
      </c>
    </row>
    <row r="405" spans="1:20" x14ac:dyDescent="0.25">
      <c r="A405" s="1" t="s">
        <v>37</v>
      </c>
      <c r="B405">
        <v>12</v>
      </c>
      <c r="C405">
        <v>4</v>
      </c>
      <c r="D405">
        <v>6</v>
      </c>
      <c r="E405">
        <v>5</v>
      </c>
      <c r="F405" s="1" t="s">
        <v>46</v>
      </c>
      <c r="G405" s="1" t="s">
        <v>41</v>
      </c>
      <c r="H405" s="1" t="s">
        <v>24</v>
      </c>
      <c r="I405" s="1" t="s">
        <v>24</v>
      </c>
      <c r="J405" s="1" t="s">
        <v>24</v>
      </c>
      <c r="K405" s="1" t="s">
        <v>23</v>
      </c>
      <c r="L405" s="1" t="s">
        <v>23</v>
      </c>
      <c r="M405" s="1" t="s">
        <v>24</v>
      </c>
      <c r="N405" s="1" t="s">
        <v>117</v>
      </c>
      <c r="O405">
        <v>35</v>
      </c>
      <c r="P405">
        <v>787</v>
      </c>
      <c r="Q405" s="1" t="s">
        <v>26</v>
      </c>
      <c r="R405">
        <v>2</v>
      </c>
      <c r="S405" s="1" t="s">
        <v>52</v>
      </c>
      <c r="T405" s="1" t="s">
        <v>58</v>
      </c>
    </row>
    <row r="406" spans="1:20" x14ac:dyDescent="0.25">
      <c r="A406" s="1" t="s">
        <v>20</v>
      </c>
      <c r="B406">
        <v>14</v>
      </c>
      <c r="C406">
        <v>7</v>
      </c>
      <c r="D406">
        <v>6</v>
      </c>
      <c r="E406">
        <v>5</v>
      </c>
      <c r="F406" s="1" t="s">
        <v>31</v>
      </c>
      <c r="G406" s="1" t="s">
        <v>41</v>
      </c>
      <c r="H406" s="1" t="s">
        <v>24</v>
      </c>
      <c r="I406" s="1" t="s">
        <v>24</v>
      </c>
      <c r="J406" s="1" t="s">
        <v>23</v>
      </c>
      <c r="K406" s="1" t="s">
        <v>24</v>
      </c>
      <c r="L406" s="1" t="s">
        <v>24</v>
      </c>
      <c r="M406" s="1" t="s">
        <v>24</v>
      </c>
      <c r="N406" s="1" t="s">
        <v>122</v>
      </c>
      <c r="O406">
        <v>4</v>
      </c>
      <c r="P406">
        <v>2916</v>
      </c>
      <c r="Q406" s="1" t="s">
        <v>26</v>
      </c>
      <c r="R406">
        <v>2</v>
      </c>
      <c r="S406" s="1" t="s">
        <v>39</v>
      </c>
      <c r="T406" s="1" t="s">
        <v>30</v>
      </c>
    </row>
    <row r="407" spans="1:20" x14ac:dyDescent="0.25">
      <c r="A407" s="1" t="s">
        <v>35</v>
      </c>
      <c r="B407">
        <v>22</v>
      </c>
      <c r="C407">
        <v>6</v>
      </c>
      <c r="D407">
        <v>6</v>
      </c>
      <c r="E407">
        <v>5</v>
      </c>
      <c r="F407" s="1" t="s">
        <v>55</v>
      </c>
      <c r="G407" s="1" t="s">
        <v>22</v>
      </c>
      <c r="H407" s="1" t="s">
        <v>24</v>
      </c>
      <c r="I407" s="1" t="s">
        <v>24</v>
      </c>
      <c r="J407" s="1" t="s">
        <v>24</v>
      </c>
      <c r="K407" s="1" t="s">
        <v>24</v>
      </c>
      <c r="L407" s="1" t="s">
        <v>24</v>
      </c>
      <c r="M407" s="1" t="s">
        <v>24</v>
      </c>
      <c r="N407" s="1" t="s">
        <v>85</v>
      </c>
      <c r="O407">
        <v>4</v>
      </c>
      <c r="P407">
        <v>1467</v>
      </c>
      <c r="Q407" s="1" t="s">
        <v>36</v>
      </c>
      <c r="R407">
        <v>1</v>
      </c>
      <c r="S407" s="1" t="s">
        <v>57</v>
      </c>
      <c r="T407" s="1" t="s">
        <v>40</v>
      </c>
    </row>
    <row r="408" spans="1:20" x14ac:dyDescent="0.25">
      <c r="A408" s="1" t="s">
        <v>20</v>
      </c>
      <c r="B408">
        <v>9</v>
      </c>
      <c r="C408">
        <v>9</v>
      </c>
      <c r="D408">
        <v>6</v>
      </c>
      <c r="E408">
        <v>2</v>
      </c>
      <c r="F408" s="1" t="s">
        <v>31</v>
      </c>
      <c r="G408" s="1" t="s">
        <v>38</v>
      </c>
      <c r="H408" s="1" t="s">
        <v>24</v>
      </c>
      <c r="I408" s="1" t="s">
        <v>23</v>
      </c>
      <c r="J408" s="1" t="s">
        <v>23</v>
      </c>
      <c r="K408" s="1" t="s">
        <v>23</v>
      </c>
      <c r="L408" s="1" t="s">
        <v>24</v>
      </c>
      <c r="M408" s="1" t="s">
        <v>24</v>
      </c>
      <c r="N408" s="1" t="s">
        <v>105</v>
      </c>
      <c r="O408">
        <v>45</v>
      </c>
      <c r="P408">
        <v>188</v>
      </c>
      <c r="Q408" s="1" t="s">
        <v>26</v>
      </c>
      <c r="R408">
        <v>1</v>
      </c>
      <c r="S408" s="1" t="s">
        <v>39</v>
      </c>
      <c r="T408" s="1" t="s">
        <v>51</v>
      </c>
    </row>
    <row r="409" spans="1:20" x14ac:dyDescent="0.25">
      <c r="A409" s="1" t="s">
        <v>20</v>
      </c>
      <c r="B409">
        <v>7</v>
      </c>
      <c r="C409">
        <v>5</v>
      </c>
      <c r="D409">
        <v>6</v>
      </c>
      <c r="E409">
        <v>5</v>
      </c>
      <c r="F409" s="1" t="s">
        <v>46</v>
      </c>
      <c r="G409" s="1" t="s">
        <v>41</v>
      </c>
      <c r="H409" s="1" t="s">
        <v>24</v>
      </c>
      <c r="I409" s="1" t="s">
        <v>24</v>
      </c>
      <c r="J409" s="1" t="s">
        <v>23</v>
      </c>
      <c r="K409" s="1" t="s">
        <v>24</v>
      </c>
      <c r="L409" s="1" t="s">
        <v>24</v>
      </c>
      <c r="M409" s="1" t="s">
        <v>24</v>
      </c>
      <c r="N409" s="1" t="s">
        <v>119</v>
      </c>
      <c r="O409">
        <v>5</v>
      </c>
      <c r="P409">
        <v>4027</v>
      </c>
      <c r="Q409" s="1" t="s">
        <v>26</v>
      </c>
      <c r="R409">
        <v>1</v>
      </c>
      <c r="S409" s="1" t="s">
        <v>47</v>
      </c>
      <c r="T409" s="1" t="s">
        <v>58</v>
      </c>
    </row>
    <row r="410" spans="1:20" x14ac:dyDescent="0.25">
      <c r="A410" s="1" t="s">
        <v>20</v>
      </c>
      <c r="B410">
        <v>24</v>
      </c>
      <c r="C410">
        <v>7</v>
      </c>
      <c r="D410">
        <v>6</v>
      </c>
      <c r="E410">
        <v>4</v>
      </c>
      <c r="F410" s="1" t="s">
        <v>21</v>
      </c>
      <c r="G410" s="1" t="s">
        <v>22</v>
      </c>
      <c r="H410" s="1" t="s">
        <v>24</v>
      </c>
      <c r="I410" s="1" t="s">
        <v>24</v>
      </c>
      <c r="J410" s="1" t="s">
        <v>23</v>
      </c>
      <c r="K410" s="1" t="s">
        <v>24</v>
      </c>
      <c r="L410" s="1" t="s">
        <v>24</v>
      </c>
      <c r="M410" s="1" t="s">
        <v>24</v>
      </c>
      <c r="N410" s="1" t="s">
        <v>122</v>
      </c>
      <c r="O410">
        <v>4</v>
      </c>
      <c r="P410">
        <v>2916</v>
      </c>
      <c r="Q410" s="1" t="s">
        <v>26</v>
      </c>
      <c r="R410">
        <v>1</v>
      </c>
      <c r="S410" s="1" t="s">
        <v>60</v>
      </c>
      <c r="T410" s="1" t="s">
        <v>28</v>
      </c>
    </row>
    <row r="411" spans="1:20" x14ac:dyDescent="0.25">
      <c r="A411" s="1" t="s">
        <v>77</v>
      </c>
      <c r="B411">
        <v>21</v>
      </c>
      <c r="C411">
        <v>18</v>
      </c>
      <c r="D411">
        <v>6</v>
      </c>
      <c r="E411">
        <v>2</v>
      </c>
      <c r="F411" s="1" t="s">
        <v>21</v>
      </c>
      <c r="G411" s="1" t="s">
        <v>29</v>
      </c>
      <c r="H411" s="1" t="s">
        <v>24</v>
      </c>
      <c r="I411" s="1" t="s">
        <v>24</v>
      </c>
      <c r="J411" s="1" t="s">
        <v>23</v>
      </c>
      <c r="K411" s="1" t="s">
        <v>24</v>
      </c>
      <c r="L411" s="1" t="s">
        <v>24</v>
      </c>
      <c r="M411" s="1" t="s">
        <v>23</v>
      </c>
      <c r="N411" s="1" t="s">
        <v>70</v>
      </c>
      <c r="O411">
        <v>4</v>
      </c>
      <c r="P411">
        <v>3003</v>
      </c>
      <c r="Q411" s="1" t="s">
        <v>36</v>
      </c>
      <c r="R411">
        <v>0</v>
      </c>
      <c r="S411" s="1" t="s">
        <v>60</v>
      </c>
      <c r="T411" s="1" t="s">
        <v>53</v>
      </c>
    </row>
    <row r="412" spans="1:20" x14ac:dyDescent="0.25">
      <c r="A412" s="1" t="s">
        <v>35</v>
      </c>
      <c r="B412">
        <v>11</v>
      </c>
      <c r="C412">
        <v>9</v>
      </c>
      <c r="D412">
        <v>6</v>
      </c>
      <c r="E412">
        <v>3</v>
      </c>
      <c r="F412" s="1" t="s">
        <v>55</v>
      </c>
      <c r="G412" s="1" t="s">
        <v>41</v>
      </c>
      <c r="H412" s="1" t="s">
        <v>24</v>
      </c>
      <c r="I412" s="1" t="s">
        <v>24</v>
      </c>
      <c r="J412" s="1" t="s">
        <v>24</v>
      </c>
      <c r="K412" s="1" t="s">
        <v>24</v>
      </c>
      <c r="L412" s="1" t="s">
        <v>24</v>
      </c>
      <c r="M412" s="1" t="s">
        <v>24</v>
      </c>
      <c r="N412" s="1" t="s">
        <v>80</v>
      </c>
      <c r="O412">
        <v>4</v>
      </c>
      <c r="P412">
        <v>2884</v>
      </c>
      <c r="Q412" s="1" t="s">
        <v>36</v>
      </c>
      <c r="R412">
        <v>0</v>
      </c>
      <c r="S412" s="1" t="s">
        <v>56</v>
      </c>
      <c r="T412" s="1" t="s">
        <v>30</v>
      </c>
    </row>
    <row r="413" spans="1:20" x14ac:dyDescent="0.25">
      <c r="A413" s="1" t="s">
        <v>48</v>
      </c>
      <c r="B413">
        <v>15</v>
      </c>
      <c r="C413">
        <v>4</v>
      </c>
      <c r="D413">
        <v>6</v>
      </c>
      <c r="E413">
        <v>5</v>
      </c>
      <c r="F413" s="1" t="s">
        <v>46</v>
      </c>
      <c r="G413" s="1" t="s">
        <v>41</v>
      </c>
      <c r="H413" s="1" t="s">
        <v>24</v>
      </c>
      <c r="I413" s="1" t="s">
        <v>24</v>
      </c>
      <c r="J413" s="1" t="s">
        <v>24</v>
      </c>
      <c r="K413" s="1" t="s">
        <v>24</v>
      </c>
      <c r="L413" s="1" t="s">
        <v>24</v>
      </c>
      <c r="M413" s="1" t="s">
        <v>24</v>
      </c>
      <c r="N413" s="1" t="s">
        <v>85</v>
      </c>
      <c r="O413">
        <v>4</v>
      </c>
      <c r="P413">
        <v>1467</v>
      </c>
      <c r="Q413" s="1" t="s">
        <v>49</v>
      </c>
      <c r="R413">
        <v>0</v>
      </c>
      <c r="S413" s="1" t="s">
        <v>52</v>
      </c>
      <c r="T413" s="1" t="s">
        <v>30</v>
      </c>
    </row>
    <row r="414" spans="1:20" x14ac:dyDescent="0.25">
      <c r="A414" s="1" t="s">
        <v>20</v>
      </c>
      <c r="B414">
        <v>13</v>
      </c>
      <c r="C414">
        <v>4</v>
      </c>
      <c r="D414">
        <v>6</v>
      </c>
      <c r="E414">
        <v>5</v>
      </c>
      <c r="F414" s="1" t="s">
        <v>55</v>
      </c>
      <c r="G414" s="1" t="s">
        <v>41</v>
      </c>
      <c r="H414" s="1" t="s">
        <v>24</v>
      </c>
      <c r="I414" s="1" t="s">
        <v>24</v>
      </c>
      <c r="J414" s="1" t="s">
        <v>24</v>
      </c>
      <c r="K414" s="1" t="s">
        <v>24</v>
      </c>
      <c r="L414" s="1" t="s">
        <v>24</v>
      </c>
      <c r="M414" s="1" t="s">
        <v>24</v>
      </c>
      <c r="N414" s="1" t="s">
        <v>114</v>
      </c>
      <c r="O414">
        <v>3</v>
      </c>
      <c r="P414">
        <v>716</v>
      </c>
      <c r="Q414" s="1" t="s">
        <v>26</v>
      </c>
      <c r="R414">
        <v>0</v>
      </c>
      <c r="S414" s="1" t="s">
        <v>56</v>
      </c>
      <c r="T414" s="1" t="s">
        <v>51</v>
      </c>
    </row>
    <row r="415" spans="1:20" x14ac:dyDescent="0.25">
      <c r="A415" s="1" t="s">
        <v>20</v>
      </c>
      <c r="B415">
        <v>6</v>
      </c>
      <c r="C415">
        <v>4</v>
      </c>
      <c r="D415">
        <v>6</v>
      </c>
      <c r="E415">
        <v>5</v>
      </c>
      <c r="F415" s="1" t="s">
        <v>55</v>
      </c>
      <c r="G415" s="1" t="s">
        <v>41</v>
      </c>
      <c r="H415" s="1" t="s">
        <v>24</v>
      </c>
      <c r="I415" s="1" t="s">
        <v>24</v>
      </c>
      <c r="J415" s="1" t="s">
        <v>23</v>
      </c>
      <c r="K415" s="1" t="s">
        <v>24</v>
      </c>
      <c r="L415" s="1" t="s">
        <v>24</v>
      </c>
      <c r="M415" s="1" t="s">
        <v>24</v>
      </c>
      <c r="N415" s="1" t="s">
        <v>122</v>
      </c>
      <c r="O415">
        <v>4</v>
      </c>
      <c r="P415">
        <v>2916</v>
      </c>
      <c r="Q415" s="1" t="s">
        <v>26</v>
      </c>
      <c r="R415">
        <v>0</v>
      </c>
      <c r="S415" s="1" t="s">
        <v>57</v>
      </c>
      <c r="T415" s="1" t="s">
        <v>34</v>
      </c>
    </row>
    <row r="416" spans="1:20" x14ac:dyDescent="0.25">
      <c r="A416" s="1" t="s">
        <v>20</v>
      </c>
      <c r="B416">
        <v>9</v>
      </c>
      <c r="C416">
        <v>6</v>
      </c>
      <c r="D416">
        <v>5</v>
      </c>
      <c r="E416">
        <v>2</v>
      </c>
      <c r="F416" s="1" t="s">
        <v>21</v>
      </c>
      <c r="G416" s="1" t="s">
        <v>32</v>
      </c>
      <c r="H416" s="1" t="s">
        <v>24</v>
      </c>
      <c r="I416" s="1" t="s">
        <v>24</v>
      </c>
      <c r="J416" s="1" t="s">
        <v>23</v>
      </c>
      <c r="K416" s="1" t="s">
        <v>24</v>
      </c>
      <c r="L416" s="1" t="s">
        <v>24</v>
      </c>
      <c r="M416" s="1" t="s">
        <v>24</v>
      </c>
      <c r="N416" s="1" t="s">
        <v>123</v>
      </c>
      <c r="O416">
        <v>4</v>
      </c>
      <c r="P416">
        <v>826</v>
      </c>
      <c r="Q416" s="1" t="s">
        <v>26</v>
      </c>
      <c r="R416">
        <v>9</v>
      </c>
      <c r="S416" s="1" t="s">
        <v>60</v>
      </c>
      <c r="T416" s="1" t="s">
        <v>51</v>
      </c>
    </row>
    <row r="417" spans="1:20" x14ac:dyDescent="0.25">
      <c r="A417" s="1" t="s">
        <v>35</v>
      </c>
      <c r="B417">
        <v>7</v>
      </c>
      <c r="C417">
        <v>5</v>
      </c>
      <c r="D417">
        <v>5</v>
      </c>
      <c r="E417">
        <v>3</v>
      </c>
      <c r="F417" s="1" t="s">
        <v>31</v>
      </c>
      <c r="G417" s="1" t="s">
        <v>32</v>
      </c>
      <c r="H417" s="1" t="s">
        <v>24</v>
      </c>
      <c r="I417" s="1" t="s">
        <v>24</v>
      </c>
      <c r="J417" s="1" t="s">
        <v>23</v>
      </c>
      <c r="K417" s="1" t="s">
        <v>24</v>
      </c>
      <c r="L417" s="1" t="s">
        <v>24</v>
      </c>
      <c r="M417" s="1" t="s">
        <v>24</v>
      </c>
      <c r="N417" s="1" t="s">
        <v>106</v>
      </c>
      <c r="O417">
        <v>5</v>
      </c>
      <c r="P417">
        <v>2034</v>
      </c>
      <c r="Q417" s="1" t="s">
        <v>36</v>
      </c>
      <c r="R417">
        <v>7</v>
      </c>
      <c r="S417" s="1" t="s">
        <v>42</v>
      </c>
      <c r="T417" s="1" t="s">
        <v>58</v>
      </c>
    </row>
    <row r="418" spans="1:20" x14ac:dyDescent="0.25">
      <c r="A418" s="1" t="s">
        <v>20</v>
      </c>
      <c r="B418">
        <v>19</v>
      </c>
      <c r="C418">
        <v>7</v>
      </c>
      <c r="D418">
        <v>5</v>
      </c>
      <c r="E418">
        <v>5</v>
      </c>
      <c r="F418" s="1" t="s">
        <v>31</v>
      </c>
      <c r="G418" s="1" t="s">
        <v>41</v>
      </c>
      <c r="H418" s="1" t="s">
        <v>24</v>
      </c>
      <c r="I418" s="1" t="s">
        <v>24</v>
      </c>
      <c r="J418" s="1" t="s">
        <v>23</v>
      </c>
      <c r="K418" s="1" t="s">
        <v>24</v>
      </c>
      <c r="L418" s="1" t="s">
        <v>24</v>
      </c>
      <c r="M418" s="1" t="s">
        <v>24</v>
      </c>
      <c r="N418" s="1" t="s">
        <v>119</v>
      </c>
      <c r="O418">
        <v>5</v>
      </c>
      <c r="P418">
        <v>4027</v>
      </c>
      <c r="Q418" s="1" t="s">
        <v>26</v>
      </c>
      <c r="R418">
        <v>5</v>
      </c>
      <c r="S418" s="1" t="s">
        <v>39</v>
      </c>
      <c r="T418" s="1" t="s">
        <v>51</v>
      </c>
    </row>
    <row r="419" spans="1:20" x14ac:dyDescent="0.25">
      <c r="A419" s="1" t="s">
        <v>37</v>
      </c>
      <c r="B419">
        <v>9</v>
      </c>
      <c r="C419">
        <v>8</v>
      </c>
      <c r="D419">
        <v>5</v>
      </c>
      <c r="E419">
        <v>5</v>
      </c>
      <c r="F419" s="1" t="s">
        <v>21</v>
      </c>
      <c r="G419" s="1" t="s">
        <v>32</v>
      </c>
      <c r="H419" s="1" t="s">
        <v>24</v>
      </c>
      <c r="I419" s="1" t="s">
        <v>24</v>
      </c>
      <c r="J419" s="1" t="s">
        <v>24</v>
      </c>
      <c r="K419" s="1" t="s">
        <v>24</v>
      </c>
      <c r="L419" s="1" t="s">
        <v>24</v>
      </c>
      <c r="M419" s="1" t="s">
        <v>24</v>
      </c>
      <c r="N419" s="1" t="s">
        <v>114</v>
      </c>
      <c r="O419">
        <v>3</v>
      </c>
      <c r="P419">
        <v>716</v>
      </c>
      <c r="Q419" s="1" t="s">
        <v>26</v>
      </c>
      <c r="R419">
        <v>4</v>
      </c>
      <c r="S419" s="1" t="s">
        <v>60</v>
      </c>
      <c r="T419" s="1" t="s">
        <v>53</v>
      </c>
    </row>
    <row r="420" spans="1:20" x14ac:dyDescent="0.25">
      <c r="A420" s="1" t="s">
        <v>81</v>
      </c>
      <c r="B420">
        <v>10</v>
      </c>
      <c r="C420">
        <v>0</v>
      </c>
      <c r="D420">
        <v>5</v>
      </c>
      <c r="E420">
        <v>4</v>
      </c>
      <c r="F420" s="1" t="s">
        <v>31</v>
      </c>
      <c r="G420" s="1" t="s">
        <v>22</v>
      </c>
      <c r="H420" s="1" t="s">
        <v>24</v>
      </c>
      <c r="I420" s="1" t="s">
        <v>24</v>
      </c>
      <c r="J420" s="1" t="s">
        <v>24</v>
      </c>
      <c r="K420" s="1" t="s">
        <v>24</v>
      </c>
      <c r="L420" s="1" t="s">
        <v>24</v>
      </c>
      <c r="M420" s="1" t="s">
        <v>24</v>
      </c>
      <c r="N420" s="1" t="s">
        <v>80</v>
      </c>
      <c r="O420">
        <v>4</v>
      </c>
      <c r="P420">
        <v>2884</v>
      </c>
      <c r="Q420" s="1" t="s">
        <v>36</v>
      </c>
      <c r="R420">
        <v>3</v>
      </c>
      <c r="S420" s="1" t="s">
        <v>45</v>
      </c>
      <c r="T420" s="1" t="s">
        <v>53</v>
      </c>
    </row>
    <row r="421" spans="1:20" x14ac:dyDescent="0.25">
      <c r="A421" s="1" t="s">
        <v>35</v>
      </c>
      <c r="B421">
        <v>19</v>
      </c>
      <c r="C421">
        <v>5</v>
      </c>
      <c r="D421">
        <v>5</v>
      </c>
      <c r="E421">
        <v>5</v>
      </c>
      <c r="F421" s="1" t="s">
        <v>31</v>
      </c>
      <c r="G421" s="1" t="s">
        <v>41</v>
      </c>
      <c r="H421" s="1" t="s">
        <v>24</v>
      </c>
      <c r="I421" s="1" t="s">
        <v>24</v>
      </c>
      <c r="J421" s="1" t="s">
        <v>24</v>
      </c>
      <c r="K421" s="1" t="s">
        <v>24</v>
      </c>
      <c r="L421" s="1" t="s">
        <v>24</v>
      </c>
      <c r="M421" s="1" t="s">
        <v>24</v>
      </c>
      <c r="N421" s="1" t="s">
        <v>100</v>
      </c>
      <c r="O421">
        <v>5</v>
      </c>
      <c r="P421">
        <v>2700</v>
      </c>
      <c r="Q421" s="1" t="s">
        <v>36</v>
      </c>
      <c r="R421">
        <v>3</v>
      </c>
      <c r="S421" s="1" t="s">
        <v>45</v>
      </c>
      <c r="T421" s="1" t="s">
        <v>58</v>
      </c>
    </row>
    <row r="422" spans="1:20" x14ac:dyDescent="0.25">
      <c r="A422" s="1" t="s">
        <v>20</v>
      </c>
      <c r="B422">
        <v>4</v>
      </c>
      <c r="C422">
        <v>3</v>
      </c>
      <c r="D422">
        <v>5</v>
      </c>
      <c r="E422">
        <v>5</v>
      </c>
      <c r="F422" s="1" t="s">
        <v>46</v>
      </c>
      <c r="G422" s="1" t="s">
        <v>22</v>
      </c>
      <c r="H422" s="1" t="s">
        <v>24</v>
      </c>
      <c r="I422" s="1" t="s">
        <v>24</v>
      </c>
      <c r="J422" s="1" t="s">
        <v>23</v>
      </c>
      <c r="K422" s="1" t="s">
        <v>24</v>
      </c>
      <c r="L422" s="1" t="s">
        <v>24</v>
      </c>
      <c r="M422" s="1" t="s">
        <v>24</v>
      </c>
      <c r="N422" s="1" t="s">
        <v>106</v>
      </c>
      <c r="O422">
        <v>5</v>
      </c>
      <c r="P422">
        <v>2034</v>
      </c>
      <c r="Q422" s="1" t="s">
        <v>26</v>
      </c>
      <c r="R422">
        <v>3</v>
      </c>
      <c r="S422" s="1" t="s">
        <v>50</v>
      </c>
      <c r="T422" s="1" t="s">
        <v>28</v>
      </c>
    </row>
    <row r="423" spans="1:20" x14ac:dyDescent="0.25">
      <c r="A423" s="1" t="s">
        <v>37</v>
      </c>
      <c r="B423">
        <v>6</v>
      </c>
      <c r="C423">
        <v>5</v>
      </c>
      <c r="D423">
        <v>5</v>
      </c>
      <c r="E423">
        <v>4</v>
      </c>
      <c r="F423" s="1" t="s">
        <v>46</v>
      </c>
      <c r="G423" s="1" t="s">
        <v>41</v>
      </c>
      <c r="H423" s="1" t="s">
        <v>24</v>
      </c>
      <c r="I423" s="1" t="s">
        <v>24</v>
      </c>
      <c r="J423" s="1" t="s">
        <v>24</v>
      </c>
      <c r="K423" s="1" t="s">
        <v>24</v>
      </c>
      <c r="L423" s="1" t="s">
        <v>24</v>
      </c>
      <c r="M423" s="1" t="s">
        <v>24</v>
      </c>
      <c r="N423" s="1" t="s">
        <v>80</v>
      </c>
      <c r="O423">
        <v>4</v>
      </c>
      <c r="P423">
        <v>2884</v>
      </c>
      <c r="Q423" s="1" t="s">
        <v>26</v>
      </c>
      <c r="R423">
        <v>2</v>
      </c>
      <c r="S423" s="1" t="s">
        <v>47</v>
      </c>
      <c r="T423" s="1" t="s">
        <v>40</v>
      </c>
    </row>
    <row r="424" spans="1:20" x14ac:dyDescent="0.25">
      <c r="A424" s="1" t="s">
        <v>20</v>
      </c>
      <c r="B424">
        <v>27</v>
      </c>
      <c r="C424">
        <v>11</v>
      </c>
      <c r="D424">
        <v>5</v>
      </c>
      <c r="E424">
        <v>3</v>
      </c>
      <c r="F424" s="1" t="s">
        <v>55</v>
      </c>
      <c r="G424" s="1" t="s">
        <v>41</v>
      </c>
      <c r="H424" s="1" t="s">
        <v>24</v>
      </c>
      <c r="I424" s="1" t="s">
        <v>24</v>
      </c>
      <c r="J424" s="1" t="s">
        <v>24</v>
      </c>
      <c r="K424" s="1" t="s">
        <v>24</v>
      </c>
      <c r="L424" s="1" t="s">
        <v>24</v>
      </c>
      <c r="M424" s="1" t="s">
        <v>24</v>
      </c>
      <c r="N424" s="1" t="s">
        <v>80</v>
      </c>
      <c r="O424">
        <v>4</v>
      </c>
      <c r="P424">
        <v>2884</v>
      </c>
      <c r="Q424" s="1" t="s">
        <v>26</v>
      </c>
      <c r="R424">
        <v>2</v>
      </c>
      <c r="S424" s="1" t="s">
        <v>57</v>
      </c>
      <c r="T424" s="1" t="s">
        <v>58</v>
      </c>
    </row>
    <row r="425" spans="1:20" x14ac:dyDescent="0.25">
      <c r="A425" s="1" t="s">
        <v>48</v>
      </c>
      <c r="B425">
        <v>26</v>
      </c>
      <c r="C425">
        <v>5</v>
      </c>
      <c r="D425">
        <v>5</v>
      </c>
      <c r="E425">
        <v>4</v>
      </c>
      <c r="F425" s="1" t="s">
        <v>31</v>
      </c>
      <c r="G425" s="1" t="s">
        <v>32</v>
      </c>
      <c r="H425" s="1" t="s">
        <v>24</v>
      </c>
      <c r="I425" s="1" t="s">
        <v>24</v>
      </c>
      <c r="J425" s="1" t="s">
        <v>24</v>
      </c>
      <c r="K425" s="1" t="s">
        <v>23</v>
      </c>
      <c r="L425" s="1" t="s">
        <v>23</v>
      </c>
      <c r="M425" s="1" t="s">
        <v>24</v>
      </c>
      <c r="N425" s="1" t="s">
        <v>117</v>
      </c>
      <c r="O425">
        <v>35</v>
      </c>
      <c r="P425">
        <v>787</v>
      </c>
      <c r="Q425" s="1" t="s">
        <v>49</v>
      </c>
      <c r="R425">
        <v>1</v>
      </c>
      <c r="S425" s="1" t="s">
        <v>45</v>
      </c>
      <c r="T425" s="1" t="s">
        <v>28</v>
      </c>
    </row>
    <row r="426" spans="1:20" x14ac:dyDescent="0.25">
      <c r="A426" s="1" t="s">
        <v>48</v>
      </c>
      <c r="B426">
        <v>11</v>
      </c>
      <c r="C426">
        <v>0</v>
      </c>
      <c r="D426">
        <v>5</v>
      </c>
      <c r="E426">
        <v>5</v>
      </c>
      <c r="F426" s="1" t="s">
        <v>46</v>
      </c>
      <c r="G426" s="1" t="s">
        <v>32</v>
      </c>
      <c r="H426" s="1" t="s">
        <v>24</v>
      </c>
      <c r="I426" s="1" t="s">
        <v>24</v>
      </c>
      <c r="J426" s="1" t="s">
        <v>23</v>
      </c>
      <c r="K426" s="1" t="s">
        <v>23</v>
      </c>
      <c r="L426" s="1" t="s">
        <v>24</v>
      </c>
      <c r="M426" s="1" t="s">
        <v>24</v>
      </c>
      <c r="N426" s="1" t="s">
        <v>109</v>
      </c>
      <c r="O426">
        <v>35</v>
      </c>
      <c r="P426">
        <v>732</v>
      </c>
      <c r="Q426" s="1" t="s">
        <v>49</v>
      </c>
      <c r="R426">
        <v>0</v>
      </c>
      <c r="S426" s="1" t="s">
        <v>47</v>
      </c>
      <c r="T426" s="1" t="s">
        <v>28</v>
      </c>
    </row>
    <row r="427" spans="1:20" x14ac:dyDescent="0.25">
      <c r="A427" s="1" t="s">
        <v>20</v>
      </c>
      <c r="B427">
        <v>6</v>
      </c>
      <c r="C427">
        <v>3</v>
      </c>
      <c r="D427">
        <v>5</v>
      </c>
      <c r="E427">
        <v>5</v>
      </c>
      <c r="F427" s="1" t="s">
        <v>55</v>
      </c>
      <c r="G427" s="1" t="s">
        <v>22</v>
      </c>
      <c r="H427" s="1" t="s">
        <v>24</v>
      </c>
      <c r="I427" s="1" t="s">
        <v>24</v>
      </c>
      <c r="J427" s="1" t="s">
        <v>23</v>
      </c>
      <c r="K427" s="1" t="s">
        <v>23</v>
      </c>
      <c r="L427" s="1" t="s">
        <v>24</v>
      </c>
      <c r="M427" s="1" t="s">
        <v>24</v>
      </c>
      <c r="N427" s="1" t="s">
        <v>109</v>
      </c>
      <c r="O427">
        <v>35</v>
      </c>
      <c r="P427">
        <v>732</v>
      </c>
      <c r="Q427" s="1" t="s">
        <v>26</v>
      </c>
      <c r="R427">
        <v>0</v>
      </c>
      <c r="S427" s="1" t="s">
        <v>56</v>
      </c>
      <c r="T427" s="1" t="s">
        <v>40</v>
      </c>
    </row>
    <row r="428" spans="1:20" x14ac:dyDescent="0.25">
      <c r="A428" s="1" t="s">
        <v>35</v>
      </c>
      <c r="B428">
        <v>5</v>
      </c>
      <c r="C428">
        <v>0</v>
      </c>
      <c r="D428">
        <v>5</v>
      </c>
      <c r="E428">
        <v>5</v>
      </c>
      <c r="F428" s="1" t="s">
        <v>46</v>
      </c>
      <c r="G428" s="1" t="s">
        <v>32</v>
      </c>
      <c r="H428" s="1" t="s">
        <v>24</v>
      </c>
      <c r="I428" s="1" t="s">
        <v>24</v>
      </c>
      <c r="J428" s="1" t="s">
        <v>23</v>
      </c>
      <c r="K428" s="1" t="s">
        <v>24</v>
      </c>
      <c r="L428" s="1" t="s">
        <v>24</v>
      </c>
      <c r="M428" s="1" t="s">
        <v>24</v>
      </c>
      <c r="N428" s="1" t="s">
        <v>120</v>
      </c>
      <c r="O428">
        <v>5</v>
      </c>
      <c r="P428">
        <v>3933</v>
      </c>
      <c r="Q428" s="1" t="s">
        <v>36</v>
      </c>
      <c r="R428">
        <v>0</v>
      </c>
      <c r="S428" s="1" t="s">
        <v>47</v>
      </c>
      <c r="T428" s="1" t="s">
        <v>51</v>
      </c>
    </row>
    <row r="429" spans="1:20" x14ac:dyDescent="0.25">
      <c r="A429" s="1" t="s">
        <v>20</v>
      </c>
      <c r="B429">
        <v>24</v>
      </c>
      <c r="C429">
        <v>3</v>
      </c>
      <c r="D429">
        <v>5</v>
      </c>
      <c r="E429">
        <v>5</v>
      </c>
      <c r="F429" s="1" t="s">
        <v>55</v>
      </c>
      <c r="G429" s="1" t="s">
        <v>41</v>
      </c>
      <c r="H429" s="1" t="s">
        <v>24</v>
      </c>
      <c r="I429" s="1" t="s">
        <v>24</v>
      </c>
      <c r="J429" s="1" t="s">
        <v>23</v>
      </c>
      <c r="K429" s="1" t="s">
        <v>24</v>
      </c>
      <c r="L429" s="1" t="s">
        <v>24</v>
      </c>
      <c r="M429" s="1" t="s">
        <v>24</v>
      </c>
      <c r="N429" s="1" t="s">
        <v>122</v>
      </c>
      <c r="O429">
        <v>4</v>
      </c>
      <c r="P429">
        <v>2916</v>
      </c>
      <c r="Q429" s="1" t="s">
        <v>26</v>
      </c>
      <c r="R429">
        <v>0</v>
      </c>
      <c r="S429" s="1" t="s">
        <v>59</v>
      </c>
      <c r="T429" s="1" t="s">
        <v>53</v>
      </c>
    </row>
    <row r="430" spans="1:20" x14ac:dyDescent="0.25">
      <c r="A430" s="1" t="s">
        <v>20</v>
      </c>
      <c r="B430">
        <v>5</v>
      </c>
      <c r="C430">
        <v>4</v>
      </c>
      <c r="D430">
        <v>4</v>
      </c>
      <c r="E430">
        <v>5</v>
      </c>
      <c r="F430" s="1" t="s">
        <v>46</v>
      </c>
      <c r="G430" s="1" t="s">
        <v>41</v>
      </c>
      <c r="H430" s="1" t="s">
        <v>24</v>
      </c>
      <c r="I430" s="1" t="s">
        <v>24</v>
      </c>
      <c r="J430" s="1" t="s">
        <v>24</v>
      </c>
      <c r="K430" s="1" t="s">
        <v>24</v>
      </c>
      <c r="L430" s="1" t="s">
        <v>24</v>
      </c>
      <c r="M430" s="1" t="s">
        <v>24</v>
      </c>
      <c r="N430" s="1" t="s">
        <v>100</v>
      </c>
      <c r="O430">
        <v>5</v>
      </c>
      <c r="P430">
        <v>2700</v>
      </c>
      <c r="Q430" s="1" t="s">
        <v>26</v>
      </c>
      <c r="R430">
        <v>11</v>
      </c>
      <c r="S430" s="1" t="s">
        <v>47</v>
      </c>
      <c r="T430" s="1" t="s">
        <v>51</v>
      </c>
    </row>
    <row r="431" spans="1:20" x14ac:dyDescent="0.25">
      <c r="A431" s="1" t="s">
        <v>37</v>
      </c>
      <c r="B431">
        <v>4</v>
      </c>
      <c r="C431">
        <v>0</v>
      </c>
      <c r="D431">
        <v>4</v>
      </c>
      <c r="E431">
        <v>5</v>
      </c>
      <c r="F431" s="1" t="s">
        <v>21</v>
      </c>
      <c r="G431" s="1" t="s">
        <v>41</v>
      </c>
      <c r="H431" s="1" t="s">
        <v>24</v>
      </c>
      <c r="I431" s="1" t="s">
        <v>24</v>
      </c>
      <c r="J431" s="1" t="s">
        <v>23</v>
      </c>
      <c r="K431" s="1" t="s">
        <v>24</v>
      </c>
      <c r="L431" s="1" t="s">
        <v>24</v>
      </c>
      <c r="M431" s="1" t="s">
        <v>24</v>
      </c>
      <c r="N431" s="1" t="s">
        <v>95</v>
      </c>
      <c r="O431">
        <v>5</v>
      </c>
      <c r="P431">
        <v>3025</v>
      </c>
      <c r="Q431" s="1" t="s">
        <v>26</v>
      </c>
      <c r="R431">
        <v>9</v>
      </c>
      <c r="S431" s="1" t="s">
        <v>33</v>
      </c>
      <c r="T431" s="1" t="s">
        <v>30</v>
      </c>
    </row>
    <row r="432" spans="1:20" x14ac:dyDescent="0.25">
      <c r="A432" s="1" t="s">
        <v>20</v>
      </c>
      <c r="B432">
        <v>6</v>
      </c>
      <c r="C432">
        <v>4</v>
      </c>
      <c r="D432">
        <v>4</v>
      </c>
      <c r="E432">
        <v>5</v>
      </c>
      <c r="F432" s="1" t="s">
        <v>21</v>
      </c>
      <c r="G432" s="1" t="s">
        <v>41</v>
      </c>
      <c r="H432" s="1" t="s">
        <v>24</v>
      </c>
      <c r="I432" s="1" t="s">
        <v>24</v>
      </c>
      <c r="J432" s="1" t="s">
        <v>23</v>
      </c>
      <c r="K432" s="1" t="s">
        <v>24</v>
      </c>
      <c r="L432" s="1" t="s">
        <v>24</v>
      </c>
      <c r="M432" s="1" t="s">
        <v>24</v>
      </c>
      <c r="N432" s="1" t="s">
        <v>95</v>
      </c>
      <c r="O432">
        <v>5</v>
      </c>
      <c r="P432">
        <v>3025</v>
      </c>
      <c r="Q432" s="1" t="s">
        <v>26</v>
      </c>
      <c r="R432">
        <v>7</v>
      </c>
      <c r="S432" s="1" t="s">
        <v>60</v>
      </c>
      <c r="T432" s="1" t="s">
        <v>28</v>
      </c>
    </row>
    <row r="433" spans="1:20" x14ac:dyDescent="0.25">
      <c r="A433" s="1" t="s">
        <v>20</v>
      </c>
      <c r="B433">
        <v>15</v>
      </c>
      <c r="C433">
        <v>3</v>
      </c>
      <c r="D433">
        <v>4</v>
      </c>
      <c r="E433">
        <v>3</v>
      </c>
      <c r="F433" s="1" t="s">
        <v>21</v>
      </c>
      <c r="G433" s="1" t="s">
        <v>32</v>
      </c>
      <c r="H433" s="1" t="s">
        <v>24</v>
      </c>
      <c r="I433" s="1" t="s">
        <v>24</v>
      </c>
      <c r="J433" s="1" t="s">
        <v>23</v>
      </c>
      <c r="K433" s="1" t="s">
        <v>24</v>
      </c>
      <c r="L433" s="1" t="s">
        <v>24</v>
      </c>
      <c r="M433" s="1" t="s">
        <v>24</v>
      </c>
      <c r="N433" s="1" t="s">
        <v>123</v>
      </c>
      <c r="O433">
        <v>4</v>
      </c>
      <c r="P433">
        <v>826</v>
      </c>
      <c r="Q433" s="1" t="s">
        <v>26</v>
      </c>
      <c r="R433">
        <v>7</v>
      </c>
      <c r="S433" s="1" t="s">
        <v>27</v>
      </c>
      <c r="T433" s="1" t="s">
        <v>40</v>
      </c>
    </row>
    <row r="434" spans="1:20" x14ac:dyDescent="0.25">
      <c r="A434" s="1" t="s">
        <v>65</v>
      </c>
      <c r="B434">
        <v>20</v>
      </c>
      <c r="C434">
        <v>7</v>
      </c>
      <c r="D434">
        <v>4</v>
      </c>
      <c r="E434">
        <v>3</v>
      </c>
      <c r="F434" s="1" t="s">
        <v>46</v>
      </c>
      <c r="G434" s="1" t="s">
        <v>41</v>
      </c>
      <c r="H434" s="1" t="s">
        <v>24</v>
      </c>
      <c r="I434" s="1" t="s">
        <v>24</v>
      </c>
      <c r="J434" s="1" t="s">
        <v>23</v>
      </c>
      <c r="K434" s="1" t="s">
        <v>24</v>
      </c>
      <c r="L434" s="1" t="s">
        <v>24</v>
      </c>
      <c r="M434" s="1" t="s">
        <v>24</v>
      </c>
      <c r="N434" s="1" t="s">
        <v>62</v>
      </c>
      <c r="O434">
        <v>3</v>
      </c>
      <c r="P434">
        <v>3981</v>
      </c>
      <c r="Q434" s="1" t="s">
        <v>36</v>
      </c>
      <c r="R434">
        <v>6</v>
      </c>
      <c r="S434" s="1" t="s">
        <v>47</v>
      </c>
      <c r="T434" s="1" t="s">
        <v>34</v>
      </c>
    </row>
    <row r="435" spans="1:20" x14ac:dyDescent="0.25">
      <c r="A435" s="1" t="s">
        <v>20</v>
      </c>
      <c r="B435">
        <v>9</v>
      </c>
      <c r="C435">
        <v>5</v>
      </c>
      <c r="D435">
        <v>4</v>
      </c>
      <c r="E435">
        <v>5</v>
      </c>
      <c r="F435" s="1" t="s">
        <v>31</v>
      </c>
      <c r="G435" s="1" t="s">
        <v>22</v>
      </c>
      <c r="H435" s="1" t="s">
        <v>24</v>
      </c>
      <c r="I435" s="1" t="s">
        <v>24</v>
      </c>
      <c r="J435" s="1" t="s">
        <v>23</v>
      </c>
      <c r="K435" s="1" t="s">
        <v>24</v>
      </c>
      <c r="L435" s="1" t="s">
        <v>24</v>
      </c>
      <c r="M435" s="1" t="s">
        <v>24</v>
      </c>
      <c r="N435" s="1" t="s">
        <v>122</v>
      </c>
      <c r="O435">
        <v>4</v>
      </c>
      <c r="P435">
        <v>2916</v>
      </c>
      <c r="Q435" s="1" t="s">
        <v>26</v>
      </c>
      <c r="R435">
        <v>6</v>
      </c>
      <c r="S435" s="1" t="s">
        <v>45</v>
      </c>
      <c r="T435" s="1" t="s">
        <v>28</v>
      </c>
    </row>
    <row r="436" spans="1:20" x14ac:dyDescent="0.25">
      <c r="A436" s="1" t="s">
        <v>35</v>
      </c>
      <c r="B436">
        <v>7</v>
      </c>
      <c r="C436">
        <v>3</v>
      </c>
      <c r="D436">
        <v>4</v>
      </c>
      <c r="E436">
        <v>4</v>
      </c>
      <c r="F436" s="1" t="s">
        <v>46</v>
      </c>
      <c r="G436" s="1" t="s">
        <v>41</v>
      </c>
      <c r="H436" s="1" t="s">
        <v>24</v>
      </c>
      <c r="I436" s="1" t="s">
        <v>24</v>
      </c>
      <c r="J436" s="1" t="s">
        <v>24</v>
      </c>
      <c r="K436" s="1" t="s">
        <v>24</v>
      </c>
      <c r="L436" s="1" t="s">
        <v>24</v>
      </c>
      <c r="M436" s="1" t="s">
        <v>24</v>
      </c>
      <c r="N436" s="1" t="s">
        <v>80</v>
      </c>
      <c r="O436">
        <v>4</v>
      </c>
      <c r="P436">
        <v>2884</v>
      </c>
      <c r="Q436" s="1" t="s">
        <v>36</v>
      </c>
      <c r="R436">
        <v>5</v>
      </c>
      <c r="S436" s="1" t="s">
        <v>52</v>
      </c>
      <c r="T436" s="1" t="s">
        <v>30</v>
      </c>
    </row>
    <row r="437" spans="1:20" x14ac:dyDescent="0.25">
      <c r="A437" s="1" t="s">
        <v>48</v>
      </c>
      <c r="B437">
        <v>12</v>
      </c>
      <c r="C437">
        <v>7</v>
      </c>
      <c r="D437">
        <v>4</v>
      </c>
      <c r="E437">
        <v>5</v>
      </c>
      <c r="F437" s="1" t="s">
        <v>55</v>
      </c>
      <c r="G437" s="1" t="s">
        <v>32</v>
      </c>
      <c r="H437" s="1" t="s">
        <v>24</v>
      </c>
      <c r="I437" s="1" t="s">
        <v>24</v>
      </c>
      <c r="J437" s="1" t="s">
        <v>24</v>
      </c>
      <c r="K437" s="1" t="s">
        <v>24</v>
      </c>
      <c r="L437" s="1" t="s">
        <v>24</v>
      </c>
      <c r="M437" s="1" t="s">
        <v>24</v>
      </c>
      <c r="N437" s="1" t="s">
        <v>80</v>
      </c>
      <c r="O437">
        <v>4</v>
      </c>
      <c r="P437">
        <v>2884</v>
      </c>
      <c r="Q437" s="1" t="s">
        <v>49</v>
      </c>
      <c r="R437">
        <v>5</v>
      </c>
      <c r="S437" s="1" t="s">
        <v>57</v>
      </c>
      <c r="T437" s="1" t="s">
        <v>58</v>
      </c>
    </row>
    <row r="438" spans="1:20" x14ac:dyDescent="0.25">
      <c r="A438" s="1" t="s">
        <v>20</v>
      </c>
      <c r="B438">
        <v>13</v>
      </c>
      <c r="C438">
        <v>4</v>
      </c>
      <c r="D438">
        <v>4</v>
      </c>
      <c r="E438">
        <v>5</v>
      </c>
      <c r="F438" s="1" t="s">
        <v>21</v>
      </c>
      <c r="G438" s="1" t="s">
        <v>22</v>
      </c>
      <c r="H438" s="1" t="s">
        <v>24</v>
      </c>
      <c r="I438" s="1" t="s">
        <v>24</v>
      </c>
      <c r="J438" s="1" t="s">
        <v>24</v>
      </c>
      <c r="K438" s="1" t="s">
        <v>24</v>
      </c>
      <c r="L438" s="1" t="s">
        <v>24</v>
      </c>
      <c r="M438" s="1" t="s">
        <v>24</v>
      </c>
      <c r="N438" s="1" t="s">
        <v>114</v>
      </c>
      <c r="O438">
        <v>3</v>
      </c>
      <c r="P438">
        <v>716</v>
      </c>
      <c r="Q438" s="1" t="s">
        <v>26</v>
      </c>
      <c r="R438">
        <v>5</v>
      </c>
      <c r="S438" s="1" t="s">
        <v>60</v>
      </c>
      <c r="T438" s="1" t="s">
        <v>40</v>
      </c>
    </row>
    <row r="439" spans="1:20" x14ac:dyDescent="0.25">
      <c r="A439" s="1" t="s">
        <v>37</v>
      </c>
      <c r="B439">
        <v>14</v>
      </c>
      <c r="C439">
        <v>0</v>
      </c>
      <c r="D439">
        <v>4</v>
      </c>
      <c r="E439">
        <v>2</v>
      </c>
      <c r="F439" s="1" t="s">
        <v>31</v>
      </c>
      <c r="G439" s="1" t="s">
        <v>32</v>
      </c>
      <c r="H439" s="1" t="s">
        <v>24</v>
      </c>
      <c r="I439" s="1" t="s">
        <v>23</v>
      </c>
      <c r="J439" s="1" t="s">
        <v>23</v>
      </c>
      <c r="K439" s="1" t="s">
        <v>23</v>
      </c>
      <c r="L439" s="1" t="s">
        <v>24</v>
      </c>
      <c r="M439" s="1" t="s">
        <v>24</v>
      </c>
      <c r="N439" s="1" t="s">
        <v>105</v>
      </c>
      <c r="O439">
        <v>45</v>
      </c>
      <c r="P439">
        <v>188</v>
      </c>
      <c r="Q439" s="1" t="s">
        <v>26</v>
      </c>
      <c r="R439">
        <v>4</v>
      </c>
      <c r="S439" s="1" t="s">
        <v>42</v>
      </c>
      <c r="T439" s="1" t="s">
        <v>40</v>
      </c>
    </row>
    <row r="440" spans="1:20" x14ac:dyDescent="0.25">
      <c r="A440" s="1" t="s">
        <v>37</v>
      </c>
      <c r="B440">
        <v>5</v>
      </c>
      <c r="C440">
        <v>5</v>
      </c>
      <c r="D440">
        <v>4</v>
      </c>
      <c r="E440">
        <v>5</v>
      </c>
      <c r="F440" s="1" t="s">
        <v>31</v>
      </c>
      <c r="G440" s="1" t="s">
        <v>41</v>
      </c>
      <c r="H440" s="1" t="s">
        <v>24</v>
      </c>
      <c r="I440" s="1" t="s">
        <v>24</v>
      </c>
      <c r="J440" s="1" t="s">
        <v>23</v>
      </c>
      <c r="K440" s="1" t="s">
        <v>24</v>
      </c>
      <c r="L440" s="1" t="s">
        <v>24</v>
      </c>
      <c r="M440" s="1" t="s">
        <v>24</v>
      </c>
      <c r="N440" s="1" t="s">
        <v>90</v>
      </c>
      <c r="O440">
        <v>5</v>
      </c>
      <c r="P440">
        <v>3348</v>
      </c>
      <c r="Q440" s="1" t="s">
        <v>26</v>
      </c>
      <c r="R440">
        <v>3</v>
      </c>
      <c r="S440" s="1" t="s">
        <v>42</v>
      </c>
      <c r="T440" s="1" t="s">
        <v>28</v>
      </c>
    </row>
    <row r="441" spans="1:20" x14ac:dyDescent="0.25">
      <c r="A441" s="1" t="s">
        <v>20</v>
      </c>
      <c r="B441">
        <v>4</v>
      </c>
      <c r="C441">
        <v>3</v>
      </c>
      <c r="D441">
        <v>4</v>
      </c>
      <c r="E441">
        <v>5</v>
      </c>
      <c r="F441" s="1" t="s">
        <v>55</v>
      </c>
      <c r="G441" s="1" t="s">
        <v>41</v>
      </c>
      <c r="H441" s="1" t="s">
        <v>24</v>
      </c>
      <c r="I441" s="1" t="s">
        <v>24</v>
      </c>
      <c r="J441" s="1" t="s">
        <v>23</v>
      </c>
      <c r="K441" s="1" t="s">
        <v>24</v>
      </c>
      <c r="L441" s="1" t="s">
        <v>24</v>
      </c>
      <c r="M441" s="1" t="s">
        <v>24</v>
      </c>
      <c r="N441" s="1" t="s">
        <v>90</v>
      </c>
      <c r="O441">
        <v>5</v>
      </c>
      <c r="P441">
        <v>3348</v>
      </c>
      <c r="Q441" s="1" t="s">
        <v>26</v>
      </c>
      <c r="R441">
        <v>3</v>
      </c>
      <c r="S441" s="1" t="s">
        <v>56</v>
      </c>
      <c r="T441" s="1" t="s">
        <v>58</v>
      </c>
    </row>
    <row r="442" spans="1:20" x14ac:dyDescent="0.25">
      <c r="A442" s="1" t="s">
        <v>112</v>
      </c>
      <c r="B442">
        <v>9</v>
      </c>
      <c r="C442">
        <v>7</v>
      </c>
      <c r="D442">
        <v>4</v>
      </c>
      <c r="E442">
        <v>5</v>
      </c>
      <c r="F442" s="1" t="s">
        <v>31</v>
      </c>
      <c r="G442" s="1" t="s">
        <v>41</v>
      </c>
      <c r="H442" s="1" t="s">
        <v>24</v>
      </c>
      <c r="I442" s="1" t="s">
        <v>24</v>
      </c>
      <c r="J442" s="1" t="s">
        <v>23</v>
      </c>
      <c r="K442" s="1" t="s">
        <v>23</v>
      </c>
      <c r="L442" s="1" t="s">
        <v>23</v>
      </c>
      <c r="M442" s="1" t="s">
        <v>24</v>
      </c>
      <c r="N442" s="1" t="s">
        <v>115</v>
      </c>
      <c r="O442">
        <v>3</v>
      </c>
      <c r="P442">
        <v>315</v>
      </c>
      <c r="Q442" s="1" t="s">
        <v>26</v>
      </c>
      <c r="R442">
        <v>2</v>
      </c>
      <c r="S442" s="1" t="s">
        <v>39</v>
      </c>
      <c r="T442" s="1" t="s">
        <v>40</v>
      </c>
    </row>
    <row r="443" spans="1:20" x14ac:dyDescent="0.25">
      <c r="A443" s="1" t="s">
        <v>35</v>
      </c>
      <c r="B443">
        <v>6</v>
      </c>
      <c r="C443">
        <v>0</v>
      </c>
      <c r="D443">
        <v>4</v>
      </c>
      <c r="E443">
        <v>4</v>
      </c>
      <c r="F443" s="1" t="s">
        <v>55</v>
      </c>
      <c r="G443" s="1" t="s">
        <v>22</v>
      </c>
      <c r="H443" s="1" t="s">
        <v>24</v>
      </c>
      <c r="I443" s="1" t="s">
        <v>24</v>
      </c>
      <c r="J443" s="1" t="s">
        <v>23</v>
      </c>
      <c r="K443" s="1" t="s">
        <v>24</v>
      </c>
      <c r="L443" s="1" t="s">
        <v>24</v>
      </c>
      <c r="M443" s="1" t="s">
        <v>24</v>
      </c>
      <c r="N443" s="1" t="s">
        <v>62</v>
      </c>
      <c r="O443">
        <v>3</v>
      </c>
      <c r="P443">
        <v>3981</v>
      </c>
      <c r="Q443" s="1" t="s">
        <v>36</v>
      </c>
      <c r="R443">
        <v>1</v>
      </c>
      <c r="S443" s="1" t="s">
        <v>59</v>
      </c>
      <c r="T443" s="1" t="s">
        <v>53</v>
      </c>
    </row>
    <row r="444" spans="1:20" x14ac:dyDescent="0.25">
      <c r="A444" s="1" t="s">
        <v>35</v>
      </c>
      <c r="B444">
        <v>10</v>
      </c>
      <c r="C444">
        <v>5</v>
      </c>
      <c r="D444">
        <v>4</v>
      </c>
      <c r="E444">
        <v>4</v>
      </c>
      <c r="F444" s="1" t="s">
        <v>46</v>
      </c>
      <c r="G444" s="1" t="s">
        <v>32</v>
      </c>
      <c r="H444" s="1" t="s">
        <v>24</v>
      </c>
      <c r="I444" s="1" t="s">
        <v>24</v>
      </c>
      <c r="J444" s="1" t="s">
        <v>23</v>
      </c>
      <c r="K444" s="1" t="s">
        <v>24</v>
      </c>
      <c r="L444" s="1" t="s">
        <v>24</v>
      </c>
      <c r="M444" s="1" t="s">
        <v>23</v>
      </c>
      <c r="N444" s="1" t="s">
        <v>70</v>
      </c>
      <c r="O444">
        <v>4</v>
      </c>
      <c r="P444">
        <v>3003</v>
      </c>
      <c r="Q444" s="1" t="s">
        <v>36</v>
      </c>
      <c r="R444">
        <v>1</v>
      </c>
      <c r="S444" s="1" t="s">
        <v>50</v>
      </c>
      <c r="T444" s="1" t="s">
        <v>30</v>
      </c>
    </row>
    <row r="445" spans="1:20" x14ac:dyDescent="0.25">
      <c r="A445" s="1" t="s">
        <v>20</v>
      </c>
      <c r="B445">
        <v>14</v>
      </c>
      <c r="C445">
        <v>8</v>
      </c>
      <c r="D445">
        <v>4</v>
      </c>
      <c r="E445">
        <v>5</v>
      </c>
      <c r="F445" s="1" t="s">
        <v>46</v>
      </c>
      <c r="G445" s="1" t="s">
        <v>41</v>
      </c>
      <c r="H445" s="1" t="s">
        <v>24</v>
      </c>
      <c r="I445" s="1" t="s">
        <v>24</v>
      </c>
      <c r="J445" s="1" t="s">
        <v>23</v>
      </c>
      <c r="K445" s="1" t="s">
        <v>24</v>
      </c>
      <c r="L445" s="1" t="s">
        <v>24</v>
      </c>
      <c r="M445" s="1" t="s">
        <v>24</v>
      </c>
      <c r="N445" s="1" t="s">
        <v>90</v>
      </c>
      <c r="O445">
        <v>5</v>
      </c>
      <c r="P445">
        <v>3348</v>
      </c>
      <c r="Q445" s="1" t="s">
        <v>26</v>
      </c>
      <c r="R445">
        <v>1</v>
      </c>
      <c r="S445" s="1" t="s">
        <v>50</v>
      </c>
      <c r="T445" s="1" t="s">
        <v>58</v>
      </c>
    </row>
    <row r="446" spans="1:20" x14ac:dyDescent="0.25">
      <c r="A446" s="1" t="s">
        <v>35</v>
      </c>
      <c r="B446">
        <v>9</v>
      </c>
      <c r="C446">
        <v>3</v>
      </c>
      <c r="D446">
        <v>4</v>
      </c>
      <c r="E446">
        <v>5</v>
      </c>
      <c r="F446" s="1" t="s">
        <v>46</v>
      </c>
      <c r="G446" s="1" t="s">
        <v>32</v>
      </c>
      <c r="H446" s="1" t="s">
        <v>24</v>
      </c>
      <c r="I446" s="1" t="s">
        <v>24</v>
      </c>
      <c r="J446" s="1" t="s">
        <v>23</v>
      </c>
      <c r="K446" s="1" t="s">
        <v>24</v>
      </c>
      <c r="L446" s="1" t="s">
        <v>24</v>
      </c>
      <c r="M446" s="1" t="s">
        <v>24</v>
      </c>
      <c r="N446" s="1" t="s">
        <v>106</v>
      </c>
      <c r="O446">
        <v>5</v>
      </c>
      <c r="P446">
        <v>2034</v>
      </c>
      <c r="Q446" s="1" t="s">
        <v>36</v>
      </c>
      <c r="R446">
        <v>1</v>
      </c>
      <c r="S446" s="1" t="s">
        <v>52</v>
      </c>
      <c r="T446" s="1" t="s">
        <v>28</v>
      </c>
    </row>
    <row r="447" spans="1:20" x14ac:dyDescent="0.25">
      <c r="A447" s="1" t="s">
        <v>37</v>
      </c>
      <c r="B447">
        <v>7</v>
      </c>
      <c r="C447">
        <v>4</v>
      </c>
      <c r="D447">
        <v>4</v>
      </c>
      <c r="E447">
        <v>5</v>
      </c>
      <c r="F447" s="1" t="s">
        <v>21</v>
      </c>
      <c r="G447" s="1" t="s">
        <v>41</v>
      </c>
      <c r="H447" s="1" t="s">
        <v>24</v>
      </c>
      <c r="I447" s="1" t="s">
        <v>24</v>
      </c>
      <c r="J447" s="1" t="s">
        <v>23</v>
      </c>
      <c r="K447" s="1" t="s">
        <v>24</v>
      </c>
      <c r="L447" s="1" t="s">
        <v>24</v>
      </c>
      <c r="M447" s="1" t="s">
        <v>24</v>
      </c>
      <c r="N447" s="1" t="s">
        <v>108</v>
      </c>
      <c r="O447">
        <v>35</v>
      </c>
      <c r="P447">
        <v>1228</v>
      </c>
      <c r="Q447" s="1" t="s">
        <v>26</v>
      </c>
      <c r="R447">
        <v>1</v>
      </c>
      <c r="S447" s="1" t="s">
        <v>33</v>
      </c>
      <c r="T447" s="1" t="s">
        <v>30</v>
      </c>
    </row>
    <row r="448" spans="1:20" x14ac:dyDescent="0.25">
      <c r="A448" s="1" t="s">
        <v>20</v>
      </c>
      <c r="B448">
        <v>9</v>
      </c>
      <c r="C448">
        <v>3</v>
      </c>
      <c r="D448">
        <v>4</v>
      </c>
      <c r="E448">
        <v>5</v>
      </c>
      <c r="F448" s="1" t="s">
        <v>46</v>
      </c>
      <c r="G448" s="1" t="s">
        <v>22</v>
      </c>
      <c r="H448" s="1" t="s">
        <v>24</v>
      </c>
      <c r="I448" s="1" t="s">
        <v>24</v>
      </c>
      <c r="J448" s="1" t="s">
        <v>23</v>
      </c>
      <c r="K448" s="1" t="s">
        <v>24</v>
      </c>
      <c r="L448" s="1" t="s">
        <v>24</v>
      </c>
      <c r="M448" s="1" t="s">
        <v>24</v>
      </c>
      <c r="N448" s="1" t="s">
        <v>108</v>
      </c>
      <c r="O448">
        <v>35</v>
      </c>
      <c r="P448">
        <v>1228</v>
      </c>
      <c r="Q448" s="1" t="s">
        <v>26</v>
      </c>
      <c r="R448">
        <v>1</v>
      </c>
      <c r="S448" s="1" t="s">
        <v>47</v>
      </c>
      <c r="T448" s="1" t="s">
        <v>58</v>
      </c>
    </row>
    <row r="449" spans="1:20" x14ac:dyDescent="0.25">
      <c r="A449" s="1" t="s">
        <v>20</v>
      </c>
      <c r="B449">
        <v>2</v>
      </c>
      <c r="C449">
        <v>1</v>
      </c>
      <c r="D449">
        <v>4</v>
      </c>
      <c r="E449">
        <v>4</v>
      </c>
      <c r="F449" s="1" t="s">
        <v>31</v>
      </c>
      <c r="G449" s="1" t="s">
        <v>32</v>
      </c>
      <c r="H449" s="1" t="s">
        <v>23</v>
      </c>
      <c r="I449" s="1" t="s">
        <v>24</v>
      </c>
      <c r="J449" s="1" t="s">
        <v>23</v>
      </c>
      <c r="K449" s="1" t="s">
        <v>23</v>
      </c>
      <c r="L449" s="1" t="s">
        <v>24</v>
      </c>
      <c r="M449" s="1" t="s">
        <v>24</v>
      </c>
      <c r="N449" s="1" t="s">
        <v>25</v>
      </c>
      <c r="O449">
        <v>3</v>
      </c>
      <c r="P449">
        <v>3773</v>
      </c>
      <c r="Q449" s="1" t="s">
        <v>26</v>
      </c>
      <c r="R449">
        <v>0</v>
      </c>
      <c r="S449" s="1" t="s">
        <v>42</v>
      </c>
      <c r="T449" s="1" t="s">
        <v>40</v>
      </c>
    </row>
    <row r="450" spans="1:20" x14ac:dyDescent="0.25">
      <c r="A450" s="1" t="s">
        <v>20</v>
      </c>
      <c r="B450">
        <v>17</v>
      </c>
      <c r="C450">
        <v>4</v>
      </c>
      <c r="D450">
        <v>4</v>
      </c>
      <c r="E450">
        <v>4</v>
      </c>
      <c r="F450" s="1" t="s">
        <v>46</v>
      </c>
      <c r="G450" s="1" t="s">
        <v>32</v>
      </c>
      <c r="H450" s="1" t="s">
        <v>24</v>
      </c>
      <c r="I450" s="1" t="s">
        <v>24</v>
      </c>
      <c r="J450" s="1" t="s">
        <v>23</v>
      </c>
      <c r="K450" s="1" t="s">
        <v>23</v>
      </c>
      <c r="L450" s="1" t="s">
        <v>23</v>
      </c>
      <c r="M450" s="1" t="s">
        <v>24</v>
      </c>
      <c r="N450" s="1" t="s">
        <v>115</v>
      </c>
      <c r="O450">
        <v>3</v>
      </c>
      <c r="P450">
        <v>315</v>
      </c>
      <c r="Q450" s="1" t="s">
        <v>26</v>
      </c>
      <c r="R450">
        <v>0</v>
      </c>
      <c r="S450" s="1" t="s">
        <v>52</v>
      </c>
      <c r="T450" s="1" t="s">
        <v>53</v>
      </c>
    </row>
    <row r="451" spans="1:20" x14ac:dyDescent="0.25">
      <c r="A451" s="1" t="s">
        <v>61</v>
      </c>
      <c r="B451">
        <v>4</v>
      </c>
      <c r="C451">
        <v>3</v>
      </c>
      <c r="D451">
        <v>3</v>
      </c>
      <c r="E451">
        <v>5</v>
      </c>
      <c r="F451" s="1" t="s">
        <v>55</v>
      </c>
      <c r="G451" s="1" t="s">
        <v>22</v>
      </c>
      <c r="H451" s="1" t="s">
        <v>24</v>
      </c>
      <c r="I451" s="1" t="s">
        <v>24</v>
      </c>
      <c r="J451" s="1" t="s">
        <v>23</v>
      </c>
      <c r="K451" s="1" t="s">
        <v>24</v>
      </c>
      <c r="L451" s="1" t="s">
        <v>24</v>
      </c>
      <c r="M451" s="1" t="s">
        <v>24</v>
      </c>
      <c r="N451" s="1" t="s">
        <v>102</v>
      </c>
      <c r="O451">
        <v>5</v>
      </c>
      <c r="P451">
        <v>1282</v>
      </c>
      <c r="Q451" s="1" t="s">
        <v>36</v>
      </c>
      <c r="R451">
        <v>11</v>
      </c>
      <c r="S451" s="1" t="s">
        <v>57</v>
      </c>
      <c r="T451" s="1" t="s">
        <v>28</v>
      </c>
    </row>
    <row r="452" spans="1:20" x14ac:dyDescent="0.25">
      <c r="A452" s="1" t="s">
        <v>20</v>
      </c>
      <c r="B452">
        <v>5</v>
      </c>
      <c r="C452">
        <v>4</v>
      </c>
      <c r="D452">
        <v>3</v>
      </c>
      <c r="E452">
        <v>5</v>
      </c>
      <c r="F452" s="1" t="s">
        <v>31</v>
      </c>
      <c r="G452" s="1" t="s">
        <v>22</v>
      </c>
      <c r="H452" s="1" t="s">
        <v>24</v>
      </c>
      <c r="I452" s="1" t="s">
        <v>24</v>
      </c>
      <c r="J452" s="1" t="s">
        <v>24</v>
      </c>
      <c r="K452" s="1" t="s">
        <v>24</v>
      </c>
      <c r="L452" s="1" t="s">
        <v>24</v>
      </c>
      <c r="M452" s="1" t="s">
        <v>24</v>
      </c>
      <c r="N452" s="1" t="s">
        <v>114</v>
      </c>
      <c r="O452">
        <v>3</v>
      </c>
      <c r="P452">
        <v>716</v>
      </c>
      <c r="Q452" s="1" t="s">
        <v>26</v>
      </c>
      <c r="R452">
        <v>8</v>
      </c>
      <c r="S452" s="1" t="s">
        <v>39</v>
      </c>
      <c r="T452" s="1" t="s">
        <v>53</v>
      </c>
    </row>
    <row r="453" spans="1:20" x14ac:dyDescent="0.25">
      <c r="A453" s="1" t="s">
        <v>20</v>
      </c>
      <c r="B453">
        <v>4</v>
      </c>
      <c r="C453">
        <v>4</v>
      </c>
      <c r="D453">
        <v>3</v>
      </c>
      <c r="E453">
        <v>2</v>
      </c>
      <c r="F453" s="1" t="s">
        <v>21</v>
      </c>
      <c r="G453" s="1" t="s">
        <v>41</v>
      </c>
      <c r="H453" s="1" t="s">
        <v>23</v>
      </c>
      <c r="I453" s="1" t="s">
        <v>24</v>
      </c>
      <c r="J453" s="1" t="s">
        <v>23</v>
      </c>
      <c r="K453" s="1" t="s">
        <v>23</v>
      </c>
      <c r="L453" s="1" t="s">
        <v>24</v>
      </c>
      <c r="M453" s="1" t="s">
        <v>24</v>
      </c>
      <c r="N453" s="1" t="s">
        <v>25</v>
      </c>
      <c r="O453">
        <v>3</v>
      </c>
      <c r="P453">
        <v>3773</v>
      </c>
      <c r="Q453" s="1" t="s">
        <v>26</v>
      </c>
      <c r="R453">
        <v>5</v>
      </c>
      <c r="S453" s="1" t="s">
        <v>60</v>
      </c>
      <c r="T453" s="1" t="s">
        <v>53</v>
      </c>
    </row>
    <row r="454" spans="1:20" x14ac:dyDescent="0.25">
      <c r="A454" s="1" t="s">
        <v>93</v>
      </c>
      <c r="B454">
        <v>9</v>
      </c>
      <c r="C454">
        <v>6</v>
      </c>
      <c r="D454">
        <v>3</v>
      </c>
      <c r="E454">
        <v>5</v>
      </c>
      <c r="F454" s="1" t="s">
        <v>55</v>
      </c>
      <c r="G454" s="1" t="s">
        <v>22</v>
      </c>
      <c r="H454" s="1" t="s">
        <v>24</v>
      </c>
      <c r="I454" s="1" t="s">
        <v>24</v>
      </c>
      <c r="J454" s="1" t="s">
        <v>23</v>
      </c>
      <c r="K454" s="1" t="s">
        <v>24</v>
      </c>
      <c r="L454" s="1" t="s">
        <v>24</v>
      </c>
      <c r="M454" s="1" t="s">
        <v>24</v>
      </c>
      <c r="N454" s="1" t="s">
        <v>119</v>
      </c>
      <c r="O454">
        <v>5</v>
      </c>
      <c r="P454">
        <v>4027</v>
      </c>
      <c r="Q454" s="1" t="s">
        <v>36</v>
      </c>
      <c r="R454">
        <v>5</v>
      </c>
      <c r="S454" s="1" t="s">
        <v>59</v>
      </c>
      <c r="T454" s="1" t="s">
        <v>34</v>
      </c>
    </row>
    <row r="455" spans="1:20" x14ac:dyDescent="0.25">
      <c r="A455" s="1" t="s">
        <v>20</v>
      </c>
      <c r="B455">
        <v>21</v>
      </c>
      <c r="C455">
        <v>6</v>
      </c>
      <c r="D455">
        <v>3</v>
      </c>
      <c r="E455">
        <v>4</v>
      </c>
      <c r="F455" s="1" t="s">
        <v>46</v>
      </c>
      <c r="G455" s="1" t="s">
        <v>41</v>
      </c>
      <c r="H455" s="1" t="s">
        <v>24</v>
      </c>
      <c r="I455" s="1" t="s">
        <v>24</v>
      </c>
      <c r="J455" s="1" t="s">
        <v>23</v>
      </c>
      <c r="K455" s="1" t="s">
        <v>24</v>
      </c>
      <c r="L455" s="1" t="s">
        <v>24</v>
      </c>
      <c r="M455" s="1" t="s">
        <v>24</v>
      </c>
      <c r="N455" s="1" t="s">
        <v>123</v>
      </c>
      <c r="O455">
        <v>4</v>
      </c>
      <c r="P455">
        <v>826</v>
      </c>
      <c r="Q455" s="1" t="s">
        <v>26</v>
      </c>
      <c r="R455">
        <v>5</v>
      </c>
      <c r="S455" s="1" t="s">
        <v>52</v>
      </c>
      <c r="T455" s="1" t="s">
        <v>40</v>
      </c>
    </row>
    <row r="456" spans="1:20" x14ac:dyDescent="0.25">
      <c r="A456" s="1" t="s">
        <v>68</v>
      </c>
      <c r="B456">
        <v>3</v>
      </c>
      <c r="C456">
        <v>3</v>
      </c>
      <c r="D456">
        <v>3</v>
      </c>
      <c r="E456">
        <v>3</v>
      </c>
      <c r="F456" s="1" t="s">
        <v>55</v>
      </c>
      <c r="G456" s="1" t="s">
        <v>32</v>
      </c>
      <c r="H456" s="1" t="s">
        <v>24</v>
      </c>
      <c r="I456" s="1" t="s">
        <v>24</v>
      </c>
      <c r="J456" s="1" t="s">
        <v>23</v>
      </c>
      <c r="K456" s="1" t="s">
        <v>24</v>
      </c>
      <c r="L456" s="1" t="s">
        <v>24</v>
      </c>
      <c r="M456" s="1" t="s">
        <v>24</v>
      </c>
      <c r="N456" s="1" t="s">
        <v>62</v>
      </c>
      <c r="O456">
        <v>3</v>
      </c>
      <c r="P456">
        <v>3981</v>
      </c>
      <c r="Q456" s="1" t="s">
        <v>36</v>
      </c>
      <c r="R456">
        <v>4</v>
      </c>
      <c r="S456" s="1" t="s">
        <v>57</v>
      </c>
      <c r="T456" s="1" t="s">
        <v>34</v>
      </c>
    </row>
    <row r="457" spans="1:20" x14ac:dyDescent="0.25">
      <c r="A457" s="1" t="s">
        <v>35</v>
      </c>
      <c r="B457">
        <v>12</v>
      </c>
      <c r="C457">
        <v>3</v>
      </c>
      <c r="D457">
        <v>3</v>
      </c>
      <c r="E457">
        <v>5</v>
      </c>
      <c r="F457" s="1" t="s">
        <v>21</v>
      </c>
      <c r="G457" s="1" t="s">
        <v>32</v>
      </c>
      <c r="H457" s="1" t="s">
        <v>24</v>
      </c>
      <c r="I457" s="1" t="s">
        <v>24</v>
      </c>
      <c r="J457" s="1" t="s">
        <v>24</v>
      </c>
      <c r="K457" s="1" t="s">
        <v>24</v>
      </c>
      <c r="L457" s="1" t="s">
        <v>24</v>
      </c>
      <c r="M457" s="1" t="s">
        <v>24</v>
      </c>
      <c r="N457" s="1" t="s">
        <v>85</v>
      </c>
      <c r="O457">
        <v>4</v>
      </c>
      <c r="P457">
        <v>1467</v>
      </c>
      <c r="Q457" s="1" t="s">
        <v>36</v>
      </c>
      <c r="R457">
        <v>4</v>
      </c>
      <c r="S457" s="1" t="s">
        <v>60</v>
      </c>
      <c r="T457" s="1" t="s">
        <v>28</v>
      </c>
    </row>
    <row r="458" spans="1:20" x14ac:dyDescent="0.25">
      <c r="A458" s="1" t="s">
        <v>54</v>
      </c>
      <c r="B458">
        <v>4</v>
      </c>
      <c r="C458">
        <v>3</v>
      </c>
      <c r="D458">
        <v>3</v>
      </c>
      <c r="E458">
        <v>1</v>
      </c>
      <c r="F458" s="1" t="s">
        <v>55</v>
      </c>
      <c r="G458" s="1" t="s">
        <v>41</v>
      </c>
      <c r="H458" s="1" t="s">
        <v>23</v>
      </c>
      <c r="I458" s="1" t="s">
        <v>24</v>
      </c>
      <c r="J458" s="1" t="s">
        <v>23</v>
      </c>
      <c r="K458" s="1" t="s">
        <v>23</v>
      </c>
      <c r="L458" s="1" t="s">
        <v>24</v>
      </c>
      <c r="M458" s="1" t="s">
        <v>24</v>
      </c>
      <c r="N458" s="1" t="s">
        <v>25</v>
      </c>
      <c r="O458">
        <v>3</v>
      </c>
      <c r="P458">
        <v>3773</v>
      </c>
      <c r="Q458" s="1" t="s">
        <v>49</v>
      </c>
      <c r="R458">
        <v>3</v>
      </c>
      <c r="S458" s="1" t="s">
        <v>59</v>
      </c>
      <c r="T458" s="1" t="s">
        <v>58</v>
      </c>
    </row>
    <row r="459" spans="1:20" x14ac:dyDescent="0.25">
      <c r="A459" s="1" t="s">
        <v>20</v>
      </c>
      <c r="B459">
        <v>8</v>
      </c>
      <c r="C459">
        <v>3</v>
      </c>
      <c r="D459">
        <v>3</v>
      </c>
      <c r="E459">
        <v>5</v>
      </c>
      <c r="F459" s="1" t="s">
        <v>21</v>
      </c>
      <c r="G459" s="1" t="s">
        <v>41</v>
      </c>
      <c r="H459" s="1" t="s">
        <v>24</v>
      </c>
      <c r="I459" s="1" t="s">
        <v>24</v>
      </c>
      <c r="J459" s="1" t="s">
        <v>23</v>
      </c>
      <c r="K459" s="1" t="s">
        <v>23</v>
      </c>
      <c r="L459" s="1" t="s">
        <v>23</v>
      </c>
      <c r="M459" s="1" t="s">
        <v>24</v>
      </c>
      <c r="N459" s="1" t="s">
        <v>115</v>
      </c>
      <c r="O459">
        <v>3</v>
      </c>
      <c r="P459">
        <v>315</v>
      </c>
      <c r="Q459" s="1" t="s">
        <v>26</v>
      </c>
      <c r="R459">
        <v>3</v>
      </c>
      <c r="S459" s="1" t="s">
        <v>27</v>
      </c>
      <c r="T459" s="1" t="s">
        <v>28</v>
      </c>
    </row>
    <row r="460" spans="1:20" x14ac:dyDescent="0.25">
      <c r="A460" s="1" t="s">
        <v>48</v>
      </c>
      <c r="B460">
        <v>16</v>
      </c>
      <c r="C460">
        <v>6</v>
      </c>
      <c r="D460">
        <v>3</v>
      </c>
      <c r="E460">
        <v>4</v>
      </c>
      <c r="F460" s="1" t="s">
        <v>21</v>
      </c>
      <c r="G460" s="1" t="s">
        <v>38</v>
      </c>
      <c r="H460" s="1" t="s">
        <v>24</v>
      </c>
      <c r="I460" s="1" t="s">
        <v>24</v>
      </c>
      <c r="J460" s="1" t="s">
        <v>23</v>
      </c>
      <c r="K460" s="1" t="s">
        <v>24</v>
      </c>
      <c r="L460" s="1" t="s">
        <v>24</v>
      </c>
      <c r="M460" s="1" t="s">
        <v>24</v>
      </c>
      <c r="N460" s="1" t="s">
        <v>120</v>
      </c>
      <c r="O460">
        <v>5</v>
      </c>
      <c r="P460">
        <v>3933</v>
      </c>
      <c r="Q460" s="1" t="s">
        <v>49</v>
      </c>
      <c r="R460">
        <v>3</v>
      </c>
      <c r="S460" s="1" t="s">
        <v>27</v>
      </c>
      <c r="T460" s="1" t="s">
        <v>34</v>
      </c>
    </row>
    <row r="461" spans="1:20" x14ac:dyDescent="0.25">
      <c r="A461" s="1" t="s">
        <v>37</v>
      </c>
      <c r="B461">
        <v>12</v>
      </c>
      <c r="C461">
        <v>8</v>
      </c>
      <c r="D461">
        <v>3</v>
      </c>
      <c r="E461">
        <v>4</v>
      </c>
      <c r="F461" s="1" t="s">
        <v>31</v>
      </c>
      <c r="G461" s="1" t="s">
        <v>22</v>
      </c>
      <c r="H461" s="1" t="s">
        <v>24</v>
      </c>
      <c r="I461" s="1" t="s">
        <v>24</v>
      </c>
      <c r="J461" s="1" t="s">
        <v>24</v>
      </c>
      <c r="K461" s="1" t="s">
        <v>24</v>
      </c>
      <c r="L461" s="1" t="s">
        <v>24</v>
      </c>
      <c r="M461" s="1" t="s">
        <v>24</v>
      </c>
      <c r="N461" s="1" t="s">
        <v>80</v>
      </c>
      <c r="O461">
        <v>4</v>
      </c>
      <c r="P461">
        <v>2884</v>
      </c>
      <c r="Q461" s="1" t="s">
        <v>26</v>
      </c>
      <c r="R461">
        <v>2</v>
      </c>
      <c r="S461" s="1" t="s">
        <v>39</v>
      </c>
      <c r="T461" s="1" t="s">
        <v>34</v>
      </c>
    </row>
    <row r="462" spans="1:20" x14ac:dyDescent="0.25">
      <c r="A462" s="1" t="s">
        <v>101</v>
      </c>
      <c r="B462">
        <v>15</v>
      </c>
      <c r="C462">
        <v>9</v>
      </c>
      <c r="D462">
        <v>3</v>
      </c>
      <c r="E462">
        <v>5</v>
      </c>
      <c r="F462" s="1" t="s">
        <v>55</v>
      </c>
      <c r="G462" s="1" t="s">
        <v>29</v>
      </c>
      <c r="H462" s="1" t="s">
        <v>24</v>
      </c>
      <c r="I462" s="1" t="s">
        <v>24</v>
      </c>
      <c r="J462" s="1" t="s">
        <v>24</v>
      </c>
      <c r="K462" s="1" t="s">
        <v>24</v>
      </c>
      <c r="L462" s="1" t="s">
        <v>24</v>
      </c>
      <c r="M462" s="1" t="s">
        <v>24</v>
      </c>
      <c r="N462" s="1" t="s">
        <v>100</v>
      </c>
      <c r="O462">
        <v>5</v>
      </c>
      <c r="P462">
        <v>2700</v>
      </c>
      <c r="Q462" s="1" t="s">
        <v>26</v>
      </c>
      <c r="R462">
        <v>2</v>
      </c>
      <c r="S462" s="1" t="s">
        <v>59</v>
      </c>
      <c r="T462" s="1" t="s">
        <v>58</v>
      </c>
    </row>
    <row r="463" spans="1:20" x14ac:dyDescent="0.25">
      <c r="A463" s="1" t="s">
        <v>20</v>
      </c>
      <c r="B463">
        <v>35</v>
      </c>
      <c r="C463">
        <v>12</v>
      </c>
      <c r="D463">
        <v>3</v>
      </c>
      <c r="E463">
        <v>5</v>
      </c>
      <c r="F463" s="1" t="s">
        <v>31</v>
      </c>
      <c r="G463" s="1" t="s">
        <v>29</v>
      </c>
      <c r="H463" s="1" t="s">
        <v>24</v>
      </c>
      <c r="I463" s="1" t="s">
        <v>24</v>
      </c>
      <c r="J463" s="1" t="s">
        <v>23</v>
      </c>
      <c r="K463" s="1" t="s">
        <v>24</v>
      </c>
      <c r="L463" s="1" t="s">
        <v>24</v>
      </c>
      <c r="M463" s="1" t="s">
        <v>24</v>
      </c>
      <c r="N463" s="1" t="s">
        <v>106</v>
      </c>
      <c r="O463">
        <v>5</v>
      </c>
      <c r="P463">
        <v>2034</v>
      </c>
      <c r="Q463" s="1" t="s">
        <v>26</v>
      </c>
      <c r="R463">
        <v>2</v>
      </c>
      <c r="S463" s="1" t="s">
        <v>45</v>
      </c>
      <c r="T463" s="1" t="s">
        <v>30</v>
      </c>
    </row>
    <row r="464" spans="1:20" x14ac:dyDescent="0.25">
      <c r="A464" s="1" t="s">
        <v>78</v>
      </c>
      <c r="B464">
        <v>3</v>
      </c>
      <c r="C464">
        <v>3</v>
      </c>
      <c r="D464">
        <v>3</v>
      </c>
      <c r="E464">
        <v>5</v>
      </c>
      <c r="F464" s="1" t="s">
        <v>21</v>
      </c>
      <c r="G464" s="1" t="s">
        <v>32</v>
      </c>
      <c r="H464" s="1" t="s">
        <v>24</v>
      </c>
      <c r="I464" s="1" t="s">
        <v>24</v>
      </c>
      <c r="J464" s="1" t="s">
        <v>23</v>
      </c>
      <c r="K464" s="1" t="s">
        <v>23</v>
      </c>
      <c r="L464" s="1" t="s">
        <v>23</v>
      </c>
      <c r="M464" s="1" t="s">
        <v>24</v>
      </c>
      <c r="N464" s="1" t="s">
        <v>115</v>
      </c>
      <c r="O464">
        <v>3</v>
      </c>
      <c r="P464">
        <v>315</v>
      </c>
      <c r="Q464" s="1" t="s">
        <v>26</v>
      </c>
      <c r="R464">
        <v>2</v>
      </c>
      <c r="S464" s="1" t="s">
        <v>60</v>
      </c>
      <c r="T464" s="1" t="s">
        <v>51</v>
      </c>
    </row>
    <row r="465" spans="1:20" x14ac:dyDescent="0.25">
      <c r="A465" s="1" t="s">
        <v>20</v>
      </c>
      <c r="B465">
        <v>13</v>
      </c>
      <c r="C465">
        <v>3</v>
      </c>
      <c r="D465">
        <v>3</v>
      </c>
      <c r="E465">
        <v>2</v>
      </c>
      <c r="F465" s="1" t="s">
        <v>55</v>
      </c>
      <c r="G465" s="1" t="s">
        <v>41</v>
      </c>
      <c r="H465" s="1" t="s">
        <v>24</v>
      </c>
      <c r="I465" s="1" t="s">
        <v>24</v>
      </c>
      <c r="J465" s="1" t="s">
        <v>23</v>
      </c>
      <c r="K465" s="1" t="s">
        <v>24</v>
      </c>
      <c r="L465" s="1" t="s">
        <v>24</v>
      </c>
      <c r="M465" s="1" t="s">
        <v>23</v>
      </c>
      <c r="N465" s="1" t="s">
        <v>70</v>
      </c>
      <c r="O465">
        <v>4</v>
      </c>
      <c r="P465">
        <v>3003</v>
      </c>
      <c r="Q465" s="1" t="s">
        <v>26</v>
      </c>
      <c r="R465">
        <v>1</v>
      </c>
      <c r="S465" s="1" t="s">
        <v>57</v>
      </c>
      <c r="T465" s="1" t="s">
        <v>53</v>
      </c>
    </row>
    <row r="466" spans="1:20" x14ac:dyDescent="0.25">
      <c r="A466" s="1" t="s">
        <v>54</v>
      </c>
      <c r="B466">
        <v>8</v>
      </c>
      <c r="C466">
        <v>7</v>
      </c>
      <c r="D466">
        <v>3</v>
      </c>
      <c r="E466">
        <v>5</v>
      </c>
      <c r="F466" s="1" t="s">
        <v>46</v>
      </c>
      <c r="G466" s="1" t="s">
        <v>22</v>
      </c>
      <c r="H466" s="1" t="s">
        <v>24</v>
      </c>
      <c r="I466" s="1" t="s">
        <v>24</v>
      </c>
      <c r="J466" s="1" t="s">
        <v>24</v>
      </c>
      <c r="K466" s="1" t="s">
        <v>24</v>
      </c>
      <c r="L466" s="1" t="s">
        <v>24</v>
      </c>
      <c r="M466" s="1" t="s">
        <v>24</v>
      </c>
      <c r="N466" s="1" t="s">
        <v>85</v>
      </c>
      <c r="O466">
        <v>4</v>
      </c>
      <c r="P466">
        <v>1467</v>
      </c>
      <c r="Q466" s="1" t="s">
        <v>49</v>
      </c>
      <c r="R466">
        <v>1</v>
      </c>
      <c r="S466" s="1" t="s">
        <v>52</v>
      </c>
      <c r="T466" s="1" t="s">
        <v>34</v>
      </c>
    </row>
    <row r="467" spans="1:20" x14ac:dyDescent="0.25">
      <c r="A467" s="1" t="s">
        <v>48</v>
      </c>
      <c r="B467">
        <v>12</v>
      </c>
      <c r="C467">
        <v>6</v>
      </c>
      <c r="D467">
        <v>3</v>
      </c>
      <c r="E467">
        <v>5</v>
      </c>
      <c r="F467" s="1" t="s">
        <v>21</v>
      </c>
      <c r="G467" s="1" t="s">
        <v>22</v>
      </c>
      <c r="H467" s="1" t="s">
        <v>24</v>
      </c>
      <c r="I467" s="1" t="s">
        <v>24</v>
      </c>
      <c r="J467" s="1" t="s">
        <v>23</v>
      </c>
      <c r="K467" s="1" t="s">
        <v>24</v>
      </c>
      <c r="L467" s="1" t="s">
        <v>24</v>
      </c>
      <c r="M467" s="1" t="s">
        <v>24</v>
      </c>
      <c r="N467" s="1" t="s">
        <v>92</v>
      </c>
      <c r="O467">
        <v>5</v>
      </c>
      <c r="P467">
        <v>2959</v>
      </c>
      <c r="Q467" s="1" t="s">
        <v>49</v>
      </c>
      <c r="R467">
        <v>1</v>
      </c>
      <c r="S467" s="1" t="s">
        <v>27</v>
      </c>
      <c r="T467" s="1" t="s">
        <v>28</v>
      </c>
    </row>
    <row r="468" spans="1:20" x14ac:dyDescent="0.25">
      <c r="A468" s="1" t="s">
        <v>43</v>
      </c>
      <c r="B468">
        <v>1</v>
      </c>
      <c r="C468">
        <v>0</v>
      </c>
      <c r="D468">
        <v>3</v>
      </c>
      <c r="E468">
        <v>2</v>
      </c>
      <c r="F468" s="1" t="s">
        <v>31</v>
      </c>
      <c r="G468" s="1" t="s">
        <v>32</v>
      </c>
      <c r="H468" s="1" t="s">
        <v>24</v>
      </c>
      <c r="I468" s="1" t="s">
        <v>24</v>
      </c>
      <c r="J468" s="1" t="s">
        <v>24</v>
      </c>
      <c r="K468" s="1" t="s">
        <v>24</v>
      </c>
      <c r="L468" s="1" t="s">
        <v>24</v>
      </c>
      <c r="M468" s="1" t="s">
        <v>24</v>
      </c>
      <c r="N468" s="1" t="s">
        <v>114</v>
      </c>
      <c r="O468">
        <v>3</v>
      </c>
      <c r="P468">
        <v>716</v>
      </c>
      <c r="Q468" s="1" t="s">
        <v>44</v>
      </c>
      <c r="R468">
        <v>0</v>
      </c>
      <c r="S468" s="1" t="s">
        <v>45</v>
      </c>
      <c r="T468" s="1" t="s">
        <v>28</v>
      </c>
    </row>
    <row r="469" spans="1:20" x14ac:dyDescent="0.25">
      <c r="A469" s="1" t="s">
        <v>37</v>
      </c>
      <c r="B469">
        <v>5</v>
      </c>
      <c r="C469">
        <v>5</v>
      </c>
      <c r="D469">
        <v>2</v>
      </c>
      <c r="E469">
        <v>4</v>
      </c>
      <c r="F469" s="1" t="s">
        <v>31</v>
      </c>
      <c r="G469" s="1" t="s">
        <v>38</v>
      </c>
      <c r="H469" s="1" t="s">
        <v>23</v>
      </c>
      <c r="I469" s="1" t="s">
        <v>24</v>
      </c>
      <c r="J469" s="1" t="s">
        <v>23</v>
      </c>
      <c r="K469" s="1" t="s">
        <v>23</v>
      </c>
      <c r="L469" s="1" t="s">
        <v>24</v>
      </c>
      <c r="M469" s="1" t="s">
        <v>24</v>
      </c>
      <c r="N469" s="1" t="s">
        <v>25</v>
      </c>
      <c r="O469">
        <v>3</v>
      </c>
      <c r="P469">
        <v>3773</v>
      </c>
      <c r="Q469" s="1" t="s">
        <v>26</v>
      </c>
      <c r="R469">
        <v>7</v>
      </c>
      <c r="S469" s="1" t="s">
        <v>39</v>
      </c>
      <c r="T469" s="1" t="s">
        <v>40</v>
      </c>
    </row>
    <row r="470" spans="1:20" x14ac:dyDescent="0.25">
      <c r="A470" s="1" t="s">
        <v>35</v>
      </c>
      <c r="B470">
        <v>10</v>
      </c>
      <c r="C470">
        <v>5</v>
      </c>
      <c r="D470">
        <v>2</v>
      </c>
      <c r="E470">
        <v>4</v>
      </c>
      <c r="F470" s="1" t="s">
        <v>55</v>
      </c>
      <c r="G470" s="1" t="s">
        <v>41</v>
      </c>
      <c r="H470" s="1" t="s">
        <v>23</v>
      </c>
      <c r="I470" s="1" t="s">
        <v>24</v>
      </c>
      <c r="J470" s="1" t="s">
        <v>23</v>
      </c>
      <c r="K470" s="1" t="s">
        <v>23</v>
      </c>
      <c r="L470" s="1" t="s">
        <v>24</v>
      </c>
      <c r="M470" s="1" t="s">
        <v>24</v>
      </c>
      <c r="N470" s="1" t="s">
        <v>25</v>
      </c>
      <c r="O470">
        <v>3</v>
      </c>
      <c r="P470">
        <v>3773</v>
      </c>
      <c r="Q470" s="1" t="s">
        <v>36</v>
      </c>
      <c r="R470">
        <v>7</v>
      </c>
      <c r="S470" s="1" t="s">
        <v>59</v>
      </c>
      <c r="T470" s="1" t="s">
        <v>34</v>
      </c>
    </row>
    <row r="471" spans="1:20" x14ac:dyDescent="0.25">
      <c r="A471" s="1" t="s">
        <v>20</v>
      </c>
      <c r="B471">
        <v>4</v>
      </c>
      <c r="C471">
        <v>3</v>
      </c>
      <c r="D471">
        <v>2</v>
      </c>
      <c r="E471">
        <v>5</v>
      </c>
      <c r="F471" s="1" t="s">
        <v>21</v>
      </c>
      <c r="G471" s="1" t="s">
        <v>41</v>
      </c>
      <c r="H471" s="1" t="s">
        <v>24</v>
      </c>
      <c r="I471" s="1" t="s">
        <v>24</v>
      </c>
      <c r="J471" s="1" t="s">
        <v>23</v>
      </c>
      <c r="K471" s="1" t="s">
        <v>24</v>
      </c>
      <c r="L471" s="1" t="s">
        <v>24</v>
      </c>
      <c r="M471" s="1" t="s">
        <v>24</v>
      </c>
      <c r="N471" s="1" t="s">
        <v>108</v>
      </c>
      <c r="O471">
        <v>35</v>
      </c>
      <c r="P471">
        <v>1228</v>
      </c>
      <c r="Q471" s="1" t="s">
        <v>26</v>
      </c>
      <c r="R471">
        <v>6</v>
      </c>
      <c r="S471" s="1" t="s">
        <v>27</v>
      </c>
      <c r="T471" s="1" t="s">
        <v>30</v>
      </c>
    </row>
    <row r="472" spans="1:20" x14ac:dyDescent="0.25">
      <c r="A472" s="1" t="s">
        <v>61</v>
      </c>
      <c r="B472">
        <v>13</v>
      </c>
      <c r="C472">
        <v>3</v>
      </c>
      <c r="D472">
        <v>2</v>
      </c>
      <c r="E472">
        <v>5</v>
      </c>
      <c r="F472" s="1" t="s">
        <v>55</v>
      </c>
      <c r="G472" s="1" t="s">
        <v>41</v>
      </c>
      <c r="H472" s="1" t="s">
        <v>24</v>
      </c>
      <c r="I472" s="1" t="s">
        <v>24</v>
      </c>
      <c r="J472" s="1" t="s">
        <v>23</v>
      </c>
      <c r="K472" s="1" t="s">
        <v>24</v>
      </c>
      <c r="L472" s="1" t="s">
        <v>24</v>
      </c>
      <c r="M472" s="1" t="s">
        <v>24</v>
      </c>
      <c r="N472" s="1" t="s">
        <v>120</v>
      </c>
      <c r="O472">
        <v>5</v>
      </c>
      <c r="P472">
        <v>3933</v>
      </c>
      <c r="Q472" s="1" t="s">
        <v>36</v>
      </c>
      <c r="R472">
        <v>6</v>
      </c>
      <c r="S472" s="1" t="s">
        <v>56</v>
      </c>
      <c r="T472" s="1" t="s">
        <v>40</v>
      </c>
    </row>
    <row r="473" spans="1:20" x14ac:dyDescent="0.25">
      <c r="A473" s="1" t="s">
        <v>48</v>
      </c>
      <c r="B473">
        <v>5</v>
      </c>
      <c r="C473">
        <v>3</v>
      </c>
      <c r="D473">
        <v>2</v>
      </c>
      <c r="E473">
        <v>5</v>
      </c>
      <c r="F473" s="1" t="s">
        <v>55</v>
      </c>
      <c r="G473" s="1" t="s">
        <v>41</v>
      </c>
      <c r="H473" s="1" t="s">
        <v>24</v>
      </c>
      <c r="I473" s="1" t="s">
        <v>24</v>
      </c>
      <c r="J473" s="1" t="s">
        <v>24</v>
      </c>
      <c r="K473" s="1" t="s">
        <v>24</v>
      </c>
      <c r="L473" s="1" t="s">
        <v>24</v>
      </c>
      <c r="M473" s="1" t="s">
        <v>24</v>
      </c>
      <c r="N473" s="1" t="s">
        <v>85</v>
      </c>
      <c r="O473">
        <v>4</v>
      </c>
      <c r="P473">
        <v>1467</v>
      </c>
      <c r="Q473" s="1" t="s">
        <v>49</v>
      </c>
      <c r="R473">
        <v>5</v>
      </c>
      <c r="S473" s="1" t="s">
        <v>56</v>
      </c>
      <c r="T473" s="1" t="s">
        <v>51</v>
      </c>
    </row>
    <row r="474" spans="1:20" x14ac:dyDescent="0.25">
      <c r="A474" s="1" t="s">
        <v>103</v>
      </c>
      <c r="B474">
        <v>3</v>
      </c>
      <c r="C474">
        <v>3</v>
      </c>
      <c r="D474">
        <v>2</v>
      </c>
      <c r="E474">
        <v>4</v>
      </c>
      <c r="F474" s="1" t="s">
        <v>46</v>
      </c>
      <c r="G474" s="1" t="s">
        <v>41</v>
      </c>
      <c r="H474" s="1" t="s">
        <v>24</v>
      </c>
      <c r="I474" s="1" t="s">
        <v>24</v>
      </c>
      <c r="J474" s="1" t="s">
        <v>23</v>
      </c>
      <c r="K474" s="1" t="s">
        <v>24</v>
      </c>
      <c r="L474" s="1" t="s">
        <v>24</v>
      </c>
      <c r="M474" s="1" t="s">
        <v>24</v>
      </c>
      <c r="N474" s="1" t="s">
        <v>102</v>
      </c>
      <c r="O474">
        <v>5</v>
      </c>
      <c r="P474">
        <v>1282</v>
      </c>
      <c r="Q474" s="1" t="s">
        <v>44</v>
      </c>
      <c r="R474">
        <v>4</v>
      </c>
      <c r="S474" s="1" t="s">
        <v>52</v>
      </c>
      <c r="T474" s="1" t="s">
        <v>53</v>
      </c>
    </row>
    <row r="475" spans="1:20" x14ac:dyDescent="0.25">
      <c r="A475" s="1" t="s">
        <v>20</v>
      </c>
      <c r="B475">
        <v>23</v>
      </c>
      <c r="C475">
        <v>7</v>
      </c>
      <c r="D475">
        <v>2</v>
      </c>
      <c r="E475">
        <v>4</v>
      </c>
      <c r="F475" s="1" t="s">
        <v>21</v>
      </c>
      <c r="G475" s="1" t="s">
        <v>32</v>
      </c>
      <c r="H475" s="1" t="s">
        <v>24</v>
      </c>
      <c r="I475" s="1" t="s">
        <v>24</v>
      </c>
      <c r="J475" s="1" t="s">
        <v>23</v>
      </c>
      <c r="K475" s="1" t="s">
        <v>24</v>
      </c>
      <c r="L475" s="1" t="s">
        <v>24</v>
      </c>
      <c r="M475" s="1" t="s">
        <v>24</v>
      </c>
      <c r="N475" s="1" t="s">
        <v>90</v>
      </c>
      <c r="O475">
        <v>5</v>
      </c>
      <c r="P475">
        <v>3348</v>
      </c>
      <c r="Q475" s="1" t="s">
        <v>26</v>
      </c>
      <c r="R475">
        <v>3</v>
      </c>
      <c r="S475" s="1" t="s">
        <v>60</v>
      </c>
      <c r="T475" s="1" t="s">
        <v>30</v>
      </c>
    </row>
    <row r="476" spans="1:20" x14ac:dyDescent="0.25">
      <c r="A476" s="1" t="s">
        <v>20</v>
      </c>
      <c r="B476">
        <v>2</v>
      </c>
      <c r="C476">
        <v>0</v>
      </c>
      <c r="D476">
        <v>2</v>
      </c>
      <c r="E476">
        <v>4</v>
      </c>
      <c r="F476" s="1" t="s">
        <v>21</v>
      </c>
      <c r="G476" s="1" t="s">
        <v>29</v>
      </c>
      <c r="H476" s="1" t="s">
        <v>24</v>
      </c>
      <c r="I476" s="1" t="s">
        <v>23</v>
      </c>
      <c r="J476" s="1" t="s">
        <v>23</v>
      </c>
      <c r="K476" s="1" t="s">
        <v>23</v>
      </c>
      <c r="L476" s="1" t="s">
        <v>24</v>
      </c>
      <c r="M476" s="1" t="s">
        <v>24</v>
      </c>
      <c r="N476" s="1" t="s">
        <v>105</v>
      </c>
      <c r="O476">
        <v>45</v>
      </c>
      <c r="P476">
        <v>188</v>
      </c>
      <c r="Q476" s="1" t="s">
        <v>26</v>
      </c>
      <c r="R476">
        <v>1</v>
      </c>
      <c r="S476" s="1" t="s">
        <v>27</v>
      </c>
      <c r="T476" s="1" t="s">
        <v>34</v>
      </c>
    </row>
    <row r="477" spans="1:20" x14ac:dyDescent="0.25">
      <c r="A477" s="1" t="s">
        <v>20</v>
      </c>
      <c r="B477">
        <v>4</v>
      </c>
      <c r="C477">
        <v>4</v>
      </c>
      <c r="D477">
        <v>2</v>
      </c>
      <c r="E477">
        <v>2</v>
      </c>
      <c r="F477" s="1" t="s">
        <v>21</v>
      </c>
      <c r="G477" s="1" t="s">
        <v>41</v>
      </c>
      <c r="H477" s="1" t="s">
        <v>24</v>
      </c>
      <c r="I477" s="1" t="s">
        <v>24</v>
      </c>
      <c r="J477" s="1" t="s">
        <v>23</v>
      </c>
      <c r="K477" s="1" t="s">
        <v>24</v>
      </c>
      <c r="L477" s="1" t="s">
        <v>24</v>
      </c>
      <c r="M477" s="1" t="s">
        <v>24</v>
      </c>
      <c r="N477" s="1" t="s">
        <v>122</v>
      </c>
      <c r="O477">
        <v>4</v>
      </c>
      <c r="P477">
        <v>2916</v>
      </c>
      <c r="Q477" s="1" t="s">
        <v>26</v>
      </c>
      <c r="R477">
        <v>1</v>
      </c>
      <c r="S477" s="1" t="s">
        <v>33</v>
      </c>
      <c r="T477" s="1" t="s">
        <v>51</v>
      </c>
    </row>
    <row r="478" spans="1:20" x14ac:dyDescent="0.25">
      <c r="A478" s="1" t="s">
        <v>48</v>
      </c>
      <c r="B478">
        <v>4</v>
      </c>
      <c r="C478">
        <v>3</v>
      </c>
      <c r="D478">
        <v>2</v>
      </c>
      <c r="E478">
        <v>3</v>
      </c>
      <c r="F478" s="1" t="s">
        <v>31</v>
      </c>
      <c r="G478" s="1" t="s">
        <v>41</v>
      </c>
      <c r="H478" s="1" t="s">
        <v>24</v>
      </c>
      <c r="I478" s="1" t="s">
        <v>24</v>
      </c>
      <c r="J478" s="1" t="s">
        <v>23</v>
      </c>
      <c r="K478" s="1" t="s">
        <v>24</v>
      </c>
      <c r="L478" s="1" t="s">
        <v>24</v>
      </c>
      <c r="M478" s="1" t="s">
        <v>24</v>
      </c>
      <c r="N478" s="1" t="s">
        <v>62</v>
      </c>
      <c r="O478">
        <v>3</v>
      </c>
      <c r="P478">
        <v>3981</v>
      </c>
      <c r="Q478" s="1" t="s">
        <v>49</v>
      </c>
      <c r="R478">
        <v>0</v>
      </c>
      <c r="S478" s="1" t="s">
        <v>42</v>
      </c>
      <c r="T478" s="1" t="s">
        <v>30</v>
      </c>
    </row>
    <row r="479" spans="1:20" x14ac:dyDescent="0.25">
      <c r="A479" s="1" t="s">
        <v>76</v>
      </c>
      <c r="B479">
        <v>1</v>
      </c>
      <c r="C479">
        <v>0</v>
      </c>
      <c r="D479">
        <v>2</v>
      </c>
      <c r="E479">
        <v>1</v>
      </c>
      <c r="F479" s="1" t="s">
        <v>55</v>
      </c>
      <c r="G479" s="1" t="s">
        <v>29</v>
      </c>
      <c r="H479" s="1" t="s">
        <v>24</v>
      </c>
      <c r="I479" s="1" t="s">
        <v>24</v>
      </c>
      <c r="J479" s="1" t="s">
        <v>23</v>
      </c>
      <c r="K479" s="1" t="s">
        <v>24</v>
      </c>
      <c r="L479" s="1" t="s">
        <v>24</v>
      </c>
      <c r="M479" s="1" t="s">
        <v>23</v>
      </c>
      <c r="N479" s="1" t="s">
        <v>70</v>
      </c>
      <c r="O479">
        <v>4</v>
      </c>
      <c r="P479">
        <v>3003</v>
      </c>
      <c r="Q479" s="1" t="s">
        <v>44</v>
      </c>
      <c r="R479">
        <v>0</v>
      </c>
      <c r="S479" s="1" t="s">
        <v>59</v>
      </c>
      <c r="T479" s="1" t="s">
        <v>51</v>
      </c>
    </row>
    <row r="480" spans="1:20" x14ac:dyDescent="0.25">
      <c r="A480" s="1" t="s">
        <v>20</v>
      </c>
      <c r="B480">
        <v>1</v>
      </c>
      <c r="C480">
        <v>0</v>
      </c>
      <c r="D480">
        <v>2</v>
      </c>
      <c r="E480">
        <v>5</v>
      </c>
      <c r="F480" s="1" t="s">
        <v>21</v>
      </c>
      <c r="G480" s="1" t="s">
        <v>32</v>
      </c>
      <c r="H480" s="1" t="s">
        <v>24</v>
      </c>
      <c r="I480" s="1" t="s">
        <v>24</v>
      </c>
      <c r="J480" s="1" t="s">
        <v>23</v>
      </c>
      <c r="K480" s="1" t="s">
        <v>24</v>
      </c>
      <c r="L480" s="1" t="s">
        <v>24</v>
      </c>
      <c r="M480" s="1" t="s">
        <v>24</v>
      </c>
      <c r="N480" s="1" t="s">
        <v>102</v>
      </c>
      <c r="O480">
        <v>5</v>
      </c>
      <c r="P480">
        <v>1282</v>
      </c>
      <c r="Q480" s="1" t="s">
        <v>26</v>
      </c>
      <c r="R480">
        <v>0</v>
      </c>
      <c r="S480" s="1" t="s">
        <v>33</v>
      </c>
      <c r="T480" s="1" t="s">
        <v>40</v>
      </c>
    </row>
    <row r="481" spans="1:20" x14ac:dyDescent="0.25">
      <c r="A481" s="1" t="s">
        <v>20</v>
      </c>
      <c r="B481">
        <v>2</v>
      </c>
      <c r="C481">
        <v>0</v>
      </c>
      <c r="D481">
        <v>2</v>
      </c>
      <c r="E481">
        <v>5</v>
      </c>
      <c r="F481" s="1" t="s">
        <v>46</v>
      </c>
      <c r="G481" s="1" t="s">
        <v>22</v>
      </c>
      <c r="H481" s="1" t="s">
        <v>24</v>
      </c>
      <c r="I481" s="1" t="s">
        <v>23</v>
      </c>
      <c r="J481" s="1" t="s">
        <v>23</v>
      </c>
      <c r="K481" s="1" t="s">
        <v>23</v>
      </c>
      <c r="L481" s="1" t="s">
        <v>24</v>
      </c>
      <c r="M481" s="1" t="s">
        <v>24</v>
      </c>
      <c r="N481" s="1" t="s">
        <v>105</v>
      </c>
      <c r="O481">
        <v>45</v>
      </c>
      <c r="P481">
        <v>188</v>
      </c>
      <c r="Q481" s="1" t="s">
        <v>26</v>
      </c>
      <c r="R481">
        <v>0</v>
      </c>
      <c r="S481" s="1" t="s">
        <v>47</v>
      </c>
      <c r="T481" s="1" t="s">
        <v>51</v>
      </c>
    </row>
    <row r="482" spans="1:20" x14ac:dyDescent="0.25">
      <c r="A482" s="1" t="s">
        <v>37</v>
      </c>
      <c r="B482">
        <v>3</v>
      </c>
      <c r="C482">
        <v>3</v>
      </c>
      <c r="D482">
        <v>2</v>
      </c>
      <c r="E482">
        <v>3</v>
      </c>
      <c r="F482" s="1" t="s">
        <v>46</v>
      </c>
      <c r="G482" s="1" t="s">
        <v>29</v>
      </c>
      <c r="H482" s="1" t="s">
        <v>24</v>
      </c>
      <c r="I482" s="1" t="s">
        <v>24</v>
      </c>
      <c r="J482" s="1" t="s">
        <v>24</v>
      </c>
      <c r="K482" s="1" t="s">
        <v>24</v>
      </c>
      <c r="L482" s="1" t="s">
        <v>24</v>
      </c>
      <c r="M482" s="1" t="s">
        <v>24</v>
      </c>
      <c r="N482" s="1" t="s">
        <v>114</v>
      </c>
      <c r="O482">
        <v>3</v>
      </c>
      <c r="P482">
        <v>716</v>
      </c>
      <c r="Q482" s="1" t="s">
        <v>26</v>
      </c>
      <c r="R482">
        <v>0</v>
      </c>
      <c r="S482" s="1" t="s">
        <v>52</v>
      </c>
      <c r="T482" s="1" t="s">
        <v>51</v>
      </c>
    </row>
    <row r="483" spans="1:20" x14ac:dyDescent="0.25">
      <c r="A483" s="1" t="s">
        <v>78</v>
      </c>
      <c r="B483">
        <v>1</v>
      </c>
      <c r="C483">
        <v>0</v>
      </c>
      <c r="D483">
        <v>2</v>
      </c>
      <c r="E483">
        <v>5</v>
      </c>
      <c r="F483" s="1" t="s">
        <v>21</v>
      </c>
      <c r="G483" s="1" t="s">
        <v>41</v>
      </c>
      <c r="H483" s="1" t="s">
        <v>24</v>
      </c>
      <c r="I483" s="1" t="s">
        <v>24</v>
      </c>
      <c r="J483" s="1" t="s">
        <v>23</v>
      </c>
      <c r="K483" s="1" t="s">
        <v>24</v>
      </c>
      <c r="L483" s="1" t="s">
        <v>24</v>
      </c>
      <c r="M483" s="1" t="s">
        <v>24</v>
      </c>
      <c r="N483" s="1" t="s">
        <v>119</v>
      </c>
      <c r="O483">
        <v>5</v>
      </c>
      <c r="P483">
        <v>4027</v>
      </c>
      <c r="Q483" s="1" t="s">
        <v>26</v>
      </c>
      <c r="R483">
        <v>0</v>
      </c>
      <c r="S483" s="1" t="s">
        <v>33</v>
      </c>
      <c r="T483" s="1" t="s">
        <v>53</v>
      </c>
    </row>
    <row r="484" spans="1:20" x14ac:dyDescent="0.25">
      <c r="A484" s="1" t="s">
        <v>20</v>
      </c>
      <c r="B484">
        <v>11</v>
      </c>
      <c r="C484">
        <v>8</v>
      </c>
      <c r="D484">
        <v>2</v>
      </c>
      <c r="E484">
        <v>4</v>
      </c>
      <c r="F484" s="1" t="s">
        <v>46</v>
      </c>
      <c r="G484" s="1" t="s">
        <v>38</v>
      </c>
      <c r="H484" s="1" t="s">
        <v>24</v>
      </c>
      <c r="I484" s="1" t="s">
        <v>24</v>
      </c>
      <c r="J484" s="1" t="s">
        <v>23</v>
      </c>
      <c r="K484" s="1" t="s">
        <v>24</v>
      </c>
      <c r="L484" s="1" t="s">
        <v>24</v>
      </c>
      <c r="M484" s="1" t="s">
        <v>24</v>
      </c>
      <c r="N484" s="1" t="s">
        <v>120</v>
      </c>
      <c r="O484">
        <v>5</v>
      </c>
      <c r="P484">
        <v>3933</v>
      </c>
      <c r="Q484" s="1" t="s">
        <v>26</v>
      </c>
      <c r="R484">
        <v>0</v>
      </c>
      <c r="S484" s="1" t="s">
        <v>52</v>
      </c>
      <c r="T484" s="1" t="s">
        <v>58</v>
      </c>
    </row>
    <row r="485" spans="1:20" x14ac:dyDescent="0.25">
      <c r="A485" s="1" t="s">
        <v>84</v>
      </c>
      <c r="B485">
        <v>4</v>
      </c>
      <c r="C485">
        <v>3</v>
      </c>
      <c r="D485">
        <v>1</v>
      </c>
      <c r="E485">
        <v>5</v>
      </c>
      <c r="F485" s="1" t="s">
        <v>55</v>
      </c>
      <c r="G485" s="1" t="s">
        <v>41</v>
      </c>
      <c r="H485" s="1" t="s">
        <v>24</v>
      </c>
      <c r="I485" s="1" t="s">
        <v>24</v>
      </c>
      <c r="J485" s="1" t="s">
        <v>24</v>
      </c>
      <c r="K485" s="1" t="s">
        <v>24</v>
      </c>
      <c r="L485" s="1" t="s">
        <v>24</v>
      </c>
      <c r="M485" s="1" t="s">
        <v>24</v>
      </c>
      <c r="N485" s="1" t="s">
        <v>80</v>
      </c>
      <c r="O485">
        <v>4</v>
      </c>
      <c r="P485">
        <v>2884</v>
      </c>
      <c r="Q485" s="1" t="s">
        <v>44</v>
      </c>
      <c r="R485">
        <v>7</v>
      </c>
      <c r="S485" s="1" t="s">
        <v>59</v>
      </c>
      <c r="T485" s="1" t="s">
        <v>30</v>
      </c>
    </row>
    <row r="486" spans="1:20" x14ac:dyDescent="0.25">
      <c r="A486" s="1" t="s">
        <v>20</v>
      </c>
      <c r="B486">
        <v>26</v>
      </c>
      <c r="C486">
        <v>8</v>
      </c>
      <c r="D486">
        <v>1</v>
      </c>
      <c r="E486">
        <v>4</v>
      </c>
      <c r="F486" s="1" t="s">
        <v>46</v>
      </c>
      <c r="G486" s="1" t="s">
        <v>32</v>
      </c>
      <c r="H486" s="1" t="s">
        <v>24</v>
      </c>
      <c r="I486" s="1" t="s">
        <v>24</v>
      </c>
      <c r="J486" s="1" t="s">
        <v>23</v>
      </c>
      <c r="K486" s="1" t="s">
        <v>24</v>
      </c>
      <c r="L486" s="1" t="s">
        <v>24</v>
      </c>
      <c r="M486" s="1" t="s">
        <v>24</v>
      </c>
      <c r="N486" s="1" t="s">
        <v>102</v>
      </c>
      <c r="O486">
        <v>5</v>
      </c>
      <c r="P486">
        <v>1282</v>
      </c>
      <c r="Q486" s="1" t="s">
        <v>26</v>
      </c>
      <c r="R486">
        <v>6</v>
      </c>
      <c r="S486" s="1" t="s">
        <v>50</v>
      </c>
      <c r="T486" s="1" t="s">
        <v>58</v>
      </c>
    </row>
    <row r="487" spans="1:20" x14ac:dyDescent="0.25">
      <c r="A487" s="1" t="s">
        <v>20</v>
      </c>
      <c r="B487">
        <v>9</v>
      </c>
      <c r="C487">
        <v>8</v>
      </c>
      <c r="D487">
        <v>1</v>
      </c>
      <c r="E487">
        <v>5</v>
      </c>
      <c r="F487" s="1" t="s">
        <v>46</v>
      </c>
      <c r="G487" s="1" t="s">
        <v>41</v>
      </c>
      <c r="H487" s="1" t="s">
        <v>24</v>
      </c>
      <c r="I487" s="1" t="s">
        <v>24</v>
      </c>
      <c r="J487" s="1" t="s">
        <v>23</v>
      </c>
      <c r="K487" s="1" t="s">
        <v>24</v>
      </c>
      <c r="L487" s="1" t="s">
        <v>24</v>
      </c>
      <c r="M487" s="1" t="s">
        <v>24</v>
      </c>
      <c r="N487" s="1" t="s">
        <v>123</v>
      </c>
      <c r="O487">
        <v>4</v>
      </c>
      <c r="P487">
        <v>826</v>
      </c>
      <c r="Q487" s="1" t="s">
        <v>26</v>
      </c>
      <c r="R487">
        <v>6</v>
      </c>
      <c r="S487" s="1" t="s">
        <v>50</v>
      </c>
      <c r="T487" s="1" t="s">
        <v>58</v>
      </c>
    </row>
    <row r="488" spans="1:20" x14ac:dyDescent="0.25">
      <c r="A488" s="1" t="s">
        <v>20</v>
      </c>
      <c r="B488">
        <v>12</v>
      </c>
      <c r="C488">
        <v>5</v>
      </c>
      <c r="D488">
        <v>1</v>
      </c>
      <c r="E488">
        <v>5</v>
      </c>
      <c r="F488" s="1" t="s">
        <v>55</v>
      </c>
      <c r="G488" s="1" t="s">
        <v>41</v>
      </c>
      <c r="H488" s="1" t="s">
        <v>24</v>
      </c>
      <c r="I488" s="1" t="s">
        <v>24</v>
      </c>
      <c r="J488" s="1" t="s">
        <v>23</v>
      </c>
      <c r="K488" s="1" t="s">
        <v>24</v>
      </c>
      <c r="L488" s="1" t="s">
        <v>24</v>
      </c>
      <c r="M488" s="1" t="s">
        <v>24</v>
      </c>
      <c r="N488" s="1" t="s">
        <v>106</v>
      </c>
      <c r="O488">
        <v>5</v>
      </c>
      <c r="P488">
        <v>2034</v>
      </c>
      <c r="Q488" s="1" t="s">
        <v>26</v>
      </c>
      <c r="R488">
        <v>5</v>
      </c>
      <c r="S488" s="1" t="s">
        <v>57</v>
      </c>
      <c r="T488" s="1" t="s">
        <v>30</v>
      </c>
    </row>
    <row r="489" spans="1:20" x14ac:dyDescent="0.25">
      <c r="A489" s="1" t="s">
        <v>78</v>
      </c>
      <c r="B489">
        <v>10</v>
      </c>
      <c r="C489">
        <v>3</v>
      </c>
      <c r="D489">
        <v>1</v>
      </c>
      <c r="E489">
        <v>5</v>
      </c>
      <c r="F489" s="1" t="s">
        <v>21</v>
      </c>
      <c r="G489" s="1" t="s">
        <v>29</v>
      </c>
      <c r="H489" s="1" t="s">
        <v>24</v>
      </c>
      <c r="I489" s="1" t="s">
        <v>24</v>
      </c>
      <c r="J489" s="1" t="s">
        <v>23</v>
      </c>
      <c r="K489" s="1" t="s">
        <v>24</v>
      </c>
      <c r="L489" s="1" t="s">
        <v>24</v>
      </c>
      <c r="M489" s="1" t="s">
        <v>24</v>
      </c>
      <c r="N489" s="1" t="s">
        <v>108</v>
      </c>
      <c r="O489">
        <v>35</v>
      </c>
      <c r="P489">
        <v>1228</v>
      </c>
      <c r="Q489" s="1" t="s">
        <v>26</v>
      </c>
      <c r="R489">
        <v>4</v>
      </c>
      <c r="S489" s="1" t="s">
        <v>33</v>
      </c>
      <c r="T489" s="1" t="s">
        <v>40</v>
      </c>
    </row>
    <row r="490" spans="1:20" x14ac:dyDescent="0.25">
      <c r="A490" s="1" t="s">
        <v>20</v>
      </c>
      <c r="B490">
        <v>13</v>
      </c>
      <c r="C490">
        <v>7</v>
      </c>
      <c r="D490">
        <v>1</v>
      </c>
      <c r="E490">
        <v>5</v>
      </c>
      <c r="F490" s="1" t="s">
        <v>55</v>
      </c>
      <c r="G490" s="1" t="s">
        <v>29</v>
      </c>
      <c r="H490" s="1" t="s">
        <v>24</v>
      </c>
      <c r="I490" s="1" t="s">
        <v>24</v>
      </c>
      <c r="J490" s="1" t="s">
        <v>23</v>
      </c>
      <c r="K490" s="1" t="s">
        <v>23</v>
      </c>
      <c r="L490" s="1" t="s">
        <v>23</v>
      </c>
      <c r="M490" s="1" t="s">
        <v>24</v>
      </c>
      <c r="N490" s="1" t="s">
        <v>115</v>
      </c>
      <c r="O490">
        <v>3</v>
      </c>
      <c r="P490">
        <v>315</v>
      </c>
      <c r="Q490" s="1" t="s">
        <v>26</v>
      </c>
      <c r="R490">
        <v>4</v>
      </c>
      <c r="S490" s="1" t="s">
        <v>59</v>
      </c>
      <c r="T490" s="1" t="s">
        <v>53</v>
      </c>
    </row>
    <row r="491" spans="1:20" x14ac:dyDescent="0.25">
      <c r="A491" s="1" t="s">
        <v>37</v>
      </c>
      <c r="B491">
        <v>2</v>
      </c>
      <c r="C491">
        <v>1</v>
      </c>
      <c r="D491">
        <v>1</v>
      </c>
      <c r="E491">
        <v>3</v>
      </c>
      <c r="F491" s="1" t="s">
        <v>31</v>
      </c>
      <c r="G491" s="1" t="s">
        <v>32</v>
      </c>
      <c r="H491" s="1" t="s">
        <v>24</v>
      </c>
      <c r="I491" s="1" t="s">
        <v>24</v>
      </c>
      <c r="J491" s="1" t="s">
        <v>23</v>
      </c>
      <c r="K491" s="1" t="s">
        <v>23</v>
      </c>
      <c r="L491" s="1" t="s">
        <v>23</v>
      </c>
      <c r="M491" s="1" t="s">
        <v>24</v>
      </c>
      <c r="N491" s="1" t="s">
        <v>115</v>
      </c>
      <c r="O491">
        <v>3</v>
      </c>
      <c r="P491">
        <v>315</v>
      </c>
      <c r="Q491" s="1" t="s">
        <v>26</v>
      </c>
      <c r="R491">
        <v>3</v>
      </c>
      <c r="S491" s="1" t="s">
        <v>45</v>
      </c>
      <c r="T491" s="1" t="s">
        <v>40</v>
      </c>
    </row>
    <row r="492" spans="1:20" x14ac:dyDescent="0.25">
      <c r="A492" s="1" t="s">
        <v>20</v>
      </c>
      <c r="B492">
        <v>9</v>
      </c>
      <c r="C492">
        <v>3</v>
      </c>
      <c r="D492">
        <v>1</v>
      </c>
      <c r="E492">
        <v>4</v>
      </c>
      <c r="F492" s="1" t="s">
        <v>55</v>
      </c>
      <c r="G492" s="1" t="s">
        <v>32</v>
      </c>
      <c r="H492" s="1" t="s">
        <v>23</v>
      </c>
      <c r="I492" s="1" t="s">
        <v>24</v>
      </c>
      <c r="J492" s="1" t="s">
        <v>23</v>
      </c>
      <c r="K492" s="1" t="s">
        <v>23</v>
      </c>
      <c r="L492" s="1" t="s">
        <v>24</v>
      </c>
      <c r="M492" s="1" t="s">
        <v>24</v>
      </c>
      <c r="N492" s="1" t="s">
        <v>25</v>
      </c>
      <c r="O492">
        <v>3</v>
      </c>
      <c r="P492">
        <v>3773</v>
      </c>
      <c r="Q492" s="1" t="s">
        <v>26</v>
      </c>
      <c r="R492">
        <v>2</v>
      </c>
      <c r="S492" s="1" t="s">
        <v>56</v>
      </c>
      <c r="T492" s="1" t="s">
        <v>34</v>
      </c>
    </row>
    <row r="493" spans="1:20" x14ac:dyDescent="0.25">
      <c r="A493" s="1" t="s">
        <v>20</v>
      </c>
      <c r="B493">
        <v>12</v>
      </c>
      <c r="C493">
        <v>6</v>
      </c>
      <c r="D493">
        <v>1</v>
      </c>
      <c r="E493">
        <v>5</v>
      </c>
      <c r="F493" s="1" t="s">
        <v>21</v>
      </c>
      <c r="G493" s="1" t="s">
        <v>22</v>
      </c>
      <c r="H493" s="1" t="s">
        <v>24</v>
      </c>
      <c r="I493" s="1" t="s">
        <v>24</v>
      </c>
      <c r="J493" s="1" t="s">
        <v>24</v>
      </c>
      <c r="K493" s="1" t="s">
        <v>24</v>
      </c>
      <c r="L493" s="1" t="s">
        <v>24</v>
      </c>
      <c r="M493" s="1" t="s">
        <v>24</v>
      </c>
      <c r="N493" s="1" t="s">
        <v>85</v>
      </c>
      <c r="O493">
        <v>4</v>
      </c>
      <c r="P493">
        <v>1467</v>
      </c>
      <c r="Q493" s="1" t="s">
        <v>26</v>
      </c>
      <c r="R493">
        <v>2</v>
      </c>
      <c r="S493" s="1" t="s">
        <v>27</v>
      </c>
      <c r="T493" s="1" t="s">
        <v>53</v>
      </c>
    </row>
    <row r="494" spans="1:20" x14ac:dyDescent="0.25">
      <c r="A494" s="1" t="s">
        <v>20</v>
      </c>
      <c r="B494">
        <v>13</v>
      </c>
      <c r="C494">
        <v>4</v>
      </c>
      <c r="D494">
        <v>1</v>
      </c>
      <c r="E494">
        <v>4</v>
      </c>
      <c r="F494" s="1" t="s">
        <v>21</v>
      </c>
      <c r="G494" s="1" t="s">
        <v>41</v>
      </c>
      <c r="H494" s="1" t="s">
        <v>24</v>
      </c>
      <c r="I494" s="1" t="s">
        <v>23</v>
      </c>
      <c r="J494" s="1" t="s">
        <v>23</v>
      </c>
      <c r="K494" s="1" t="s">
        <v>23</v>
      </c>
      <c r="L494" s="1" t="s">
        <v>24</v>
      </c>
      <c r="M494" s="1" t="s">
        <v>24</v>
      </c>
      <c r="N494" s="1" t="s">
        <v>105</v>
      </c>
      <c r="O494">
        <v>45</v>
      </c>
      <c r="P494">
        <v>188</v>
      </c>
      <c r="Q494" s="1" t="s">
        <v>26</v>
      </c>
      <c r="R494">
        <v>2</v>
      </c>
      <c r="S494" s="1" t="s">
        <v>60</v>
      </c>
      <c r="T494" s="1" t="s">
        <v>51</v>
      </c>
    </row>
    <row r="495" spans="1:20" x14ac:dyDescent="0.25">
      <c r="A495" s="1" t="s">
        <v>20</v>
      </c>
      <c r="B495">
        <v>12</v>
      </c>
      <c r="C495">
        <v>5</v>
      </c>
      <c r="D495">
        <v>1</v>
      </c>
      <c r="E495">
        <v>5</v>
      </c>
      <c r="F495" s="1" t="s">
        <v>31</v>
      </c>
      <c r="G495" s="1" t="s">
        <v>41</v>
      </c>
      <c r="H495" s="1" t="s">
        <v>24</v>
      </c>
      <c r="I495" s="1" t="s">
        <v>24</v>
      </c>
      <c r="J495" s="1" t="s">
        <v>23</v>
      </c>
      <c r="K495" s="1" t="s">
        <v>24</v>
      </c>
      <c r="L495" s="1" t="s">
        <v>24</v>
      </c>
      <c r="M495" s="1" t="s">
        <v>24</v>
      </c>
      <c r="N495" s="1" t="s">
        <v>92</v>
      </c>
      <c r="O495">
        <v>5</v>
      </c>
      <c r="P495">
        <v>2959</v>
      </c>
      <c r="Q495" s="1" t="s">
        <v>26</v>
      </c>
      <c r="R495">
        <v>1</v>
      </c>
      <c r="S495" s="1" t="s">
        <v>39</v>
      </c>
      <c r="T495" s="1" t="s">
        <v>58</v>
      </c>
    </row>
    <row r="496" spans="1:20" x14ac:dyDescent="0.25">
      <c r="A496" s="1" t="s">
        <v>37</v>
      </c>
      <c r="B496">
        <v>3</v>
      </c>
      <c r="C496">
        <v>0</v>
      </c>
      <c r="D496">
        <v>1</v>
      </c>
      <c r="E496">
        <v>5</v>
      </c>
      <c r="F496" s="1" t="s">
        <v>31</v>
      </c>
      <c r="G496" s="1" t="s">
        <v>41</v>
      </c>
      <c r="H496" s="1" t="s">
        <v>24</v>
      </c>
      <c r="I496" s="1" t="s">
        <v>23</v>
      </c>
      <c r="J496" s="1" t="s">
        <v>23</v>
      </c>
      <c r="K496" s="1" t="s">
        <v>23</v>
      </c>
      <c r="L496" s="1" t="s">
        <v>24</v>
      </c>
      <c r="M496" s="1" t="s">
        <v>24</v>
      </c>
      <c r="N496" s="1" t="s">
        <v>105</v>
      </c>
      <c r="O496">
        <v>45</v>
      </c>
      <c r="P496">
        <v>188</v>
      </c>
      <c r="Q496" s="1" t="s">
        <v>26</v>
      </c>
      <c r="R496">
        <v>1</v>
      </c>
      <c r="S496" s="1" t="s">
        <v>42</v>
      </c>
      <c r="T496" s="1" t="s">
        <v>40</v>
      </c>
    </row>
    <row r="497" spans="1:20" x14ac:dyDescent="0.25">
      <c r="A497" s="1" t="s">
        <v>43</v>
      </c>
      <c r="B497">
        <v>4</v>
      </c>
      <c r="C497">
        <v>4</v>
      </c>
      <c r="D497">
        <v>1</v>
      </c>
      <c r="E497">
        <v>4</v>
      </c>
      <c r="F497" s="1" t="s">
        <v>21</v>
      </c>
      <c r="G497" s="1" t="s">
        <v>29</v>
      </c>
      <c r="H497" s="1" t="s">
        <v>24</v>
      </c>
      <c r="I497" s="1" t="s">
        <v>24</v>
      </c>
      <c r="J497" s="1" t="s">
        <v>23</v>
      </c>
      <c r="K497" s="1" t="s">
        <v>24</v>
      </c>
      <c r="L497" s="1" t="s">
        <v>24</v>
      </c>
      <c r="M497" s="1" t="s">
        <v>24</v>
      </c>
      <c r="N497" s="1" t="s">
        <v>120</v>
      </c>
      <c r="O497">
        <v>5</v>
      </c>
      <c r="P497">
        <v>3933</v>
      </c>
      <c r="Q497" s="1" t="s">
        <v>44</v>
      </c>
      <c r="R497">
        <v>1</v>
      </c>
      <c r="S497" s="1" t="s">
        <v>60</v>
      </c>
      <c r="T497" s="1" t="s">
        <v>58</v>
      </c>
    </row>
    <row r="498" spans="1:20" x14ac:dyDescent="0.25">
      <c r="A498" s="1" t="s">
        <v>20</v>
      </c>
      <c r="B498">
        <v>1</v>
      </c>
      <c r="C498">
        <v>0</v>
      </c>
      <c r="D498">
        <v>1</v>
      </c>
      <c r="E498">
        <v>5</v>
      </c>
      <c r="F498" s="1" t="s">
        <v>31</v>
      </c>
      <c r="G498" s="1" t="s">
        <v>41</v>
      </c>
      <c r="H498" s="1" t="s">
        <v>24</v>
      </c>
      <c r="I498" s="1" t="s">
        <v>24</v>
      </c>
      <c r="J498" s="1" t="s">
        <v>23</v>
      </c>
      <c r="K498" s="1" t="s">
        <v>24</v>
      </c>
      <c r="L498" s="1" t="s">
        <v>24</v>
      </c>
      <c r="M498" s="1" t="s">
        <v>24</v>
      </c>
      <c r="N498" s="1" t="s">
        <v>102</v>
      </c>
      <c r="O498">
        <v>5</v>
      </c>
      <c r="P498">
        <v>1282</v>
      </c>
      <c r="Q498" s="1" t="s">
        <v>26</v>
      </c>
      <c r="R498">
        <v>0</v>
      </c>
      <c r="S498" s="1" t="s">
        <v>42</v>
      </c>
      <c r="T498" s="1" t="s">
        <v>51</v>
      </c>
    </row>
    <row r="499" spans="1:20" x14ac:dyDescent="0.25">
      <c r="A499" s="1" t="s">
        <v>81</v>
      </c>
      <c r="B499">
        <v>1</v>
      </c>
      <c r="C499">
        <v>0</v>
      </c>
      <c r="D499">
        <v>1</v>
      </c>
      <c r="E499">
        <v>2</v>
      </c>
      <c r="F499" s="1" t="s">
        <v>55</v>
      </c>
      <c r="G499" s="1" t="s">
        <v>41</v>
      </c>
      <c r="H499" s="1" t="s">
        <v>24</v>
      </c>
      <c r="I499" s="1" t="s">
        <v>24</v>
      </c>
      <c r="J499" s="1" t="s">
        <v>23</v>
      </c>
      <c r="K499" s="1" t="s">
        <v>24</v>
      </c>
      <c r="L499" s="1" t="s">
        <v>24</v>
      </c>
      <c r="M499" s="1" t="s">
        <v>24</v>
      </c>
      <c r="N499" s="1" t="s">
        <v>102</v>
      </c>
      <c r="O499">
        <v>5</v>
      </c>
      <c r="P499">
        <v>1282</v>
      </c>
      <c r="Q499" s="1" t="s">
        <v>36</v>
      </c>
      <c r="R499">
        <v>0</v>
      </c>
      <c r="S499" s="1" t="s">
        <v>59</v>
      </c>
      <c r="T499" s="1" t="s">
        <v>51</v>
      </c>
    </row>
    <row r="500" spans="1:20" x14ac:dyDescent="0.25">
      <c r="A500" s="1" t="s">
        <v>20</v>
      </c>
      <c r="B500">
        <v>2</v>
      </c>
      <c r="C500">
        <v>0</v>
      </c>
      <c r="D500">
        <v>1</v>
      </c>
      <c r="E500">
        <v>5</v>
      </c>
      <c r="F500" s="1" t="s">
        <v>46</v>
      </c>
      <c r="G500" s="1" t="s">
        <v>41</v>
      </c>
      <c r="H500" s="1" t="s">
        <v>24</v>
      </c>
      <c r="I500" s="1" t="s">
        <v>23</v>
      </c>
      <c r="J500" s="1" t="s">
        <v>23</v>
      </c>
      <c r="K500" s="1" t="s">
        <v>23</v>
      </c>
      <c r="L500" s="1" t="s">
        <v>24</v>
      </c>
      <c r="M500" s="1" t="s">
        <v>24</v>
      </c>
      <c r="N500" s="1" t="s">
        <v>105</v>
      </c>
      <c r="O500">
        <v>45</v>
      </c>
      <c r="P500">
        <v>188</v>
      </c>
      <c r="Q500" s="1" t="s">
        <v>26</v>
      </c>
      <c r="R500">
        <v>0</v>
      </c>
      <c r="S500" s="1" t="s">
        <v>47</v>
      </c>
      <c r="T500" s="1" t="s">
        <v>51</v>
      </c>
    </row>
    <row r="501" spans="1:20" x14ac:dyDescent="0.25">
      <c r="A501" s="1" t="s">
        <v>20</v>
      </c>
      <c r="B501">
        <v>4</v>
      </c>
      <c r="C501">
        <v>4</v>
      </c>
      <c r="D501">
        <v>1</v>
      </c>
      <c r="E501">
        <v>3</v>
      </c>
      <c r="F501" s="1" t="s">
        <v>55</v>
      </c>
      <c r="G501" s="1" t="s">
        <v>32</v>
      </c>
      <c r="H501" s="1" t="s">
        <v>24</v>
      </c>
      <c r="I501" s="1" t="s">
        <v>24</v>
      </c>
      <c r="J501" s="1" t="s">
        <v>23</v>
      </c>
      <c r="K501" s="1" t="s">
        <v>24</v>
      </c>
      <c r="L501" s="1" t="s">
        <v>24</v>
      </c>
      <c r="M501" s="1" t="s">
        <v>24</v>
      </c>
      <c r="N501" s="1" t="s">
        <v>108</v>
      </c>
      <c r="O501">
        <v>35</v>
      </c>
      <c r="P501">
        <v>1228</v>
      </c>
      <c r="Q501" s="1" t="s">
        <v>26</v>
      </c>
      <c r="R501">
        <v>0</v>
      </c>
      <c r="S501" s="1" t="s">
        <v>59</v>
      </c>
      <c r="T501" s="1" t="s">
        <v>51</v>
      </c>
    </row>
    <row r="502" spans="1:20" x14ac:dyDescent="0.25">
      <c r="A502" s="1" t="s">
        <v>48</v>
      </c>
      <c r="B502">
        <v>3</v>
      </c>
      <c r="C502">
        <v>3</v>
      </c>
      <c r="D502">
        <v>0</v>
      </c>
      <c r="E502">
        <v>4</v>
      </c>
      <c r="F502" s="1" t="s">
        <v>46</v>
      </c>
      <c r="G502" s="1" t="s">
        <v>22</v>
      </c>
      <c r="H502" s="1" t="s">
        <v>24</v>
      </c>
      <c r="I502" s="1" t="s">
        <v>24</v>
      </c>
      <c r="J502" s="1" t="s">
        <v>23</v>
      </c>
      <c r="K502" s="1" t="s">
        <v>24</v>
      </c>
      <c r="L502" s="1" t="s">
        <v>24</v>
      </c>
      <c r="M502" s="1" t="s">
        <v>24</v>
      </c>
      <c r="N502" s="1" t="s">
        <v>92</v>
      </c>
      <c r="O502">
        <v>5</v>
      </c>
      <c r="P502">
        <v>2959</v>
      </c>
      <c r="Q502" s="1" t="s">
        <v>49</v>
      </c>
      <c r="R502">
        <v>7</v>
      </c>
      <c r="S502" s="1" t="s">
        <v>50</v>
      </c>
      <c r="T502" s="1" t="s">
        <v>40</v>
      </c>
    </row>
    <row r="503" spans="1:20" x14ac:dyDescent="0.25">
      <c r="A503" s="1" t="s">
        <v>20</v>
      </c>
      <c r="B503">
        <v>4</v>
      </c>
      <c r="C503">
        <v>4</v>
      </c>
      <c r="D503">
        <v>0</v>
      </c>
      <c r="E503">
        <v>5</v>
      </c>
      <c r="F503" s="1" t="s">
        <v>21</v>
      </c>
      <c r="G503" s="1" t="s">
        <v>41</v>
      </c>
      <c r="H503" s="1" t="s">
        <v>24</v>
      </c>
      <c r="I503" s="1" t="s">
        <v>23</v>
      </c>
      <c r="J503" s="1" t="s">
        <v>23</v>
      </c>
      <c r="K503" s="1" t="s">
        <v>23</v>
      </c>
      <c r="L503" s="1" t="s">
        <v>24</v>
      </c>
      <c r="M503" s="1" t="s">
        <v>24</v>
      </c>
      <c r="N503" s="1" t="s">
        <v>105</v>
      </c>
      <c r="O503">
        <v>45</v>
      </c>
      <c r="P503">
        <v>188</v>
      </c>
      <c r="Q503" s="1" t="s">
        <v>26</v>
      </c>
      <c r="R503">
        <v>2</v>
      </c>
      <c r="S503" s="1" t="s">
        <v>33</v>
      </c>
      <c r="T503" s="1" t="s">
        <v>58</v>
      </c>
    </row>
    <row r="504" spans="1:20" x14ac:dyDescent="0.25">
      <c r="A504" s="1" t="s">
        <v>35</v>
      </c>
      <c r="B504">
        <v>3</v>
      </c>
      <c r="C504">
        <v>3</v>
      </c>
      <c r="D504">
        <v>0</v>
      </c>
      <c r="E504">
        <v>3</v>
      </c>
      <c r="F504" s="1" t="s">
        <v>46</v>
      </c>
      <c r="G504" s="1" t="s">
        <v>22</v>
      </c>
      <c r="H504" s="1" t="s">
        <v>23</v>
      </c>
      <c r="I504" s="1" t="s">
        <v>24</v>
      </c>
      <c r="J504" s="1" t="s">
        <v>23</v>
      </c>
      <c r="K504" s="1" t="s">
        <v>23</v>
      </c>
      <c r="L504" s="1" t="s">
        <v>24</v>
      </c>
      <c r="M504" s="1" t="s">
        <v>24</v>
      </c>
      <c r="N504" s="1" t="s">
        <v>25</v>
      </c>
      <c r="O504">
        <v>3</v>
      </c>
      <c r="P504">
        <v>3773</v>
      </c>
      <c r="Q504" s="1" t="s">
        <v>36</v>
      </c>
      <c r="R504">
        <v>1</v>
      </c>
      <c r="S504" s="1" t="s">
        <v>52</v>
      </c>
      <c r="T504" s="1" t="s">
        <v>53</v>
      </c>
    </row>
    <row r="505" spans="1:20" x14ac:dyDescent="0.25">
      <c r="A505" s="1" t="s">
        <v>54</v>
      </c>
      <c r="B505">
        <v>8</v>
      </c>
      <c r="C505">
        <v>4</v>
      </c>
      <c r="D505">
        <v>0</v>
      </c>
      <c r="E505">
        <v>4</v>
      </c>
      <c r="F505" s="1" t="s">
        <v>31</v>
      </c>
      <c r="G505" s="1" t="s">
        <v>41</v>
      </c>
      <c r="H505" s="1" t="s">
        <v>24</v>
      </c>
      <c r="I505" s="1" t="s">
        <v>24</v>
      </c>
      <c r="J505" s="1" t="s">
        <v>24</v>
      </c>
      <c r="K505" s="1" t="s">
        <v>24</v>
      </c>
      <c r="L505" s="1" t="s">
        <v>24</v>
      </c>
      <c r="M505" s="1" t="s">
        <v>24</v>
      </c>
      <c r="N505" s="1" t="s">
        <v>85</v>
      </c>
      <c r="O505">
        <v>4</v>
      </c>
      <c r="P505">
        <v>1467</v>
      </c>
      <c r="Q505" s="1" t="s">
        <v>49</v>
      </c>
      <c r="R505">
        <v>1</v>
      </c>
      <c r="S505" s="1" t="s">
        <v>45</v>
      </c>
      <c r="T505" s="1" t="s">
        <v>40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2DD09-8BB4-43BC-8949-477C46164BE0}">
  <sheetPr codeName="Sheet2">
    <tabColor theme="1" tint="0.34998626667073579"/>
  </sheetPr>
  <dimension ref="A1:L467"/>
  <sheetViews>
    <sheetView tabSelected="1" workbookViewId="0">
      <selection activeCell="D2" sqref="D2"/>
    </sheetView>
  </sheetViews>
  <sheetFormatPr defaultColWidth="8.85546875" defaultRowHeight="15" x14ac:dyDescent="0.25"/>
  <cols>
    <col min="1" max="1" width="13.42578125" bestFit="1" customWidth="1"/>
    <col min="2" max="2" width="18.7109375" bestFit="1" customWidth="1"/>
    <col min="3" max="3" width="15.140625" bestFit="1" customWidth="1"/>
    <col min="4" max="4" width="8.140625" bestFit="1" customWidth="1"/>
    <col min="5" max="5" width="15.42578125" bestFit="1" customWidth="1"/>
    <col min="6" max="6" width="15" bestFit="1" customWidth="1"/>
    <col min="7" max="7" width="14.140625" bestFit="1" customWidth="1"/>
    <col min="8" max="8" width="12.7109375" bestFit="1" customWidth="1"/>
    <col min="9" max="9" width="12" bestFit="1" customWidth="1"/>
    <col min="10" max="10" width="16.42578125" bestFit="1" customWidth="1"/>
    <col min="11" max="11" width="16.140625" bestFit="1" customWidth="1"/>
    <col min="12" max="12" width="18.42578125" bestFit="1" customWidth="1"/>
  </cols>
  <sheetData>
    <row r="1" spans="1:12" x14ac:dyDescent="0.25">
      <c r="A1" t="s">
        <v>1</v>
      </c>
      <c r="B1" t="s">
        <v>2</v>
      </c>
      <c r="C1" t="s">
        <v>3</v>
      </c>
      <c r="D1" t="s">
        <v>4</v>
      </c>
      <c r="E1" t="s">
        <v>5</v>
      </c>
      <c r="F1" t="s">
        <v>6</v>
      </c>
      <c r="G1" t="s">
        <v>9</v>
      </c>
      <c r="H1" t="s">
        <v>14</v>
      </c>
      <c r="I1" t="s">
        <v>15</v>
      </c>
      <c r="J1" t="s">
        <v>16</v>
      </c>
      <c r="K1" t="s">
        <v>17</v>
      </c>
      <c r="L1" t="s">
        <v>19</v>
      </c>
    </row>
    <row r="2" spans="1:12" x14ac:dyDescent="0.25">
      <c r="A2">
        <v>131</v>
      </c>
      <c r="B2">
        <v>61</v>
      </c>
      <c r="C2">
        <v>116</v>
      </c>
      <c r="D2">
        <v>3</v>
      </c>
      <c r="E2" s="1" t="s">
        <v>55</v>
      </c>
      <c r="F2" s="1" t="s">
        <v>32</v>
      </c>
      <c r="G2" s="1" t="s">
        <v>23</v>
      </c>
      <c r="H2">
        <v>4.5</v>
      </c>
      <c r="I2">
        <v>188</v>
      </c>
      <c r="J2" s="1" t="s">
        <v>26</v>
      </c>
      <c r="K2">
        <v>8</v>
      </c>
      <c r="L2" s="1" t="s">
        <v>28</v>
      </c>
    </row>
    <row r="3" spans="1:12" x14ac:dyDescent="0.25">
      <c r="A3">
        <v>20</v>
      </c>
      <c r="B3">
        <v>19</v>
      </c>
      <c r="C3">
        <v>112</v>
      </c>
      <c r="D3">
        <v>4</v>
      </c>
      <c r="E3" s="1" t="s">
        <v>21</v>
      </c>
      <c r="F3" s="1" t="s">
        <v>32</v>
      </c>
      <c r="G3" s="1" t="s">
        <v>23</v>
      </c>
      <c r="H3">
        <v>4</v>
      </c>
      <c r="I3">
        <v>826</v>
      </c>
      <c r="J3" s="1" t="s">
        <v>26</v>
      </c>
      <c r="K3">
        <v>5</v>
      </c>
      <c r="L3" s="1" t="s">
        <v>40</v>
      </c>
    </row>
    <row r="4" spans="1:12" x14ac:dyDescent="0.25">
      <c r="A4">
        <v>41</v>
      </c>
      <c r="B4">
        <v>9</v>
      </c>
      <c r="C4">
        <v>111</v>
      </c>
      <c r="D4">
        <v>5</v>
      </c>
      <c r="E4" s="1" t="s">
        <v>21</v>
      </c>
      <c r="F4" s="1" t="s">
        <v>29</v>
      </c>
      <c r="G4" s="1" t="s">
        <v>23</v>
      </c>
      <c r="H4">
        <v>5</v>
      </c>
      <c r="I4">
        <v>3933</v>
      </c>
      <c r="J4" s="1" t="s">
        <v>26</v>
      </c>
      <c r="K4">
        <v>1</v>
      </c>
      <c r="L4" s="1" t="s">
        <v>30</v>
      </c>
    </row>
    <row r="5" spans="1:12" x14ac:dyDescent="0.25">
      <c r="A5">
        <v>88</v>
      </c>
      <c r="B5">
        <v>15</v>
      </c>
      <c r="C5">
        <v>103</v>
      </c>
      <c r="D5">
        <v>4</v>
      </c>
      <c r="E5" s="1" t="s">
        <v>31</v>
      </c>
      <c r="F5" s="1" t="s">
        <v>29</v>
      </c>
      <c r="G5" s="1" t="s">
        <v>24</v>
      </c>
      <c r="H5">
        <v>4</v>
      </c>
      <c r="I5">
        <v>1467</v>
      </c>
      <c r="J5" s="1" t="s">
        <v>44</v>
      </c>
      <c r="K5">
        <v>3</v>
      </c>
      <c r="L5" s="1" t="s">
        <v>58</v>
      </c>
    </row>
    <row r="6" spans="1:12" x14ac:dyDescent="0.25">
      <c r="A6">
        <v>67</v>
      </c>
      <c r="B6">
        <v>46</v>
      </c>
      <c r="C6">
        <v>99</v>
      </c>
      <c r="D6">
        <v>5</v>
      </c>
      <c r="E6" s="1" t="s">
        <v>46</v>
      </c>
      <c r="F6" s="1" t="s">
        <v>41</v>
      </c>
      <c r="G6" s="1" t="s">
        <v>24</v>
      </c>
      <c r="H6">
        <v>5</v>
      </c>
      <c r="I6">
        <v>2700</v>
      </c>
      <c r="J6" s="1" t="s">
        <v>26</v>
      </c>
      <c r="K6">
        <v>6</v>
      </c>
      <c r="L6" s="1" t="s">
        <v>53</v>
      </c>
    </row>
    <row r="7" spans="1:12" x14ac:dyDescent="0.25">
      <c r="A7">
        <v>73</v>
      </c>
      <c r="B7">
        <v>32</v>
      </c>
      <c r="C7">
        <v>99</v>
      </c>
      <c r="D7">
        <v>4</v>
      </c>
      <c r="E7" s="1" t="s">
        <v>31</v>
      </c>
      <c r="F7" s="1" t="s">
        <v>22</v>
      </c>
      <c r="G7" s="1" t="s">
        <v>23</v>
      </c>
      <c r="H7">
        <v>5</v>
      </c>
      <c r="I7">
        <v>2034</v>
      </c>
      <c r="J7" s="1" t="s">
        <v>83</v>
      </c>
      <c r="K7">
        <v>10</v>
      </c>
      <c r="L7" s="1" t="s">
        <v>28</v>
      </c>
    </row>
    <row r="8" spans="1:12" x14ac:dyDescent="0.25">
      <c r="A8">
        <v>103</v>
      </c>
      <c r="B8">
        <v>5</v>
      </c>
      <c r="C8">
        <v>98</v>
      </c>
      <c r="D8">
        <v>5</v>
      </c>
      <c r="E8" s="1" t="s">
        <v>55</v>
      </c>
      <c r="F8" s="1" t="s">
        <v>41</v>
      </c>
      <c r="G8" s="1" t="s">
        <v>23</v>
      </c>
      <c r="H8">
        <v>5</v>
      </c>
      <c r="I8">
        <v>2959</v>
      </c>
      <c r="J8" s="1" t="s">
        <v>26</v>
      </c>
      <c r="K8">
        <v>7</v>
      </c>
      <c r="L8" s="1" t="s">
        <v>58</v>
      </c>
    </row>
    <row r="9" spans="1:12" x14ac:dyDescent="0.25">
      <c r="A9">
        <v>75</v>
      </c>
      <c r="B9">
        <v>19</v>
      </c>
      <c r="C9">
        <v>93</v>
      </c>
      <c r="D9">
        <v>4</v>
      </c>
      <c r="E9" s="1" t="s">
        <v>46</v>
      </c>
      <c r="F9" s="1" t="s">
        <v>22</v>
      </c>
      <c r="G9" s="1" t="s">
        <v>23</v>
      </c>
      <c r="H9">
        <v>5</v>
      </c>
      <c r="I9">
        <v>3025</v>
      </c>
      <c r="J9" s="1" t="s">
        <v>36</v>
      </c>
      <c r="K9">
        <v>8</v>
      </c>
      <c r="L9" s="1" t="s">
        <v>53</v>
      </c>
    </row>
    <row r="10" spans="1:12" x14ac:dyDescent="0.25">
      <c r="A10">
        <v>160</v>
      </c>
      <c r="B10">
        <v>34</v>
      </c>
      <c r="C10">
        <v>88</v>
      </c>
      <c r="D10">
        <v>4</v>
      </c>
      <c r="E10" s="1" t="s">
        <v>21</v>
      </c>
      <c r="F10" s="1" t="s">
        <v>29</v>
      </c>
      <c r="G10" s="1" t="s">
        <v>23</v>
      </c>
      <c r="H10">
        <v>3.5</v>
      </c>
      <c r="I10">
        <v>732</v>
      </c>
      <c r="J10" s="1" t="s">
        <v>26</v>
      </c>
      <c r="K10">
        <v>6</v>
      </c>
      <c r="L10" s="1" t="s">
        <v>34</v>
      </c>
    </row>
    <row r="11" spans="1:12" x14ac:dyDescent="0.25">
      <c r="A11">
        <v>46</v>
      </c>
      <c r="B11">
        <v>12</v>
      </c>
      <c r="C11">
        <v>87</v>
      </c>
      <c r="D11">
        <v>5</v>
      </c>
      <c r="E11" s="1" t="s">
        <v>21</v>
      </c>
      <c r="F11" s="1" t="s">
        <v>41</v>
      </c>
      <c r="G11" s="1" t="s">
        <v>23</v>
      </c>
      <c r="H11">
        <v>5</v>
      </c>
      <c r="I11">
        <v>2034</v>
      </c>
      <c r="J11" s="1" t="s">
        <v>26</v>
      </c>
      <c r="K11">
        <v>3</v>
      </c>
      <c r="L11" s="1" t="s">
        <v>40</v>
      </c>
    </row>
    <row r="12" spans="1:12" x14ac:dyDescent="0.25">
      <c r="A12">
        <v>139</v>
      </c>
      <c r="B12">
        <v>20</v>
      </c>
      <c r="C12">
        <v>86</v>
      </c>
      <c r="D12">
        <v>5</v>
      </c>
      <c r="E12" s="1" t="s">
        <v>31</v>
      </c>
      <c r="F12" s="1" t="s">
        <v>22</v>
      </c>
      <c r="G12" s="1" t="s">
        <v>23</v>
      </c>
      <c r="H12">
        <v>5</v>
      </c>
      <c r="I12">
        <v>2034</v>
      </c>
      <c r="J12" s="1" t="s">
        <v>36</v>
      </c>
      <c r="K12">
        <v>5</v>
      </c>
      <c r="L12" s="1" t="s">
        <v>58</v>
      </c>
    </row>
    <row r="13" spans="1:12" x14ac:dyDescent="0.25">
      <c r="A13">
        <v>161</v>
      </c>
      <c r="B13">
        <v>33</v>
      </c>
      <c r="C13">
        <v>85</v>
      </c>
      <c r="D13">
        <v>4</v>
      </c>
      <c r="E13" s="1" t="s">
        <v>21</v>
      </c>
      <c r="F13" s="1" t="s">
        <v>41</v>
      </c>
      <c r="G13" s="1" t="s">
        <v>23</v>
      </c>
      <c r="H13">
        <v>5</v>
      </c>
      <c r="I13">
        <v>3348</v>
      </c>
      <c r="J13" s="1" t="s">
        <v>26</v>
      </c>
      <c r="K13">
        <v>3</v>
      </c>
      <c r="L13" s="1" t="s">
        <v>30</v>
      </c>
    </row>
    <row r="14" spans="1:12" x14ac:dyDescent="0.25">
      <c r="A14">
        <v>164</v>
      </c>
      <c r="B14">
        <v>48</v>
      </c>
      <c r="C14">
        <v>82</v>
      </c>
      <c r="D14">
        <v>5</v>
      </c>
      <c r="E14" s="1" t="s">
        <v>21</v>
      </c>
      <c r="F14" s="1" t="s">
        <v>41</v>
      </c>
      <c r="G14" s="1" t="s">
        <v>24</v>
      </c>
      <c r="H14">
        <v>5</v>
      </c>
      <c r="I14">
        <v>2700</v>
      </c>
      <c r="J14" s="1" t="s">
        <v>26</v>
      </c>
      <c r="K14">
        <v>4</v>
      </c>
      <c r="L14" s="1" t="s">
        <v>34</v>
      </c>
    </row>
    <row r="15" spans="1:12" x14ac:dyDescent="0.25">
      <c r="A15">
        <v>127</v>
      </c>
      <c r="B15">
        <v>40</v>
      </c>
      <c r="C15">
        <v>81</v>
      </c>
      <c r="D15">
        <v>4</v>
      </c>
      <c r="E15" s="1" t="s">
        <v>21</v>
      </c>
      <c r="F15" s="1" t="s">
        <v>41</v>
      </c>
      <c r="G15" s="1" t="s">
        <v>23</v>
      </c>
      <c r="H15">
        <v>5</v>
      </c>
      <c r="I15">
        <v>2034</v>
      </c>
      <c r="J15" s="1" t="s">
        <v>36</v>
      </c>
      <c r="K15">
        <v>8</v>
      </c>
      <c r="L15" s="1" t="s">
        <v>28</v>
      </c>
    </row>
    <row r="16" spans="1:12" x14ac:dyDescent="0.25">
      <c r="A16">
        <v>153</v>
      </c>
      <c r="B16">
        <v>38</v>
      </c>
      <c r="C16">
        <v>81</v>
      </c>
      <c r="D16">
        <v>5</v>
      </c>
      <c r="E16" s="1" t="s">
        <v>21</v>
      </c>
      <c r="F16" s="1" t="s">
        <v>32</v>
      </c>
      <c r="G16" s="1" t="s">
        <v>23</v>
      </c>
      <c r="H16">
        <v>5</v>
      </c>
      <c r="I16">
        <v>3348</v>
      </c>
      <c r="J16" s="1" t="s">
        <v>26</v>
      </c>
      <c r="K16">
        <v>10</v>
      </c>
      <c r="L16" s="1" t="s">
        <v>40</v>
      </c>
    </row>
    <row r="17" spans="1:12" x14ac:dyDescent="0.25">
      <c r="A17">
        <v>127</v>
      </c>
      <c r="B17">
        <v>40</v>
      </c>
      <c r="C17">
        <v>80</v>
      </c>
      <c r="D17">
        <v>5</v>
      </c>
      <c r="E17" s="1" t="s">
        <v>21</v>
      </c>
      <c r="F17" s="1" t="s">
        <v>41</v>
      </c>
      <c r="G17" s="1" t="s">
        <v>23</v>
      </c>
      <c r="H17">
        <v>5</v>
      </c>
      <c r="I17">
        <v>2959</v>
      </c>
      <c r="J17" s="1" t="s">
        <v>36</v>
      </c>
      <c r="K17">
        <v>8</v>
      </c>
      <c r="L17" s="1" t="s">
        <v>51</v>
      </c>
    </row>
    <row r="18" spans="1:12" x14ac:dyDescent="0.25">
      <c r="A18">
        <v>36</v>
      </c>
      <c r="B18">
        <v>30</v>
      </c>
      <c r="C18">
        <v>80</v>
      </c>
      <c r="D18">
        <v>5</v>
      </c>
      <c r="E18" s="1" t="s">
        <v>31</v>
      </c>
      <c r="F18" s="1" t="s">
        <v>32</v>
      </c>
      <c r="G18" s="1" t="s">
        <v>23</v>
      </c>
      <c r="H18">
        <v>5</v>
      </c>
      <c r="I18">
        <v>3025</v>
      </c>
      <c r="J18" s="1" t="s">
        <v>26</v>
      </c>
      <c r="K18">
        <v>8</v>
      </c>
      <c r="L18" s="1" t="s">
        <v>30</v>
      </c>
    </row>
    <row r="19" spans="1:12" x14ac:dyDescent="0.25">
      <c r="A19">
        <v>52</v>
      </c>
      <c r="B19">
        <v>48</v>
      </c>
      <c r="C19">
        <v>78</v>
      </c>
      <c r="D19">
        <v>3</v>
      </c>
      <c r="E19" s="1" t="s">
        <v>55</v>
      </c>
      <c r="F19" s="1" t="s">
        <v>22</v>
      </c>
      <c r="G19" s="1" t="s">
        <v>23</v>
      </c>
      <c r="H19">
        <v>5</v>
      </c>
      <c r="I19">
        <v>3025</v>
      </c>
      <c r="J19" s="1" t="s">
        <v>36</v>
      </c>
      <c r="K19">
        <v>8</v>
      </c>
      <c r="L19" s="1" t="s">
        <v>34</v>
      </c>
    </row>
    <row r="20" spans="1:12" x14ac:dyDescent="0.25">
      <c r="A20">
        <v>159</v>
      </c>
      <c r="B20">
        <v>43</v>
      </c>
      <c r="C20">
        <v>78</v>
      </c>
      <c r="D20">
        <v>5</v>
      </c>
      <c r="E20" s="1" t="s">
        <v>55</v>
      </c>
      <c r="F20" s="1" t="s">
        <v>32</v>
      </c>
      <c r="G20" s="1" t="s">
        <v>23</v>
      </c>
      <c r="H20">
        <v>3.5</v>
      </c>
      <c r="I20">
        <v>732</v>
      </c>
      <c r="J20" s="1" t="s">
        <v>26</v>
      </c>
      <c r="K20">
        <v>4</v>
      </c>
      <c r="L20" s="1" t="s">
        <v>51</v>
      </c>
    </row>
    <row r="21" spans="1:12" x14ac:dyDescent="0.25">
      <c r="A21">
        <v>110</v>
      </c>
      <c r="B21">
        <v>19</v>
      </c>
      <c r="C21">
        <v>76</v>
      </c>
      <c r="D21">
        <v>4</v>
      </c>
      <c r="E21" s="1" t="s">
        <v>21</v>
      </c>
      <c r="F21" s="1" t="s">
        <v>29</v>
      </c>
      <c r="G21" s="1" t="s">
        <v>23</v>
      </c>
      <c r="H21">
        <v>5</v>
      </c>
      <c r="I21">
        <v>1282</v>
      </c>
      <c r="J21" s="1" t="s">
        <v>26</v>
      </c>
      <c r="K21">
        <v>2</v>
      </c>
      <c r="L21" s="1" t="s">
        <v>40</v>
      </c>
    </row>
    <row r="22" spans="1:12" x14ac:dyDescent="0.25">
      <c r="A22">
        <v>119</v>
      </c>
      <c r="B22">
        <v>21</v>
      </c>
      <c r="C22">
        <v>75</v>
      </c>
      <c r="D22">
        <v>3</v>
      </c>
      <c r="E22" s="1" t="s">
        <v>21</v>
      </c>
      <c r="F22" s="1" t="s">
        <v>29</v>
      </c>
      <c r="G22" s="1" t="s">
        <v>23</v>
      </c>
      <c r="H22">
        <v>3</v>
      </c>
      <c r="I22">
        <v>3773</v>
      </c>
      <c r="J22" s="1" t="s">
        <v>26</v>
      </c>
      <c r="K22">
        <v>3</v>
      </c>
      <c r="L22" s="1" t="s">
        <v>30</v>
      </c>
    </row>
    <row r="23" spans="1:12" x14ac:dyDescent="0.25">
      <c r="A23">
        <v>17</v>
      </c>
      <c r="B23">
        <v>17</v>
      </c>
      <c r="C23">
        <v>74</v>
      </c>
      <c r="D23">
        <v>5</v>
      </c>
      <c r="E23" s="1" t="s">
        <v>31</v>
      </c>
      <c r="F23" s="1" t="s">
        <v>41</v>
      </c>
      <c r="G23" s="1" t="s">
        <v>23</v>
      </c>
      <c r="H23">
        <v>5</v>
      </c>
      <c r="I23">
        <v>2959</v>
      </c>
      <c r="J23" s="1" t="s">
        <v>26</v>
      </c>
      <c r="K23">
        <v>10</v>
      </c>
      <c r="L23" s="1" t="s">
        <v>34</v>
      </c>
    </row>
    <row r="24" spans="1:12" x14ac:dyDescent="0.25">
      <c r="A24">
        <v>65</v>
      </c>
      <c r="B24">
        <v>24</v>
      </c>
      <c r="C24">
        <v>72</v>
      </c>
      <c r="D24">
        <v>3</v>
      </c>
      <c r="E24" s="1" t="s">
        <v>21</v>
      </c>
      <c r="F24" s="1" t="s">
        <v>29</v>
      </c>
      <c r="G24" s="1" t="s">
        <v>23</v>
      </c>
      <c r="H24">
        <v>3</v>
      </c>
      <c r="I24">
        <v>315</v>
      </c>
      <c r="J24" s="1" t="s">
        <v>26</v>
      </c>
      <c r="K24">
        <v>6</v>
      </c>
      <c r="L24" s="1" t="s">
        <v>58</v>
      </c>
    </row>
    <row r="25" spans="1:12" x14ac:dyDescent="0.25">
      <c r="A25">
        <v>57</v>
      </c>
      <c r="B25">
        <v>20</v>
      </c>
      <c r="C25">
        <v>71</v>
      </c>
      <c r="D25">
        <v>5</v>
      </c>
      <c r="E25" s="1" t="s">
        <v>31</v>
      </c>
      <c r="F25" s="1" t="s">
        <v>29</v>
      </c>
      <c r="G25" s="1" t="s">
        <v>23</v>
      </c>
      <c r="H25">
        <v>5</v>
      </c>
      <c r="I25">
        <v>3025</v>
      </c>
      <c r="J25" s="1" t="s">
        <v>36</v>
      </c>
      <c r="K25">
        <v>0</v>
      </c>
      <c r="L25" s="1" t="s">
        <v>30</v>
      </c>
    </row>
    <row r="26" spans="1:12" x14ac:dyDescent="0.25">
      <c r="A26">
        <v>184</v>
      </c>
      <c r="B26">
        <v>52</v>
      </c>
      <c r="C26">
        <v>70</v>
      </c>
      <c r="D26">
        <v>5</v>
      </c>
      <c r="E26" s="1" t="s">
        <v>46</v>
      </c>
      <c r="F26" s="1" t="s">
        <v>41</v>
      </c>
      <c r="G26" s="1" t="s">
        <v>23</v>
      </c>
      <c r="H26">
        <v>4.5</v>
      </c>
      <c r="I26">
        <v>188</v>
      </c>
      <c r="J26" s="1" t="s">
        <v>36</v>
      </c>
      <c r="K26">
        <v>3</v>
      </c>
      <c r="L26" s="1" t="s">
        <v>51</v>
      </c>
    </row>
    <row r="27" spans="1:12" x14ac:dyDescent="0.25">
      <c r="A27">
        <v>17</v>
      </c>
      <c r="B27">
        <v>14</v>
      </c>
      <c r="C27">
        <v>70</v>
      </c>
      <c r="D27">
        <v>5</v>
      </c>
      <c r="E27" s="1" t="s">
        <v>31</v>
      </c>
      <c r="F27" s="1" t="s">
        <v>22</v>
      </c>
      <c r="G27" s="1" t="s">
        <v>23</v>
      </c>
      <c r="H27">
        <v>4.5</v>
      </c>
      <c r="I27">
        <v>188</v>
      </c>
      <c r="J27" s="1" t="s">
        <v>26</v>
      </c>
      <c r="K27">
        <v>10</v>
      </c>
      <c r="L27" s="1" t="s">
        <v>53</v>
      </c>
    </row>
    <row r="28" spans="1:12" x14ac:dyDescent="0.25">
      <c r="A28">
        <v>85</v>
      </c>
      <c r="B28">
        <v>43</v>
      </c>
      <c r="C28">
        <v>68</v>
      </c>
      <c r="D28">
        <v>5</v>
      </c>
      <c r="E28" s="1" t="s">
        <v>55</v>
      </c>
      <c r="F28" s="1" t="s">
        <v>22</v>
      </c>
      <c r="G28" s="1" t="s">
        <v>23</v>
      </c>
      <c r="H28">
        <v>5</v>
      </c>
      <c r="I28">
        <v>2034</v>
      </c>
      <c r="J28" s="1" t="s">
        <v>36</v>
      </c>
      <c r="K28">
        <v>5</v>
      </c>
      <c r="L28" s="1" t="s">
        <v>51</v>
      </c>
    </row>
    <row r="29" spans="1:12" x14ac:dyDescent="0.25">
      <c r="A29">
        <v>85</v>
      </c>
      <c r="B29">
        <v>37</v>
      </c>
      <c r="C29">
        <v>65</v>
      </c>
      <c r="D29">
        <v>5</v>
      </c>
      <c r="E29" s="1" t="s">
        <v>46</v>
      </c>
      <c r="F29" s="1" t="s">
        <v>32</v>
      </c>
      <c r="G29" s="1" t="s">
        <v>23</v>
      </c>
      <c r="H29">
        <v>4</v>
      </c>
      <c r="I29">
        <v>2916</v>
      </c>
      <c r="J29" s="1" t="s">
        <v>64</v>
      </c>
      <c r="K29">
        <v>4</v>
      </c>
      <c r="L29" s="1" t="s">
        <v>30</v>
      </c>
    </row>
    <row r="30" spans="1:12" x14ac:dyDescent="0.25">
      <c r="A30">
        <v>123</v>
      </c>
      <c r="B30">
        <v>26</v>
      </c>
      <c r="C30">
        <v>63</v>
      </c>
      <c r="D30">
        <v>5</v>
      </c>
      <c r="E30" s="1" t="s">
        <v>21</v>
      </c>
      <c r="F30" s="1" t="s">
        <v>41</v>
      </c>
      <c r="G30" s="1" t="s">
        <v>23</v>
      </c>
      <c r="H30">
        <v>4</v>
      </c>
      <c r="I30">
        <v>2916</v>
      </c>
      <c r="J30" s="1" t="s">
        <v>26</v>
      </c>
      <c r="K30">
        <v>4</v>
      </c>
      <c r="L30" s="1" t="s">
        <v>34</v>
      </c>
    </row>
    <row r="31" spans="1:12" x14ac:dyDescent="0.25">
      <c r="A31">
        <v>130</v>
      </c>
      <c r="B31">
        <v>41</v>
      </c>
      <c r="C31">
        <v>61</v>
      </c>
      <c r="D31">
        <v>4</v>
      </c>
      <c r="E31" s="1" t="s">
        <v>46</v>
      </c>
      <c r="F31" s="1" t="s">
        <v>29</v>
      </c>
      <c r="G31" s="1" t="s">
        <v>24</v>
      </c>
      <c r="H31">
        <v>4</v>
      </c>
      <c r="I31">
        <v>1467</v>
      </c>
      <c r="J31" s="1" t="s">
        <v>36</v>
      </c>
      <c r="K31">
        <v>3</v>
      </c>
      <c r="L31" s="1" t="s">
        <v>40</v>
      </c>
    </row>
    <row r="32" spans="1:12" x14ac:dyDescent="0.25">
      <c r="A32">
        <v>82</v>
      </c>
      <c r="B32">
        <v>14</v>
      </c>
      <c r="C32">
        <v>61</v>
      </c>
      <c r="D32">
        <v>3</v>
      </c>
      <c r="E32" s="1" t="s">
        <v>31</v>
      </c>
      <c r="F32" s="1" t="s">
        <v>32</v>
      </c>
      <c r="G32" s="1" t="s">
        <v>23</v>
      </c>
      <c r="H32">
        <v>3</v>
      </c>
      <c r="I32">
        <v>315</v>
      </c>
      <c r="J32" s="1" t="s">
        <v>26</v>
      </c>
      <c r="K32">
        <v>1</v>
      </c>
      <c r="L32" s="1" t="s">
        <v>51</v>
      </c>
    </row>
    <row r="33" spans="1:12" x14ac:dyDescent="0.25">
      <c r="A33">
        <v>66</v>
      </c>
      <c r="B33">
        <v>33</v>
      </c>
      <c r="C33">
        <v>60</v>
      </c>
      <c r="D33">
        <v>5</v>
      </c>
      <c r="E33" s="1" t="s">
        <v>31</v>
      </c>
      <c r="F33" s="1" t="s">
        <v>41</v>
      </c>
      <c r="G33" s="1" t="s">
        <v>23</v>
      </c>
      <c r="H33">
        <v>5</v>
      </c>
      <c r="I33">
        <v>3025</v>
      </c>
      <c r="J33" s="1" t="s">
        <v>26</v>
      </c>
      <c r="K33">
        <v>10</v>
      </c>
      <c r="L33" s="1" t="s">
        <v>34</v>
      </c>
    </row>
    <row r="34" spans="1:12" x14ac:dyDescent="0.25">
      <c r="A34">
        <v>121</v>
      </c>
      <c r="B34">
        <v>13</v>
      </c>
      <c r="C34">
        <v>59</v>
      </c>
      <c r="D34">
        <v>2</v>
      </c>
      <c r="E34" s="1" t="s">
        <v>31</v>
      </c>
      <c r="F34" s="1" t="s">
        <v>41</v>
      </c>
      <c r="G34" s="1" t="s">
        <v>23</v>
      </c>
      <c r="H34">
        <v>4</v>
      </c>
      <c r="I34">
        <v>2916</v>
      </c>
      <c r="J34" s="1" t="s">
        <v>26</v>
      </c>
      <c r="K34">
        <v>9</v>
      </c>
      <c r="L34" s="1" t="s">
        <v>40</v>
      </c>
    </row>
    <row r="35" spans="1:12" x14ac:dyDescent="0.25">
      <c r="A35">
        <v>20</v>
      </c>
      <c r="B35">
        <v>5</v>
      </c>
      <c r="C35">
        <v>59</v>
      </c>
      <c r="D35">
        <v>3</v>
      </c>
      <c r="E35" s="1" t="s">
        <v>55</v>
      </c>
      <c r="F35" s="1" t="s">
        <v>41</v>
      </c>
      <c r="G35" s="1" t="s">
        <v>23</v>
      </c>
      <c r="H35">
        <v>3</v>
      </c>
      <c r="I35">
        <v>3981</v>
      </c>
      <c r="J35" s="1" t="s">
        <v>26</v>
      </c>
      <c r="K35">
        <v>8</v>
      </c>
      <c r="L35" s="1" t="s">
        <v>34</v>
      </c>
    </row>
    <row r="36" spans="1:12" x14ac:dyDescent="0.25">
      <c r="A36">
        <v>106</v>
      </c>
      <c r="B36">
        <v>37</v>
      </c>
      <c r="C36">
        <v>58</v>
      </c>
      <c r="D36">
        <v>4</v>
      </c>
      <c r="E36" s="1" t="s">
        <v>31</v>
      </c>
      <c r="F36" s="1" t="s">
        <v>29</v>
      </c>
      <c r="G36" s="1" t="s">
        <v>23</v>
      </c>
      <c r="H36">
        <v>3.5</v>
      </c>
      <c r="I36">
        <v>1228</v>
      </c>
      <c r="J36" s="1" t="s">
        <v>49</v>
      </c>
      <c r="K36">
        <v>3</v>
      </c>
      <c r="L36" s="1" t="s">
        <v>51</v>
      </c>
    </row>
    <row r="37" spans="1:12" x14ac:dyDescent="0.25">
      <c r="A37">
        <v>102</v>
      </c>
      <c r="B37">
        <v>24</v>
      </c>
      <c r="C37">
        <v>58</v>
      </c>
      <c r="D37">
        <v>2</v>
      </c>
      <c r="E37" s="1" t="s">
        <v>46</v>
      </c>
      <c r="F37" s="1" t="s">
        <v>32</v>
      </c>
      <c r="G37" s="1" t="s">
        <v>23</v>
      </c>
      <c r="H37">
        <v>3</v>
      </c>
      <c r="I37">
        <v>3773</v>
      </c>
      <c r="J37" s="1" t="s">
        <v>26</v>
      </c>
      <c r="K37">
        <v>9</v>
      </c>
      <c r="L37" s="1" t="s">
        <v>30</v>
      </c>
    </row>
    <row r="38" spans="1:12" x14ac:dyDescent="0.25">
      <c r="A38">
        <v>88</v>
      </c>
      <c r="B38">
        <v>19</v>
      </c>
      <c r="C38">
        <v>58</v>
      </c>
      <c r="D38">
        <v>5</v>
      </c>
      <c r="E38" s="1" t="s">
        <v>55</v>
      </c>
      <c r="F38" s="1" t="s">
        <v>22</v>
      </c>
      <c r="G38" s="1" t="s">
        <v>23</v>
      </c>
      <c r="H38">
        <v>3.5</v>
      </c>
      <c r="I38">
        <v>732</v>
      </c>
      <c r="J38" s="1" t="s">
        <v>26</v>
      </c>
      <c r="K38">
        <v>1</v>
      </c>
      <c r="L38" s="1" t="s">
        <v>51</v>
      </c>
    </row>
    <row r="39" spans="1:12" x14ac:dyDescent="0.25">
      <c r="A39">
        <v>41</v>
      </c>
      <c r="B39">
        <v>10</v>
      </c>
      <c r="C39">
        <v>56</v>
      </c>
      <c r="D39">
        <v>5</v>
      </c>
      <c r="E39" s="1" t="s">
        <v>46</v>
      </c>
      <c r="F39" s="1" t="s">
        <v>32</v>
      </c>
      <c r="G39" s="1" t="s">
        <v>23</v>
      </c>
      <c r="H39">
        <v>5</v>
      </c>
      <c r="I39">
        <v>2959</v>
      </c>
      <c r="J39" s="1" t="s">
        <v>26</v>
      </c>
      <c r="K39">
        <v>4</v>
      </c>
      <c r="L39" s="1" t="s">
        <v>34</v>
      </c>
    </row>
    <row r="40" spans="1:12" x14ac:dyDescent="0.25">
      <c r="A40">
        <v>19</v>
      </c>
      <c r="B40">
        <v>8</v>
      </c>
      <c r="C40">
        <v>56</v>
      </c>
      <c r="D40">
        <v>4</v>
      </c>
      <c r="E40" s="1" t="s">
        <v>46</v>
      </c>
      <c r="F40" s="1" t="s">
        <v>41</v>
      </c>
      <c r="G40" s="1" t="s">
        <v>23</v>
      </c>
      <c r="H40">
        <v>5</v>
      </c>
      <c r="I40">
        <v>2959</v>
      </c>
      <c r="J40" s="1" t="s">
        <v>26</v>
      </c>
      <c r="K40">
        <v>10</v>
      </c>
      <c r="L40" s="1" t="s">
        <v>53</v>
      </c>
    </row>
    <row r="41" spans="1:12" x14ac:dyDescent="0.25">
      <c r="A41">
        <v>95</v>
      </c>
      <c r="B41">
        <v>37</v>
      </c>
      <c r="C41">
        <v>55</v>
      </c>
      <c r="D41">
        <v>4</v>
      </c>
      <c r="E41" s="1" t="s">
        <v>31</v>
      </c>
      <c r="F41" s="1" t="s">
        <v>22</v>
      </c>
      <c r="G41" s="1" t="s">
        <v>23</v>
      </c>
      <c r="H41">
        <v>3.5</v>
      </c>
      <c r="I41">
        <v>732</v>
      </c>
      <c r="J41" s="1" t="s">
        <v>36</v>
      </c>
      <c r="K41">
        <v>6</v>
      </c>
      <c r="L41" s="1" t="s">
        <v>40</v>
      </c>
    </row>
    <row r="42" spans="1:12" x14ac:dyDescent="0.25">
      <c r="A42">
        <v>148</v>
      </c>
      <c r="B42">
        <v>33</v>
      </c>
      <c r="C42">
        <v>55</v>
      </c>
      <c r="D42">
        <v>4</v>
      </c>
      <c r="E42" s="1" t="s">
        <v>55</v>
      </c>
      <c r="F42" s="1" t="s">
        <v>29</v>
      </c>
      <c r="G42" s="1" t="s">
        <v>23</v>
      </c>
      <c r="H42">
        <v>4.5</v>
      </c>
      <c r="I42">
        <v>188</v>
      </c>
      <c r="J42" s="1" t="s">
        <v>26</v>
      </c>
      <c r="K42">
        <v>3</v>
      </c>
      <c r="L42" s="1" t="s">
        <v>51</v>
      </c>
    </row>
    <row r="43" spans="1:12" x14ac:dyDescent="0.25">
      <c r="A43">
        <v>136</v>
      </c>
      <c r="B43">
        <v>20</v>
      </c>
      <c r="C43">
        <v>55</v>
      </c>
      <c r="D43">
        <v>5</v>
      </c>
      <c r="E43" s="1" t="s">
        <v>46</v>
      </c>
      <c r="F43" s="1" t="s">
        <v>32</v>
      </c>
      <c r="G43" s="1" t="s">
        <v>23</v>
      </c>
      <c r="H43">
        <v>5</v>
      </c>
      <c r="I43">
        <v>1282</v>
      </c>
      <c r="J43" s="1" t="s">
        <v>26</v>
      </c>
      <c r="K43">
        <v>3</v>
      </c>
      <c r="L43" s="1" t="s">
        <v>53</v>
      </c>
    </row>
    <row r="44" spans="1:12" x14ac:dyDescent="0.25">
      <c r="A44">
        <v>113</v>
      </c>
      <c r="B44">
        <v>15</v>
      </c>
      <c r="C44">
        <v>55</v>
      </c>
      <c r="D44">
        <v>5</v>
      </c>
      <c r="E44" s="1" t="s">
        <v>31</v>
      </c>
      <c r="F44" s="1" t="s">
        <v>32</v>
      </c>
      <c r="G44" s="1" t="s">
        <v>23</v>
      </c>
      <c r="H44">
        <v>5</v>
      </c>
      <c r="I44">
        <v>2959</v>
      </c>
      <c r="J44" s="1" t="s">
        <v>36</v>
      </c>
      <c r="K44">
        <v>8</v>
      </c>
      <c r="L44" s="1" t="s">
        <v>28</v>
      </c>
    </row>
    <row r="45" spans="1:12" x14ac:dyDescent="0.25">
      <c r="A45">
        <v>16</v>
      </c>
      <c r="B45">
        <v>13</v>
      </c>
      <c r="C45">
        <v>55</v>
      </c>
      <c r="D45">
        <v>5</v>
      </c>
      <c r="E45" s="1" t="s">
        <v>21</v>
      </c>
      <c r="F45" s="1" t="s">
        <v>41</v>
      </c>
      <c r="G45" s="1" t="s">
        <v>24</v>
      </c>
      <c r="H45">
        <v>5</v>
      </c>
      <c r="I45">
        <v>2700</v>
      </c>
      <c r="J45" s="1" t="s">
        <v>26</v>
      </c>
      <c r="K45">
        <v>9</v>
      </c>
      <c r="L45" s="1" t="s">
        <v>40</v>
      </c>
    </row>
    <row r="46" spans="1:12" x14ac:dyDescent="0.25">
      <c r="A46">
        <v>74</v>
      </c>
      <c r="B46">
        <v>47</v>
      </c>
      <c r="C46">
        <v>54</v>
      </c>
      <c r="D46">
        <v>4</v>
      </c>
      <c r="E46" s="1" t="s">
        <v>21</v>
      </c>
      <c r="F46" s="1" t="s">
        <v>41</v>
      </c>
      <c r="G46" s="1" t="s">
        <v>23</v>
      </c>
      <c r="H46">
        <v>3</v>
      </c>
      <c r="I46">
        <v>3981</v>
      </c>
      <c r="J46" s="1" t="s">
        <v>36</v>
      </c>
      <c r="K46">
        <v>7</v>
      </c>
      <c r="L46" s="1" t="s">
        <v>51</v>
      </c>
    </row>
    <row r="47" spans="1:12" x14ac:dyDescent="0.25">
      <c r="A47">
        <v>56</v>
      </c>
      <c r="B47">
        <v>16</v>
      </c>
      <c r="C47">
        <v>54</v>
      </c>
      <c r="D47">
        <v>4</v>
      </c>
      <c r="E47" s="1" t="s">
        <v>31</v>
      </c>
      <c r="F47" s="1" t="s">
        <v>29</v>
      </c>
      <c r="G47" s="1" t="s">
        <v>23</v>
      </c>
      <c r="H47">
        <v>4</v>
      </c>
      <c r="I47">
        <v>2916</v>
      </c>
      <c r="J47" s="1" t="s">
        <v>26</v>
      </c>
      <c r="K47">
        <v>9</v>
      </c>
      <c r="L47" s="1" t="s">
        <v>40</v>
      </c>
    </row>
    <row r="48" spans="1:12" x14ac:dyDescent="0.25">
      <c r="A48">
        <v>116</v>
      </c>
      <c r="B48">
        <v>44</v>
      </c>
      <c r="C48">
        <v>53</v>
      </c>
      <c r="D48">
        <v>4</v>
      </c>
      <c r="E48" s="1" t="s">
        <v>55</v>
      </c>
      <c r="F48" s="1" t="s">
        <v>41</v>
      </c>
      <c r="G48" s="1" t="s">
        <v>23</v>
      </c>
      <c r="H48">
        <v>3</v>
      </c>
      <c r="I48">
        <v>315</v>
      </c>
      <c r="J48" s="1" t="s">
        <v>44</v>
      </c>
      <c r="K48">
        <v>5</v>
      </c>
      <c r="L48" s="1" t="s">
        <v>34</v>
      </c>
    </row>
    <row r="49" spans="1:12" x14ac:dyDescent="0.25">
      <c r="A49">
        <v>44</v>
      </c>
      <c r="B49">
        <v>35</v>
      </c>
      <c r="C49">
        <v>53</v>
      </c>
      <c r="D49">
        <v>5</v>
      </c>
      <c r="E49" s="1" t="s">
        <v>31</v>
      </c>
      <c r="F49" s="1" t="s">
        <v>41</v>
      </c>
      <c r="G49" s="1" t="s">
        <v>23</v>
      </c>
      <c r="H49">
        <v>5</v>
      </c>
      <c r="I49">
        <v>3933</v>
      </c>
      <c r="J49" s="1" t="s">
        <v>44</v>
      </c>
      <c r="K49">
        <v>6</v>
      </c>
      <c r="L49" s="1" t="s">
        <v>40</v>
      </c>
    </row>
    <row r="50" spans="1:12" x14ac:dyDescent="0.25">
      <c r="A50">
        <v>49</v>
      </c>
      <c r="B50">
        <v>22</v>
      </c>
      <c r="C50">
        <v>53</v>
      </c>
      <c r="D50">
        <v>3</v>
      </c>
      <c r="E50" s="1" t="s">
        <v>55</v>
      </c>
      <c r="F50" s="1" t="s">
        <v>41</v>
      </c>
      <c r="G50" s="1" t="s">
        <v>23</v>
      </c>
      <c r="H50">
        <v>4.5</v>
      </c>
      <c r="I50">
        <v>188</v>
      </c>
      <c r="J50" s="1" t="s">
        <v>26</v>
      </c>
      <c r="K50">
        <v>5</v>
      </c>
      <c r="L50" s="1" t="s">
        <v>53</v>
      </c>
    </row>
    <row r="51" spans="1:12" x14ac:dyDescent="0.25">
      <c r="A51">
        <v>137</v>
      </c>
      <c r="B51">
        <v>42</v>
      </c>
      <c r="C51">
        <v>51</v>
      </c>
      <c r="D51">
        <v>3</v>
      </c>
      <c r="E51" s="1" t="s">
        <v>31</v>
      </c>
      <c r="F51" s="1" t="s">
        <v>41</v>
      </c>
      <c r="G51" s="1" t="s">
        <v>23</v>
      </c>
      <c r="H51">
        <v>4</v>
      </c>
      <c r="I51">
        <v>2916</v>
      </c>
      <c r="J51" s="1" t="s">
        <v>26</v>
      </c>
      <c r="K51">
        <v>5</v>
      </c>
      <c r="L51" s="1" t="s">
        <v>53</v>
      </c>
    </row>
    <row r="52" spans="1:12" x14ac:dyDescent="0.25">
      <c r="A52">
        <v>79</v>
      </c>
      <c r="B52">
        <v>39</v>
      </c>
      <c r="C52">
        <v>51</v>
      </c>
      <c r="D52">
        <v>3</v>
      </c>
      <c r="E52" s="1" t="s">
        <v>21</v>
      </c>
      <c r="F52" s="1" t="s">
        <v>41</v>
      </c>
      <c r="G52" s="1" t="s">
        <v>24</v>
      </c>
      <c r="H52">
        <v>4</v>
      </c>
      <c r="I52">
        <v>1467</v>
      </c>
      <c r="J52" s="1" t="s">
        <v>44</v>
      </c>
      <c r="K52">
        <v>5</v>
      </c>
      <c r="L52" s="1" t="s">
        <v>51</v>
      </c>
    </row>
    <row r="53" spans="1:12" x14ac:dyDescent="0.25">
      <c r="A53">
        <v>27</v>
      </c>
      <c r="B53">
        <v>12</v>
      </c>
      <c r="C53">
        <v>51</v>
      </c>
      <c r="D53">
        <v>5</v>
      </c>
      <c r="E53" s="1" t="s">
        <v>31</v>
      </c>
      <c r="F53" s="1" t="s">
        <v>22</v>
      </c>
      <c r="G53" s="1" t="s">
        <v>24</v>
      </c>
      <c r="H53">
        <v>3.5</v>
      </c>
      <c r="I53">
        <v>787</v>
      </c>
      <c r="J53" s="1" t="s">
        <v>26</v>
      </c>
      <c r="K53">
        <v>4</v>
      </c>
      <c r="L53" s="1" t="s">
        <v>40</v>
      </c>
    </row>
    <row r="54" spans="1:12" x14ac:dyDescent="0.25">
      <c r="A54">
        <v>130</v>
      </c>
      <c r="B54">
        <v>19</v>
      </c>
      <c r="C54">
        <v>49</v>
      </c>
      <c r="D54">
        <v>3</v>
      </c>
      <c r="E54" s="1" t="s">
        <v>46</v>
      </c>
      <c r="F54" s="1" t="s">
        <v>41</v>
      </c>
      <c r="G54" s="1" t="s">
        <v>23</v>
      </c>
      <c r="H54">
        <v>4</v>
      </c>
      <c r="I54">
        <v>2916</v>
      </c>
      <c r="J54" s="1" t="s">
        <v>26</v>
      </c>
      <c r="K54">
        <v>6</v>
      </c>
      <c r="L54" s="1" t="s">
        <v>53</v>
      </c>
    </row>
    <row r="55" spans="1:12" x14ac:dyDescent="0.25">
      <c r="A55">
        <v>50</v>
      </c>
      <c r="B55">
        <v>39</v>
      </c>
      <c r="C55">
        <v>48</v>
      </c>
      <c r="D55">
        <v>2</v>
      </c>
      <c r="E55" s="1" t="s">
        <v>21</v>
      </c>
      <c r="F55" s="1" t="s">
        <v>32</v>
      </c>
      <c r="G55" s="1" t="s">
        <v>23</v>
      </c>
      <c r="H55">
        <v>3.5</v>
      </c>
      <c r="I55">
        <v>1228</v>
      </c>
      <c r="J55" s="1" t="s">
        <v>26</v>
      </c>
      <c r="K55">
        <v>10</v>
      </c>
      <c r="L55" s="1" t="s">
        <v>28</v>
      </c>
    </row>
    <row r="56" spans="1:12" x14ac:dyDescent="0.25">
      <c r="A56">
        <v>75</v>
      </c>
      <c r="B56">
        <v>37</v>
      </c>
      <c r="C56">
        <v>48</v>
      </c>
      <c r="D56">
        <v>5</v>
      </c>
      <c r="E56" s="1" t="s">
        <v>46</v>
      </c>
      <c r="F56" s="1" t="s">
        <v>41</v>
      </c>
      <c r="G56" s="1" t="s">
        <v>23</v>
      </c>
      <c r="H56">
        <v>3.5</v>
      </c>
      <c r="I56">
        <v>732</v>
      </c>
      <c r="J56" s="1" t="s">
        <v>26</v>
      </c>
      <c r="K56">
        <v>6</v>
      </c>
      <c r="L56" s="1" t="s">
        <v>34</v>
      </c>
    </row>
    <row r="57" spans="1:12" x14ac:dyDescent="0.25">
      <c r="A57">
        <v>125</v>
      </c>
      <c r="B57">
        <v>35</v>
      </c>
      <c r="C57">
        <v>48</v>
      </c>
      <c r="D57">
        <v>5</v>
      </c>
      <c r="E57" s="1" t="s">
        <v>31</v>
      </c>
      <c r="F57" s="1" t="s">
        <v>29</v>
      </c>
      <c r="G57" s="1" t="s">
        <v>24</v>
      </c>
      <c r="H57">
        <v>5</v>
      </c>
      <c r="I57">
        <v>2700</v>
      </c>
      <c r="J57" s="1" t="s">
        <v>26</v>
      </c>
      <c r="K57">
        <v>4</v>
      </c>
      <c r="L57" s="1" t="s">
        <v>53</v>
      </c>
    </row>
    <row r="58" spans="1:12" x14ac:dyDescent="0.25">
      <c r="A58">
        <v>77</v>
      </c>
      <c r="B58">
        <v>18</v>
      </c>
      <c r="C58">
        <v>48</v>
      </c>
      <c r="D58">
        <v>4</v>
      </c>
      <c r="E58" s="1" t="s">
        <v>46</v>
      </c>
      <c r="F58" s="1" t="s">
        <v>32</v>
      </c>
      <c r="G58" s="1" t="s">
        <v>23</v>
      </c>
      <c r="H58">
        <v>5</v>
      </c>
      <c r="I58">
        <v>3933</v>
      </c>
      <c r="J58" s="1" t="s">
        <v>44</v>
      </c>
      <c r="K58">
        <v>10</v>
      </c>
      <c r="L58" s="1" t="s">
        <v>34</v>
      </c>
    </row>
    <row r="59" spans="1:12" x14ac:dyDescent="0.25">
      <c r="A59">
        <v>182</v>
      </c>
      <c r="B59">
        <v>24</v>
      </c>
      <c r="C59">
        <v>47</v>
      </c>
      <c r="D59">
        <v>4</v>
      </c>
      <c r="E59" s="1" t="s">
        <v>55</v>
      </c>
      <c r="F59" s="1" t="s">
        <v>32</v>
      </c>
      <c r="G59" s="1" t="s">
        <v>24</v>
      </c>
      <c r="H59">
        <v>3.5</v>
      </c>
      <c r="I59">
        <v>787</v>
      </c>
      <c r="J59" s="1" t="s">
        <v>26</v>
      </c>
      <c r="K59">
        <v>2</v>
      </c>
      <c r="L59" s="1" t="s">
        <v>53</v>
      </c>
    </row>
    <row r="60" spans="1:12" x14ac:dyDescent="0.25">
      <c r="A60">
        <v>38</v>
      </c>
      <c r="B60">
        <v>22</v>
      </c>
      <c r="C60">
        <v>47</v>
      </c>
      <c r="D60">
        <v>4</v>
      </c>
      <c r="E60" s="1" t="s">
        <v>31</v>
      </c>
      <c r="F60" s="1" t="s">
        <v>29</v>
      </c>
      <c r="G60" s="1" t="s">
        <v>23</v>
      </c>
      <c r="H60">
        <v>4</v>
      </c>
      <c r="I60">
        <v>826</v>
      </c>
      <c r="J60" s="1" t="s">
        <v>26</v>
      </c>
      <c r="K60">
        <v>4</v>
      </c>
      <c r="L60" s="1" t="s">
        <v>58</v>
      </c>
    </row>
    <row r="61" spans="1:12" x14ac:dyDescent="0.25">
      <c r="A61">
        <v>101</v>
      </c>
      <c r="B61">
        <v>35</v>
      </c>
      <c r="C61">
        <v>46</v>
      </c>
      <c r="D61">
        <v>5</v>
      </c>
      <c r="E61" s="1" t="s">
        <v>21</v>
      </c>
      <c r="F61" s="1" t="s">
        <v>22</v>
      </c>
      <c r="G61" s="1" t="s">
        <v>24</v>
      </c>
      <c r="H61">
        <v>3.5</v>
      </c>
      <c r="I61">
        <v>787</v>
      </c>
      <c r="J61" s="1" t="s">
        <v>26</v>
      </c>
      <c r="K61">
        <v>5</v>
      </c>
      <c r="L61" s="1" t="s">
        <v>34</v>
      </c>
    </row>
    <row r="62" spans="1:12" x14ac:dyDescent="0.25">
      <c r="A62">
        <v>95</v>
      </c>
      <c r="B62">
        <v>34</v>
      </c>
      <c r="C62">
        <v>46</v>
      </c>
      <c r="D62">
        <v>5</v>
      </c>
      <c r="E62" s="1" t="s">
        <v>46</v>
      </c>
      <c r="F62" s="1" t="s">
        <v>29</v>
      </c>
      <c r="G62" s="1" t="s">
        <v>23</v>
      </c>
      <c r="H62">
        <v>5</v>
      </c>
      <c r="I62">
        <v>4027</v>
      </c>
      <c r="J62" s="1" t="s">
        <v>26</v>
      </c>
      <c r="K62">
        <v>6</v>
      </c>
      <c r="L62" s="1" t="s">
        <v>53</v>
      </c>
    </row>
    <row r="63" spans="1:12" x14ac:dyDescent="0.25">
      <c r="A63">
        <v>119</v>
      </c>
      <c r="B63">
        <v>20</v>
      </c>
      <c r="C63">
        <v>46</v>
      </c>
      <c r="D63">
        <v>5</v>
      </c>
      <c r="E63" s="1" t="s">
        <v>46</v>
      </c>
      <c r="F63" s="1" t="s">
        <v>22</v>
      </c>
      <c r="G63" s="1" t="s">
        <v>24</v>
      </c>
      <c r="H63">
        <v>3</v>
      </c>
      <c r="I63">
        <v>716</v>
      </c>
      <c r="J63" s="1" t="s">
        <v>44</v>
      </c>
      <c r="K63">
        <v>1</v>
      </c>
      <c r="L63" s="1" t="s">
        <v>53</v>
      </c>
    </row>
    <row r="64" spans="1:12" x14ac:dyDescent="0.25">
      <c r="A64">
        <v>86</v>
      </c>
      <c r="B64">
        <v>12</v>
      </c>
      <c r="C64">
        <v>46</v>
      </c>
      <c r="D64">
        <v>4</v>
      </c>
      <c r="E64" s="1" t="s">
        <v>55</v>
      </c>
      <c r="F64" s="1" t="s">
        <v>41</v>
      </c>
      <c r="G64" s="1" t="s">
        <v>23</v>
      </c>
      <c r="H64">
        <v>3.5</v>
      </c>
      <c r="I64">
        <v>732</v>
      </c>
      <c r="J64" s="1" t="s">
        <v>36</v>
      </c>
      <c r="K64">
        <v>5</v>
      </c>
      <c r="L64" s="1" t="s">
        <v>53</v>
      </c>
    </row>
    <row r="65" spans="1:12" x14ac:dyDescent="0.25">
      <c r="A65">
        <v>45</v>
      </c>
      <c r="B65">
        <v>12</v>
      </c>
      <c r="C65">
        <v>46</v>
      </c>
      <c r="D65">
        <v>4</v>
      </c>
      <c r="E65" s="1" t="s">
        <v>31</v>
      </c>
      <c r="F65" s="1" t="s">
        <v>41</v>
      </c>
      <c r="G65" s="1" t="s">
        <v>23</v>
      </c>
      <c r="H65">
        <v>3</v>
      </c>
      <c r="I65">
        <v>3773</v>
      </c>
      <c r="J65" s="1" t="s">
        <v>36</v>
      </c>
      <c r="K65">
        <v>4</v>
      </c>
      <c r="L65" s="1" t="s">
        <v>30</v>
      </c>
    </row>
    <row r="66" spans="1:12" x14ac:dyDescent="0.25">
      <c r="A66">
        <v>50</v>
      </c>
      <c r="B66">
        <v>19</v>
      </c>
      <c r="C66">
        <v>45</v>
      </c>
      <c r="D66">
        <v>5</v>
      </c>
      <c r="E66" s="1" t="s">
        <v>55</v>
      </c>
      <c r="F66" s="1" t="s">
        <v>29</v>
      </c>
      <c r="G66" s="1" t="s">
        <v>23</v>
      </c>
      <c r="H66">
        <v>5</v>
      </c>
      <c r="I66">
        <v>2959</v>
      </c>
      <c r="J66" s="1" t="s">
        <v>26</v>
      </c>
      <c r="K66">
        <v>0</v>
      </c>
      <c r="L66" s="1" t="s">
        <v>30</v>
      </c>
    </row>
    <row r="67" spans="1:12" x14ac:dyDescent="0.25">
      <c r="A67">
        <v>102</v>
      </c>
      <c r="B67">
        <v>17</v>
      </c>
      <c r="C67">
        <v>45</v>
      </c>
      <c r="D67">
        <v>5</v>
      </c>
      <c r="E67" s="1" t="s">
        <v>31</v>
      </c>
      <c r="F67" s="1" t="s">
        <v>29</v>
      </c>
      <c r="G67" s="1" t="s">
        <v>23</v>
      </c>
      <c r="H67">
        <v>5</v>
      </c>
      <c r="I67">
        <v>2959</v>
      </c>
      <c r="J67" s="1" t="s">
        <v>26</v>
      </c>
      <c r="K67">
        <v>2</v>
      </c>
      <c r="L67" s="1" t="s">
        <v>58</v>
      </c>
    </row>
    <row r="68" spans="1:12" x14ac:dyDescent="0.25">
      <c r="A68">
        <v>7</v>
      </c>
      <c r="B68">
        <v>5</v>
      </c>
      <c r="C68">
        <v>45</v>
      </c>
      <c r="D68">
        <v>4</v>
      </c>
      <c r="E68" s="1" t="s">
        <v>31</v>
      </c>
      <c r="F68" s="1" t="s">
        <v>32</v>
      </c>
      <c r="G68" s="1" t="s">
        <v>23</v>
      </c>
      <c r="H68">
        <v>3.5</v>
      </c>
      <c r="I68">
        <v>1228</v>
      </c>
      <c r="J68" s="1" t="s">
        <v>26</v>
      </c>
      <c r="K68">
        <v>10</v>
      </c>
      <c r="L68" s="1" t="s">
        <v>58</v>
      </c>
    </row>
    <row r="69" spans="1:12" x14ac:dyDescent="0.25">
      <c r="A69">
        <v>35</v>
      </c>
      <c r="B69">
        <v>24</v>
      </c>
      <c r="C69">
        <v>43</v>
      </c>
      <c r="D69">
        <v>5</v>
      </c>
      <c r="E69" s="1" t="s">
        <v>55</v>
      </c>
      <c r="F69" s="1" t="s">
        <v>41</v>
      </c>
      <c r="G69" s="1" t="s">
        <v>23</v>
      </c>
      <c r="H69">
        <v>5</v>
      </c>
      <c r="I69">
        <v>3348</v>
      </c>
      <c r="J69" s="1" t="s">
        <v>49</v>
      </c>
      <c r="K69">
        <v>4</v>
      </c>
      <c r="L69" s="1" t="s">
        <v>53</v>
      </c>
    </row>
    <row r="70" spans="1:12" x14ac:dyDescent="0.25">
      <c r="A70">
        <v>26</v>
      </c>
      <c r="B70">
        <v>18</v>
      </c>
      <c r="C70">
        <v>43</v>
      </c>
      <c r="D70">
        <v>5</v>
      </c>
      <c r="E70" s="1" t="s">
        <v>55</v>
      </c>
      <c r="F70" s="1" t="s">
        <v>22</v>
      </c>
      <c r="G70" s="1" t="s">
        <v>23</v>
      </c>
      <c r="H70">
        <v>5</v>
      </c>
      <c r="I70">
        <v>3933</v>
      </c>
      <c r="J70" s="1" t="s">
        <v>36</v>
      </c>
      <c r="K70">
        <v>4</v>
      </c>
      <c r="L70" s="1" t="s">
        <v>58</v>
      </c>
    </row>
    <row r="71" spans="1:12" x14ac:dyDescent="0.25">
      <c r="A71">
        <v>116</v>
      </c>
      <c r="B71">
        <v>12</v>
      </c>
      <c r="C71">
        <v>43</v>
      </c>
      <c r="D71">
        <v>4</v>
      </c>
      <c r="E71" s="1" t="s">
        <v>21</v>
      </c>
      <c r="F71" s="1" t="s">
        <v>22</v>
      </c>
      <c r="G71" s="1" t="s">
        <v>23</v>
      </c>
      <c r="H71">
        <v>4</v>
      </c>
      <c r="I71">
        <v>2916</v>
      </c>
      <c r="J71" s="1" t="s">
        <v>26</v>
      </c>
      <c r="K71">
        <v>4</v>
      </c>
      <c r="L71" s="1" t="s">
        <v>40</v>
      </c>
    </row>
    <row r="72" spans="1:12" x14ac:dyDescent="0.25">
      <c r="A72">
        <v>46</v>
      </c>
      <c r="B72">
        <v>39</v>
      </c>
      <c r="C72">
        <v>42</v>
      </c>
      <c r="D72">
        <v>4</v>
      </c>
      <c r="E72" s="1" t="s">
        <v>31</v>
      </c>
      <c r="F72" s="1" t="s">
        <v>29</v>
      </c>
      <c r="G72" s="1" t="s">
        <v>23</v>
      </c>
      <c r="H72">
        <v>3.5</v>
      </c>
      <c r="I72">
        <v>732</v>
      </c>
      <c r="J72" s="1" t="s">
        <v>26</v>
      </c>
      <c r="K72">
        <v>6</v>
      </c>
      <c r="L72" s="1" t="s">
        <v>51</v>
      </c>
    </row>
    <row r="73" spans="1:12" x14ac:dyDescent="0.25">
      <c r="A73">
        <v>26</v>
      </c>
      <c r="B73">
        <v>22</v>
      </c>
      <c r="C73">
        <v>42</v>
      </c>
      <c r="D73">
        <v>5</v>
      </c>
      <c r="E73" s="1" t="s">
        <v>55</v>
      </c>
      <c r="F73" s="1" t="s">
        <v>41</v>
      </c>
      <c r="G73" s="1" t="s">
        <v>23</v>
      </c>
      <c r="H73">
        <v>5</v>
      </c>
      <c r="I73">
        <v>3933</v>
      </c>
      <c r="J73" s="1" t="s">
        <v>36</v>
      </c>
      <c r="K73">
        <v>5</v>
      </c>
      <c r="L73" s="1" t="s">
        <v>53</v>
      </c>
    </row>
    <row r="74" spans="1:12" x14ac:dyDescent="0.25">
      <c r="A74">
        <v>60</v>
      </c>
      <c r="B74">
        <v>7</v>
      </c>
      <c r="C74">
        <v>42</v>
      </c>
      <c r="D74">
        <v>5</v>
      </c>
      <c r="E74" s="1" t="s">
        <v>31</v>
      </c>
      <c r="F74" s="1" t="s">
        <v>41</v>
      </c>
      <c r="G74" s="1" t="s">
        <v>23</v>
      </c>
      <c r="H74">
        <v>3.5</v>
      </c>
      <c r="I74">
        <v>1228</v>
      </c>
      <c r="J74" s="1" t="s">
        <v>36</v>
      </c>
      <c r="K74">
        <v>8</v>
      </c>
      <c r="L74" s="1" t="s">
        <v>40</v>
      </c>
    </row>
    <row r="75" spans="1:12" x14ac:dyDescent="0.25">
      <c r="A75">
        <v>69</v>
      </c>
      <c r="B75">
        <v>58</v>
      </c>
      <c r="C75">
        <v>41</v>
      </c>
      <c r="D75">
        <v>5</v>
      </c>
      <c r="E75" s="1" t="s">
        <v>21</v>
      </c>
      <c r="F75" s="1" t="s">
        <v>29</v>
      </c>
      <c r="G75" s="1" t="s">
        <v>23</v>
      </c>
      <c r="H75">
        <v>5</v>
      </c>
      <c r="I75">
        <v>1282</v>
      </c>
      <c r="J75" s="1" t="s">
        <v>44</v>
      </c>
      <c r="K75">
        <v>5</v>
      </c>
      <c r="L75" s="1" t="s">
        <v>34</v>
      </c>
    </row>
    <row r="76" spans="1:12" x14ac:dyDescent="0.25">
      <c r="A76">
        <v>112</v>
      </c>
      <c r="B76">
        <v>34</v>
      </c>
      <c r="C76">
        <v>41</v>
      </c>
      <c r="D76">
        <v>5</v>
      </c>
      <c r="E76" s="1" t="s">
        <v>55</v>
      </c>
      <c r="F76" s="1" t="s">
        <v>32</v>
      </c>
      <c r="G76" s="1" t="s">
        <v>23</v>
      </c>
      <c r="H76">
        <v>3.5</v>
      </c>
      <c r="I76">
        <v>1228</v>
      </c>
      <c r="J76" s="1" t="s">
        <v>26</v>
      </c>
      <c r="K76">
        <v>7</v>
      </c>
      <c r="L76" s="1" t="s">
        <v>53</v>
      </c>
    </row>
    <row r="77" spans="1:12" x14ac:dyDescent="0.25">
      <c r="A77">
        <v>169</v>
      </c>
      <c r="B77">
        <v>25</v>
      </c>
      <c r="C77">
        <v>41</v>
      </c>
      <c r="D77">
        <v>5</v>
      </c>
      <c r="E77" s="1" t="s">
        <v>21</v>
      </c>
      <c r="F77" s="1" t="s">
        <v>22</v>
      </c>
      <c r="G77" s="1" t="s">
        <v>23</v>
      </c>
      <c r="H77">
        <v>5</v>
      </c>
      <c r="I77">
        <v>2034</v>
      </c>
      <c r="J77" s="1" t="s">
        <v>26</v>
      </c>
      <c r="K77">
        <v>8</v>
      </c>
      <c r="L77" s="1" t="s">
        <v>40</v>
      </c>
    </row>
    <row r="78" spans="1:12" x14ac:dyDescent="0.25">
      <c r="A78">
        <v>17</v>
      </c>
      <c r="B78">
        <v>10</v>
      </c>
      <c r="C78">
        <v>39</v>
      </c>
      <c r="D78">
        <v>5</v>
      </c>
      <c r="E78" s="1" t="s">
        <v>55</v>
      </c>
      <c r="F78" s="1" t="s">
        <v>22</v>
      </c>
      <c r="G78" s="1" t="s">
        <v>23</v>
      </c>
      <c r="H78">
        <v>5</v>
      </c>
      <c r="I78">
        <v>3933</v>
      </c>
      <c r="J78" s="1" t="s">
        <v>26</v>
      </c>
      <c r="K78">
        <v>3</v>
      </c>
      <c r="L78" s="1" t="s">
        <v>34</v>
      </c>
    </row>
    <row r="79" spans="1:12" x14ac:dyDescent="0.25">
      <c r="A79">
        <v>15</v>
      </c>
      <c r="B79">
        <v>6</v>
      </c>
      <c r="C79">
        <v>39</v>
      </c>
      <c r="D79">
        <v>1</v>
      </c>
      <c r="E79" s="1" t="s">
        <v>31</v>
      </c>
      <c r="F79" s="1" t="s">
        <v>41</v>
      </c>
      <c r="G79" s="1" t="s">
        <v>23</v>
      </c>
      <c r="H79">
        <v>5</v>
      </c>
      <c r="I79">
        <v>3348</v>
      </c>
      <c r="J79" s="1" t="s">
        <v>36</v>
      </c>
      <c r="K79">
        <v>4</v>
      </c>
      <c r="L79" s="1" t="s">
        <v>53</v>
      </c>
    </row>
    <row r="80" spans="1:12" x14ac:dyDescent="0.25">
      <c r="A80">
        <v>73</v>
      </c>
      <c r="B80">
        <v>4</v>
      </c>
      <c r="C80">
        <v>39</v>
      </c>
      <c r="D80">
        <v>3</v>
      </c>
      <c r="E80" s="1" t="s">
        <v>31</v>
      </c>
      <c r="F80" s="1" t="s">
        <v>22</v>
      </c>
      <c r="G80" s="1" t="s">
        <v>23</v>
      </c>
      <c r="H80">
        <v>4</v>
      </c>
      <c r="I80">
        <v>2916</v>
      </c>
      <c r="J80" s="1" t="s">
        <v>26</v>
      </c>
      <c r="K80">
        <v>3</v>
      </c>
      <c r="L80" s="1" t="s">
        <v>58</v>
      </c>
    </row>
    <row r="81" spans="1:12" x14ac:dyDescent="0.25">
      <c r="A81">
        <v>37</v>
      </c>
      <c r="B81">
        <v>31</v>
      </c>
      <c r="C81">
        <v>38</v>
      </c>
      <c r="D81">
        <v>5</v>
      </c>
      <c r="E81" s="1" t="s">
        <v>31</v>
      </c>
      <c r="F81" s="1" t="s">
        <v>32</v>
      </c>
      <c r="G81" s="1" t="s">
        <v>23</v>
      </c>
      <c r="H81">
        <v>3.5</v>
      </c>
      <c r="I81">
        <v>1228</v>
      </c>
      <c r="J81" s="1" t="s">
        <v>83</v>
      </c>
      <c r="K81">
        <v>9</v>
      </c>
      <c r="L81" s="1" t="s">
        <v>30</v>
      </c>
    </row>
    <row r="82" spans="1:12" x14ac:dyDescent="0.25">
      <c r="A82">
        <v>69</v>
      </c>
      <c r="B82">
        <v>22</v>
      </c>
      <c r="C82">
        <v>38</v>
      </c>
      <c r="D82">
        <v>5</v>
      </c>
      <c r="E82" s="1" t="s">
        <v>31</v>
      </c>
      <c r="F82" s="1" t="s">
        <v>32</v>
      </c>
      <c r="G82" s="1" t="s">
        <v>24</v>
      </c>
      <c r="H82">
        <v>3.5</v>
      </c>
      <c r="I82">
        <v>787</v>
      </c>
      <c r="J82" s="1" t="s">
        <v>26</v>
      </c>
      <c r="K82">
        <v>6</v>
      </c>
      <c r="L82" s="1" t="s">
        <v>28</v>
      </c>
    </row>
    <row r="83" spans="1:12" x14ac:dyDescent="0.25">
      <c r="A83">
        <v>30</v>
      </c>
      <c r="B83">
        <v>12</v>
      </c>
      <c r="C83">
        <v>38</v>
      </c>
      <c r="D83">
        <v>5</v>
      </c>
      <c r="E83" s="1" t="s">
        <v>46</v>
      </c>
      <c r="F83" s="1" t="s">
        <v>41</v>
      </c>
      <c r="G83" s="1" t="s">
        <v>23</v>
      </c>
      <c r="H83">
        <v>4</v>
      </c>
      <c r="I83">
        <v>2916</v>
      </c>
      <c r="J83" s="1" t="s">
        <v>49</v>
      </c>
      <c r="K83">
        <v>4</v>
      </c>
      <c r="L83" s="1" t="s">
        <v>34</v>
      </c>
    </row>
    <row r="84" spans="1:12" x14ac:dyDescent="0.25">
      <c r="A84">
        <v>59</v>
      </c>
      <c r="B84">
        <v>56</v>
      </c>
      <c r="C84">
        <v>37</v>
      </c>
      <c r="D84">
        <v>3</v>
      </c>
      <c r="E84" s="1" t="s">
        <v>46</v>
      </c>
      <c r="F84" s="1" t="s">
        <v>32</v>
      </c>
      <c r="G84" s="1" t="s">
        <v>23</v>
      </c>
      <c r="H84">
        <v>5</v>
      </c>
      <c r="I84">
        <v>3348</v>
      </c>
      <c r="J84" s="1" t="s">
        <v>36</v>
      </c>
      <c r="K84">
        <v>6</v>
      </c>
      <c r="L84" s="1" t="s">
        <v>40</v>
      </c>
    </row>
    <row r="85" spans="1:12" x14ac:dyDescent="0.25">
      <c r="A85">
        <v>97</v>
      </c>
      <c r="B85">
        <v>31</v>
      </c>
      <c r="C85">
        <v>37</v>
      </c>
      <c r="D85">
        <v>4</v>
      </c>
      <c r="E85" s="1" t="s">
        <v>46</v>
      </c>
      <c r="F85" s="1" t="s">
        <v>41</v>
      </c>
      <c r="G85" s="1" t="s">
        <v>24</v>
      </c>
      <c r="H85">
        <v>4</v>
      </c>
      <c r="I85">
        <v>2884</v>
      </c>
      <c r="J85" s="1" t="s">
        <v>83</v>
      </c>
      <c r="K85">
        <v>8</v>
      </c>
      <c r="L85" s="1" t="s">
        <v>34</v>
      </c>
    </row>
    <row r="86" spans="1:12" x14ac:dyDescent="0.25">
      <c r="A86">
        <v>102</v>
      </c>
      <c r="B86">
        <v>25</v>
      </c>
      <c r="C86">
        <v>37</v>
      </c>
      <c r="D86">
        <v>5</v>
      </c>
      <c r="E86" s="1" t="s">
        <v>46</v>
      </c>
      <c r="F86" s="1" t="s">
        <v>32</v>
      </c>
      <c r="G86" s="1" t="s">
        <v>23</v>
      </c>
      <c r="H86">
        <v>5</v>
      </c>
      <c r="I86">
        <v>3933</v>
      </c>
      <c r="J86" s="1" t="s">
        <v>36</v>
      </c>
      <c r="K86">
        <v>6</v>
      </c>
      <c r="L86" s="1" t="s">
        <v>53</v>
      </c>
    </row>
    <row r="87" spans="1:12" x14ac:dyDescent="0.25">
      <c r="A87">
        <v>25</v>
      </c>
      <c r="B87">
        <v>22</v>
      </c>
      <c r="C87">
        <v>36</v>
      </c>
      <c r="D87">
        <v>1</v>
      </c>
      <c r="E87" s="1" t="s">
        <v>46</v>
      </c>
      <c r="F87" s="1" t="s">
        <v>38</v>
      </c>
      <c r="G87" s="1" t="s">
        <v>23</v>
      </c>
      <c r="H87">
        <v>5</v>
      </c>
      <c r="I87">
        <v>3348</v>
      </c>
      <c r="J87" s="1" t="s">
        <v>26</v>
      </c>
      <c r="K87">
        <v>9</v>
      </c>
      <c r="L87" s="1" t="s">
        <v>40</v>
      </c>
    </row>
    <row r="88" spans="1:12" x14ac:dyDescent="0.25">
      <c r="A88">
        <v>36</v>
      </c>
      <c r="B88">
        <v>19</v>
      </c>
      <c r="C88">
        <v>36</v>
      </c>
      <c r="D88">
        <v>2</v>
      </c>
      <c r="E88" s="1" t="s">
        <v>46</v>
      </c>
      <c r="F88" s="1" t="s">
        <v>38</v>
      </c>
      <c r="G88" s="1" t="s">
        <v>23</v>
      </c>
      <c r="H88">
        <v>4</v>
      </c>
      <c r="I88">
        <v>3003</v>
      </c>
      <c r="J88" s="1" t="s">
        <v>36</v>
      </c>
      <c r="K88">
        <v>5</v>
      </c>
      <c r="L88" s="1" t="s">
        <v>28</v>
      </c>
    </row>
    <row r="89" spans="1:12" x14ac:dyDescent="0.25">
      <c r="A89">
        <v>87</v>
      </c>
      <c r="B89">
        <v>18</v>
      </c>
      <c r="C89">
        <v>36</v>
      </c>
      <c r="D89">
        <v>3</v>
      </c>
      <c r="E89" s="1" t="s">
        <v>21</v>
      </c>
      <c r="F89" s="1" t="s">
        <v>29</v>
      </c>
      <c r="G89" s="1" t="s">
        <v>23</v>
      </c>
      <c r="H89">
        <v>3</v>
      </c>
      <c r="I89">
        <v>3981</v>
      </c>
      <c r="J89" s="1" t="s">
        <v>36</v>
      </c>
      <c r="K89">
        <v>3</v>
      </c>
      <c r="L89" s="1" t="s">
        <v>28</v>
      </c>
    </row>
    <row r="90" spans="1:12" x14ac:dyDescent="0.25">
      <c r="A90">
        <v>84</v>
      </c>
      <c r="B90">
        <v>18</v>
      </c>
      <c r="C90">
        <v>36</v>
      </c>
      <c r="D90">
        <v>5</v>
      </c>
      <c r="E90" s="1" t="s">
        <v>21</v>
      </c>
      <c r="F90" s="1" t="s">
        <v>32</v>
      </c>
      <c r="G90" s="1" t="s">
        <v>23</v>
      </c>
      <c r="H90">
        <v>3.5</v>
      </c>
      <c r="I90">
        <v>732</v>
      </c>
      <c r="J90" s="1" t="s">
        <v>26</v>
      </c>
      <c r="K90">
        <v>4</v>
      </c>
      <c r="L90" s="1" t="s">
        <v>51</v>
      </c>
    </row>
    <row r="91" spans="1:12" x14ac:dyDescent="0.25">
      <c r="A91">
        <v>56</v>
      </c>
      <c r="B91">
        <v>14</v>
      </c>
      <c r="C91">
        <v>36</v>
      </c>
      <c r="D91">
        <v>5</v>
      </c>
      <c r="E91" s="1" t="s">
        <v>21</v>
      </c>
      <c r="F91" s="1" t="s">
        <v>41</v>
      </c>
      <c r="G91" s="1" t="s">
        <v>23</v>
      </c>
      <c r="H91">
        <v>4</v>
      </c>
      <c r="I91">
        <v>3003</v>
      </c>
      <c r="J91" s="1" t="s">
        <v>26</v>
      </c>
      <c r="K91">
        <v>3</v>
      </c>
      <c r="L91" s="1" t="s">
        <v>58</v>
      </c>
    </row>
    <row r="92" spans="1:12" x14ac:dyDescent="0.25">
      <c r="A92">
        <v>42</v>
      </c>
      <c r="B92">
        <v>11</v>
      </c>
      <c r="C92">
        <v>36</v>
      </c>
      <c r="D92">
        <v>5</v>
      </c>
      <c r="E92" s="1" t="s">
        <v>21</v>
      </c>
      <c r="F92" s="1" t="s">
        <v>41</v>
      </c>
      <c r="G92" s="1" t="s">
        <v>23</v>
      </c>
      <c r="H92">
        <v>3.5</v>
      </c>
      <c r="I92">
        <v>1228</v>
      </c>
      <c r="J92" s="1" t="s">
        <v>26</v>
      </c>
      <c r="K92">
        <v>7</v>
      </c>
      <c r="L92" s="1" t="s">
        <v>58</v>
      </c>
    </row>
    <row r="93" spans="1:12" x14ac:dyDescent="0.25">
      <c r="A93">
        <v>63</v>
      </c>
      <c r="B93">
        <v>27</v>
      </c>
      <c r="C93">
        <v>35</v>
      </c>
      <c r="D93">
        <v>4</v>
      </c>
      <c r="E93" s="1" t="s">
        <v>31</v>
      </c>
      <c r="F93" s="1" t="s">
        <v>41</v>
      </c>
      <c r="G93" s="1" t="s">
        <v>23</v>
      </c>
      <c r="H93">
        <v>5</v>
      </c>
      <c r="I93">
        <v>3348</v>
      </c>
      <c r="J93" s="1" t="s">
        <v>36</v>
      </c>
      <c r="K93">
        <v>5</v>
      </c>
      <c r="L93" s="1" t="s">
        <v>51</v>
      </c>
    </row>
    <row r="94" spans="1:12" x14ac:dyDescent="0.25">
      <c r="A94">
        <v>31</v>
      </c>
      <c r="B94">
        <v>25</v>
      </c>
      <c r="C94">
        <v>35</v>
      </c>
      <c r="D94">
        <v>3</v>
      </c>
      <c r="E94" s="1" t="s">
        <v>55</v>
      </c>
      <c r="F94" s="1" t="s">
        <v>32</v>
      </c>
      <c r="G94" s="1" t="s">
        <v>23</v>
      </c>
      <c r="H94">
        <v>5</v>
      </c>
      <c r="I94">
        <v>3025</v>
      </c>
      <c r="J94" s="1" t="s">
        <v>83</v>
      </c>
      <c r="K94">
        <v>7</v>
      </c>
      <c r="L94" s="1" t="s">
        <v>53</v>
      </c>
    </row>
    <row r="95" spans="1:12" x14ac:dyDescent="0.25">
      <c r="A95">
        <v>34</v>
      </c>
      <c r="B95">
        <v>12</v>
      </c>
      <c r="C95">
        <v>35</v>
      </c>
      <c r="D95">
        <v>4</v>
      </c>
      <c r="E95" s="1" t="s">
        <v>31</v>
      </c>
      <c r="F95" s="1" t="s">
        <v>41</v>
      </c>
      <c r="G95" s="1" t="s">
        <v>24</v>
      </c>
      <c r="H95">
        <v>3.5</v>
      </c>
      <c r="I95">
        <v>787</v>
      </c>
      <c r="J95" s="1" t="s">
        <v>26</v>
      </c>
      <c r="K95">
        <v>3</v>
      </c>
      <c r="L95" s="1" t="s">
        <v>40</v>
      </c>
    </row>
    <row r="96" spans="1:12" x14ac:dyDescent="0.25">
      <c r="A96">
        <v>26</v>
      </c>
      <c r="B96">
        <v>17</v>
      </c>
      <c r="C96">
        <v>34</v>
      </c>
      <c r="D96">
        <v>5</v>
      </c>
      <c r="E96" s="1" t="s">
        <v>31</v>
      </c>
      <c r="F96" s="1" t="s">
        <v>41</v>
      </c>
      <c r="G96" s="1" t="s">
        <v>24</v>
      </c>
      <c r="H96">
        <v>3</v>
      </c>
      <c r="I96">
        <v>716</v>
      </c>
      <c r="J96" s="1" t="s">
        <v>26</v>
      </c>
      <c r="K96">
        <v>7</v>
      </c>
      <c r="L96" s="1" t="s">
        <v>28</v>
      </c>
    </row>
    <row r="97" spans="1:12" x14ac:dyDescent="0.25">
      <c r="A97">
        <v>113</v>
      </c>
      <c r="B97">
        <v>48</v>
      </c>
      <c r="C97">
        <v>33</v>
      </c>
      <c r="D97">
        <v>3</v>
      </c>
      <c r="E97" s="1" t="s">
        <v>31</v>
      </c>
      <c r="F97" s="1" t="s">
        <v>32</v>
      </c>
      <c r="G97" s="1" t="s">
        <v>23</v>
      </c>
      <c r="H97">
        <v>3</v>
      </c>
      <c r="I97">
        <v>315</v>
      </c>
      <c r="J97" s="1" t="s">
        <v>26</v>
      </c>
      <c r="K97">
        <v>4</v>
      </c>
      <c r="L97" s="1" t="s">
        <v>53</v>
      </c>
    </row>
    <row r="98" spans="1:12" x14ac:dyDescent="0.25">
      <c r="A98">
        <v>146</v>
      </c>
      <c r="B98">
        <v>17</v>
      </c>
      <c r="C98">
        <v>33</v>
      </c>
      <c r="D98">
        <v>4</v>
      </c>
      <c r="E98" s="1" t="s">
        <v>46</v>
      </c>
      <c r="F98" s="1" t="s">
        <v>32</v>
      </c>
      <c r="G98" s="1" t="s">
        <v>23</v>
      </c>
      <c r="H98">
        <v>3</v>
      </c>
      <c r="I98">
        <v>3773</v>
      </c>
      <c r="J98" s="1" t="s">
        <v>49</v>
      </c>
      <c r="K98">
        <v>2</v>
      </c>
      <c r="L98" s="1" t="s">
        <v>34</v>
      </c>
    </row>
    <row r="99" spans="1:12" x14ac:dyDescent="0.25">
      <c r="A99">
        <v>60</v>
      </c>
      <c r="B99">
        <v>11</v>
      </c>
      <c r="C99">
        <v>33</v>
      </c>
      <c r="D99">
        <v>5</v>
      </c>
      <c r="E99" s="1" t="s">
        <v>21</v>
      </c>
      <c r="F99" s="1" t="s">
        <v>41</v>
      </c>
      <c r="G99" s="1" t="s">
        <v>24</v>
      </c>
      <c r="H99">
        <v>3.5</v>
      </c>
      <c r="I99">
        <v>787</v>
      </c>
      <c r="J99" s="1" t="s">
        <v>26</v>
      </c>
      <c r="K99">
        <v>3</v>
      </c>
      <c r="L99" s="1" t="s">
        <v>28</v>
      </c>
    </row>
    <row r="100" spans="1:12" x14ac:dyDescent="0.25">
      <c r="A100">
        <v>76</v>
      </c>
      <c r="B100">
        <v>27</v>
      </c>
      <c r="C100">
        <v>32</v>
      </c>
      <c r="D100">
        <v>3</v>
      </c>
      <c r="E100" s="1" t="s">
        <v>55</v>
      </c>
      <c r="F100" s="1" t="s">
        <v>41</v>
      </c>
      <c r="G100" s="1" t="s">
        <v>24</v>
      </c>
      <c r="H100">
        <v>3.5</v>
      </c>
      <c r="I100">
        <v>787</v>
      </c>
      <c r="J100" s="1" t="s">
        <v>36</v>
      </c>
      <c r="K100">
        <v>6</v>
      </c>
      <c r="L100" s="1" t="s">
        <v>28</v>
      </c>
    </row>
    <row r="101" spans="1:12" x14ac:dyDescent="0.25">
      <c r="A101">
        <v>30</v>
      </c>
      <c r="B101">
        <v>10</v>
      </c>
      <c r="C101">
        <v>32</v>
      </c>
      <c r="D101">
        <v>3</v>
      </c>
      <c r="E101" s="1" t="s">
        <v>31</v>
      </c>
      <c r="F101" s="1" t="s">
        <v>41</v>
      </c>
      <c r="G101" s="1" t="s">
        <v>23</v>
      </c>
      <c r="H101">
        <v>4</v>
      </c>
      <c r="I101">
        <v>3003</v>
      </c>
      <c r="J101" s="1" t="s">
        <v>26</v>
      </c>
      <c r="K101">
        <v>2</v>
      </c>
      <c r="L101" s="1" t="s">
        <v>51</v>
      </c>
    </row>
    <row r="102" spans="1:12" x14ac:dyDescent="0.25">
      <c r="A102">
        <v>154</v>
      </c>
      <c r="B102">
        <v>23</v>
      </c>
      <c r="C102">
        <v>31</v>
      </c>
      <c r="D102">
        <v>4</v>
      </c>
      <c r="E102" s="1" t="s">
        <v>55</v>
      </c>
      <c r="F102" s="1" t="s">
        <v>22</v>
      </c>
      <c r="G102" s="1" t="s">
        <v>23</v>
      </c>
      <c r="H102">
        <v>4</v>
      </c>
      <c r="I102">
        <v>826</v>
      </c>
      <c r="J102" s="1" t="s">
        <v>26</v>
      </c>
      <c r="K102">
        <v>4</v>
      </c>
      <c r="L102" s="1" t="s">
        <v>28</v>
      </c>
    </row>
    <row r="103" spans="1:12" x14ac:dyDescent="0.25">
      <c r="A103">
        <v>28</v>
      </c>
      <c r="B103">
        <v>23</v>
      </c>
      <c r="C103">
        <v>31</v>
      </c>
      <c r="D103">
        <v>3</v>
      </c>
      <c r="E103" s="1" t="s">
        <v>21</v>
      </c>
      <c r="F103" s="1" t="s">
        <v>41</v>
      </c>
      <c r="G103" s="1" t="s">
        <v>23</v>
      </c>
      <c r="H103">
        <v>5</v>
      </c>
      <c r="I103">
        <v>3025</v>
      </c>
      <c r="J103" s="1" t="s">
        <v>26</v>
      </c>
      <c r="K103">
        <v>4</v>
      </c>
      <c r="L103" s="1" t="s">
        <v>30</v>
      </c>
    </row>
    <row r="104" spans="1:12" x14ac:dyDescent="0.25">
      <c r="A104">
        <v>39</v>
      </c>
      <c r="B104">
        <v>20</v>
      </c>
      <c r="C104">
        <v>31</v>
      </c>
      <c r="D104">
        <v>4</v>
      </c>
      <c r="E104" s="1" t="s">
        <v>55</v>
      </c>
      <c r="F104" s="1" t="s">
        <v>41</v>
      </c>
      <c r="G104" s="1" t="s">
        <v>23</v>
      </c>
      <c r="H104">
        <v>5</v>
      </c>
      <c r="I104">
        <v>4027</v>
      </c>
      <c r="J104" s="1" t="s">
        <v>36</v>
      </c>
      <c r="K104">
        <v>8</v>
      </c>
      <c r="L104" s="1" t="s">
        <v>28</v>
      </c>
    </row>
    <row r="105" spans="1:12" x14ac:dyDescent="0.25">
      <c r="A105">
        <v>54</v>
      </c>
      <c r="B105">
        <v>18</v>
      </c>
      <c r="C105">
        <v>31</v>
      </c>
      <c r="D105">
        <v>4</v>
      </c>
      <c r="E105" s="1" t="s">
        <v>46</v>
      </c>
      <c r="F105" s="1" t="s">
        <v>22</v>
      </c>
      <c r="G105" s="1" t="s">
        <v>23</v>
      </c>
      <c r="H105">
        <v>5</v>
      </c>
      <c r="I105">
        <v>3348</v>
      </c>
      <c r="J105" s="1" t="s">
        <v>26</v>
      </c>
      <c r="K105">
        <v>5</v>
      </c>
      <c r="L105" s="1" t="s">
        <v>51</v>
      </c>
    </row>
    <row r="106" spans="1:12" x14ac:dyDescent="0.25">
      <c r="A106">
        <v>142</v>
      </c>
      <c r="B106">
        <v>17</v>
      </c>
      <c r="C106">
        <v>31</v>
      </c>
      <c r="D106">
        <v>4</v>
      </c>
      <c r="E106" s="1" t="s">
        <v>55</v>
      </c>
      <c r="F106" s="1" t="s">
        <v>41</v>
      </c>
      <c r="G106" s="1" t="s">
        <v>24</v>
      </c>
      <c r="H106">
        <v>5</v>
      </c>
      <c r="I106">
        <v>2700</v>
      </c>
      <c r="J106" s="1" t="s">
        <v>26</v>
      </c>
      <c r="K106">
        <v>3</v>
      </c>
      <c r="L106" s="1" t="s">
        <v>58</v>
      </c>
    </row>
    <row r="107" spans="1:12" x14ac:dyDescent="0.25">
      <c r="A107">
        <v>39</v>
      </c>
      <c r="B107">
        <v>15</v>
      </c>
      <c r="C107">
        <v>31</v>
      </c>
      <c r="D107">
        <v>3</v>
      </c>
      <c r="E107" s="1" t="s">
        <v>31</v>
      </c>
      <c r="F107" s="1" t="s">
        <v>22</v>
      </c>
      <c r="G107" s="1" t="s">
        <v>24</v>
      </c>
      <c r="H107">
        <v>4</v>
      </c>
      <c r="I107">
        <v>1467</v>
      </c>
      <c r="J107" s="1" t="s">
        <v>36</v>
      </c>
      <c r="K107">
        <v>1</v>
      </c>
      <c r="L107" s="1" t="s">
        <v>53</v>
      </c>
    </row>
    <row r="108" spans="1:12" x14ac:dyDescent="0.25">
      <c r="A108">
        <v>62</v>
      </c>
      <c r="B108">
        <v>13</v>
      </c>
      <c r="C108">
        <v>31</v>
      </c>
      <c r="D108">
        <v>4</v>
      </c>
      <c r="E108" s="1" t="s">
        <v>55</v>
      </c>
      <c r="F108" s="1" t="s">
        <v>29</v>
      </c>
      <c r="G108" s="1" t="s">
        <v>23</v>
      </c>
      <c r="H108">
        <v>5</v>
      </c>
      <c r="I108">
        <v>3933</v>
      </c>
      <c r="J108" s="1" t="s">
        <v>26</v>
      </c>
      <c r="K108">
        <v>2</v>
      </c>
      <c r="L108" s="1" t="s">
        <v>40</v>
      </c>
    </row>
    <row r="109" spans="1:12" x14ac:dyDescent="0.25">
      <c r="A109">
        <v>60</v>
      </c>
      <c r="B109">
        <v>4</v>
      </c>
      <c r="C109">
        <v>31</v>
      </c>
      <c r="D109">
        <v>4</v>
      </c>
      <c r="E109" s="1" t="s">
        <v>31</v>
      </c>
      <c r="F109" s="1" t="s">
        <v>41</v>
      </c>
      <c r="G109" s="1" t="s">
        <v>23</v>
      </c>
      <c r="H109">
        <v>3.5</v>
      </c>
      <c r="I109">
        <v>732</v>
      </c>
      <c r="J109" s="1" t="s">
        <v>26</v>
      </c>
      <c r="K109">
        <v>2</v>
      </c>
      <c r="L109" s="1" t="s">
        <v>40</v>
      </c>
    </row>
    <row r="110" spans="1:12" x14ac:dyDescent="0.25">
      <c r="A110">
        <v>34</v>
      </c>
      <c r="B110">
        <v>17</v>
      </c>
      <c r="C110">
        <v>30</v>
      </c>
      <c r="D110">
        <v>4</v>
      </c>
      <c r="E110" s="1" t="s">
        <v>21</v>
      </c>
      <c r="F110" s="1" t="s">
        <v>32</v>
      </c>
      <c r="G110" s="1" t="s">
        <v>24</v>
      </c>
      <c r="H110">
        <v>4</v>
      </c>
      <c r="I110">
        <v>1467</v>
      </c>
      <c r="J110" s="1" t="s">
        <v>36</v>
      </c>
      <c r="K110">
        <v>8</v>
      </c>
      <c r="L110" s="1" t="s">
        <v>53</v>
      </c>
    </row>
    <row r="111" spans="1:12" x14ac:dyDescent="0.25">
      <c r="A111">
        <v>48</v>
      </c>
      <c r="B111">
        <v>14</v>
      </c>
      <c r="C111">
        <v>30</v>
      </c>
      <c r="D111">
        <v>5</v>
      </c>
      <c r="E111" s="1" t="s">
        <v>46</v>
      </c>
      <c r="F111" s="1" t="s">
        <v>29</v>
      </c>
      <c r="G111" s="1" t="s">
        <v>23</v>
      </c>
      <c r="H111">
        <v>5</v>
      </c>
      <c r="I111">
        <v>1282</v>
      </c>
      <c r="J111" s="1" t="s">
        <v>26</v>
      </c>
      <c r="K111">
        <v>9</v>
      </c>
      <c r="L111" s="1" t="s">
        <v>51</v>
      </c>
    </row>
    <row r="112" spans="1:12" x14ac:dyDescent="0.25">
      <c r="A112">
        <v>28</v>
      </c>
      <c r="B112">
        <v>12</v>
      </c>
      <c r="C112">
        <v>30</v>
      </c>
      <c r="D112">
        <v>5</v>
      </c>
      <c r="E112" s="1" t="s">
        <v>46</v>
      </c>
      <c r="F112" s="1" t="s">
        <v>41</v>
      </c>
      <c r="G112" s="1" t="s">
        <v>23</v>
      </c>
      <c r="H112">
        <v>5</v>
      </c>
      <c r="I112">
        <v>2034</v>
      </c>
      <c r="J112" s="1" t="s">
        <v>36</v>
      </c>
      <c r="K112">
        <v>2</v>
      </c>
      <c r="L112" s="1" t="s">
        <v>34</v>
      </c>
    </row>
    <row r="113" spans="1:12" x14ac:dyDescent="0.25">
      <c r="A113">
        <v>24</v>
      </c>
      <c r="B113">
        <v>12</v>
      </c>
      <c r="C113">
        <v>30</v>
      </c>
      <c r="D113">
        <v>4</v>
      </c>
      <c r="E113" s="1" t="s">
        <v>55</v>
      </c>
      <c r="F113" s="1" t="s">
        <v>41</v>
      </c>
      <c r="G113" s="1" t="s">
        <v>24</v>
      </c>
      <c r="H113">
        <v>3.5</v>
      </c>
      <c r="I113">
        <v>787</v>
      </c>
      <c r="J113" s="1" t="s">
        <v>36</v>
      </c>
      <c r="K113">
        <v>4</v>
      </c>
      <c r="L113" s="1" t="s">
        <v>58</v>
      </c>
    </row>
    <row r="114" spans="1:12" x14ac:dyDescent="0.25">
      <c r="A114">
        <v>78</v>
      </c>
      <c r="B114">
        <v>11</v>
      </c>
      <c r="C114">
        <v>30</v>
      </c>
      <c r="D114">
        <v>4</v>
      </c>
      <c r="E114" s="1" t="s">
        <v>55</v>
      </c>
      <c r="F114" s="1" t="s">
        <v>29</v>
      </c>
      <c r="G114" s="1" t="s">
        <v>24</v>
      </c>
      <c r="H114">
        <v>4</v>
      </c>
      <c r="I114">
        <v>2884</v>
      </c>
      <c r="J114" s="1" t="s">
        <v>26</v>
      </c>
      <c r="K114">
        <v>2</v>
      </c>
      <c r="L114" s="1" t="s">
        <v>40</v>
      </c>
    </row>
    <row r="115" spans="1:12" x14ac:dyDescent="0.25">
      <c r="A115">
        <v>34</v>
      </c>
      <c r="B115">
        <v>8</v>
      </c>
      <c r="C115">
        <v>30</v>
      </c>
      <c r="D115">
        <v>3</v>
      </c>
      <c r="E115" s="1" t="s">
        <v>21</v>
      </c>
      <c r="F115" s="1" t="s">
        <v>38</v>
      </c>
      <c r="G115" s="1" t="s">
        <v>23</v>
      </c>
      <c r="H115">
        <v>3</v>
      </c>
      <c r="I115">
        <v>3981</v>
      </c>
      <c r="J115" s="1" t="s">
        <v>44</v>
      </c>
      <c r="K115">
        <v>4</v>
      </c>
      <c r="L115" s="1" t="s">
        <v>40</v>
      </c>
    </row>
    <row r="116" spans="1:12" x14ac:dyDescent="0.25">
      <c r="A116">
        <v>43</v>
      </c>
      <c r="B116">
        <v>38</v>
      </c>
      <c r="C116">
        <v>29</v>
      </c>
      <c r="D116">
        <v>5</v>
      </c>
      <c r="E116" s="1" t="s">
        <v>55</v>
      </c>
      <c r="F116" s="1" t="s">
        <v>41</v>
      </c>
      <c r="G116" s="1" t="s">
        <v>23</v>
      </c>
      <c r="H116">
        <v>5</v>
      </c>
      <c r="I116">
        <v>4027</v>
      </c>
      <c r="J116" s="1" t="s">
        <v>49</v>
      </c>
      <c r="K116">
        <v>4</v>
      </c>
      <c r="L116" s="1" t="s">
        <v>34</v>
      </c>
    </row>
    <row r="117" spans="1:12" x14ac:dyDescent="0.25">
      <c r="A117">
        <v>50</v>
      </c>
      <c r="B117">
        <v>13</v>
      </c>
      <c r="C117">
        <v>29</v>
      </c>
      <c r="D117">
        <v>4</v>
      </c>
      <c r="E117" s="1" t="s">
        <v>55</v>
      </c>
      <c r="F117" s="1" t="s">
        <v>41</v>
      </c>
      <c r="G117" s="1" t="s">
        <v>23</v>
      </c>
      <c r="H117">
        <v>4</v>
      </c>
      <c r="I117">
        <v>826</v>
      </c>
      <c r="J117" s="1" t="s">
        <v>26</v>
      </c>
      <c r="K117">
        <v>8</v>
      </c>
      <c r="L117" s="1" t="s">
        <v>28</v>
      </c>
    </row>
    <row r="118" spans="1:12" x14ac:dyDescent="0.25">
      <c r="A118">
        <v>15</v>
      </c>
      <c r="B118">
        <v>10</v>
      </c>
      <c r="C118">
        <v>29</v>
      </c>
      <c r="D118">
        <v>3</v>
      </c>
      <c r="E118" s="1" t="s">
        <v>31</v>
      </c>
      <c r="F118" s="1" t="s">
        <v>32</v>
      </c>
      <c r="G118" s="1" t="s">
        <v>23</v>
      </c>
      <c r="H118">
        <v>5</v>
      </c>
      <c r="I118">
        <v>3348</v>
      </c>
      <c r="J118" s="1" t="s">
        <v>26</v>
      </c>
      <c r="K118">
        <v>9</v>
      </c>
      <c r="L118" s="1" t="s">
        <v>30</v>
      </c>
    </row>
    <row r="119" spans="1:12" x14ac:dyDescent="0.25">
      <c r="A119">
        <v>26</v>
      </c>
      <c r="B119">
        <v>10</v>
      </c>
      <c r="C119">
        <v>28</v>
      </c>
      <c r="D119">
        <v>5</v>
      </c>
      <c r="E119" s="1" t="s">
        <v>31</v>
      </c>
      <c r="F119" s="1" t="s">
        <v>38</v>
      </c>
      <c r="G119" s="1" t="s">
        <v>23</v>
      </c>
      <c r="H119">
        <v>3</v>
      </c>
      <c r="I119">
        <v>3981</v>
      </c>
      <c r="J119" s="1" t="s">
        <v>26</v>
      </c>
      <c r="K119">
        <v>1</v>
      </c>
      <c r="L119" s="1" t="s">
        <v>51</v>
      </c>
    </row>
    <row r="120" spans="1:12" x14ac:dyDescent="0.25">
      <c r="A120">
        <v>19</v>
      </c>
      <c r="B120">
        <v>9</v>
      </c>
      <c r="C120">
        <v>28</v>
      </c>
      <c r="D120">
        <v>5</v>
      </c>
      <c r="E120" s="1" t="s">
        <v>31</v>
      </c>
      <c r="F120" s="1" t="s">
        <v>41</v>
      </c>
      <c r="G120" s="1" t="s">
        <v>24</v>
      </c>
      <c r="H120">
        <v>4</v>
      </c>
      <c r="I120">
        <v>1467</v>
      </c>
      <c r="J120" s="1" t="s">
        <v>36</v>
      </c>
      <c r="K120">
        <v>3</v>
      </c>
      <c r="L120" s="1" t="s">
        <v>30</v>
      </c>
    </row>
    <row r="121" spans="1:12" x14ac:dyDescent="0.25">
      <c r="A121">
        <v>113</v>
      </c>
      <c r="B121">
        <v>38</v>
      </c>
      <c r="C121">
        <v>27</v>
      </c>
      <c r="D121">
        <v>4</v>
      </c>
      <c r="E121" s="1" t="s">
        <v>31</v>
      </c>
      <c r="F121" s="1" t="s">
        <v>22</v>
      </c>
      <c r="G121" s="1" t="s">
        <v>23</v>
      </c>
      <c r="H121">
        <v>5</v>
      </c>
      <c r="I121">
        <v>2034</v>
      </c>
      <c r="J121" s="1" t="s">
        <v>26</v>
      </c>
      <c r="K121">
        <v>1</v>
      </c>
      <c r="L121" s="1" t="s">
        <v>40</v>
      </c>
    </row>
    <row r="122" spans="1:12" x14ac:dyDescent="0.25">
      <c r="A122">
        <v>25</v>
      </c>
      <c r="B122">
        <v>19</v>
      </c>
      <c r="C122">
        <v>27</v>
      </c>
      <c r="D122">
        <v>3</v>
      </c>
      <c r="E122" s="1" t="s">
        <v>21</v>
      </c>
      <c r="F122" s="1" t="s">
        <v>41</v>
      </c>
      <c r="G122" s="1" t="s">
        <v>23</v>
      </c>
      <c r="H122">
        <v>4</v>
      </c>
      <c r="I122">
        <v>826</v>
      </c>
      <c r="J122" s="1" t="s">
        <v>26</v>
      </c>
      <c r="K122">
        <v>8</v>
      </c>
      <c r="L122" s="1" t="s">
        <v>58</v>
      </c>
    </row>
    <row r="123" spans="1:12" x14ac:dyDescent="0.25">
      <c r="A123">
        <v>35</v>
      </c>
      <c r="B123">
        <v>17</v>
      </c>
      <c r="C123">
        <v>27</v>
      </c>
      <c r="D123">
        <v>5</v>
      </c>
      <c r="E123" s="1" t="s">
        <v>46</v>
      </c>
      <c r="F123" s="1" t="s">
        <v>41</v>
      </c>
      <c r="G123" s="1" t="s">
        <v>24</v>
      </c>
      <c r="H123">
        <v>3.5</v>
      </c>
      <c r="I123">
        <v>787</v>
      </c>
      <c r="J123" s="1" t="s">
        <v>36</v>
      </c>
      <c r="K123">
        <v>6</v>
      </c>
      <c r="L123" s="1" t="s">
        <v>40</v>
      </c>
    </row>
    <row r="124" spans="1:12" x14ac:dyDescent="0.25">
      <c r="A124">
        <v>43</v>
      </c>
      <c r="B124">
        <v>14</v>
      </c>
      <c r="C124">
        <v>27</v>
      </c>
      <c r="D124">
        <v>4</v>
      </c>
      <c r="E124" s="1" t="s">
        <v>46</v>
      </c>
      <c r="F124" s="1" t="s">
        <v>38</v>
      </c>
      <c r="G124" s="1" t="s">
        <v>24</v>
      </c>
      <c r="H124">
        <v>4</v>
      </c>
      <c r="I124">
        <v>2884</v>
      </c>
      <c r="J124" s="1" t="s">
        <v>44</v>
      </c>
      <c r="K124">
        <v>5</v>
      </c>
      <c r="L124" s="1" t="s">
        <v>28</v>
      </c>
    </row>
    <row r="125" spans="1:12" x14ac:dyDescent="0.25">
      <c r="A125">
        <v>92</v>
      </c>
      <c r="B125">
        <v>12</v>
      </c>
      <c r="C125">
        <v>27</v>
      </c>
      <c r="D125">
        <v>4</v>
      </c>
      <c r="E125" s="1" t="s">
        <v>55</v>
      </c>
      <c r="F125" s="1" t="s">
        <v>29</v>
      </c>
      <c r="G125" s="1" t="s">
        <v>23</v>
      </c>
      <c r="H125">
        <v>4.5</v>
      </c>
      <c r="I125">
        <v>188</v>
      </c>
      <c r="J125" s="1" t="s">
        <v>49</v>
      </c>
      <c r="K125">
        <v>2</v>
      </c>
      <c r="L125" s="1" t="s">
        <v>34</v>
      </c>
    </row>
    <row r="126" spans="1:12" x14ac:dyDescent="0.25">
      <c r="A126">
        <v>20</v>
      </c>
      <c r="B126">
        <v>10</v>
      </c>
      <c r="C126">
        <v>27</v>
      </c>
      <c r="D126">
        <v>4</v>
      </c>
      <c r="E126" s="1" t="s">
        <v>55</v>
      </c>
      <c r="F126" s="1" t="s">
        <v>41</v>
      </c>
      <c r="G126" s="1" t="s">
        <v>23</v>
      </c>
      <c r="H126">
        <v>4</v>
      </c>
      <c r="I126">
        <v>2916</v>
      </c>
      <c r="J126" s="1" t="s">
        <v>26</v>
      </c>
      <c r="K126">
        <v>2</v>
      </c>
      <c r="L126" s="1" t="s">
        <v>28</v>
      </c>
    </row>
    <row r="127" spans="1:12" x14ac:dyDescent="0.25">
      <c r="A127">
        <v>31</v>
      </c>
      <c r="B127">
        <v>8</v>
      </c>
      <c r="C127">
        <v>27</v>
      </c>
      <c r="D127">
        <v>3</v>
      </c>
      <c r="E127" s="1" t="s">
        <v>31</v>
      </c>
      <c r="F127" s="1" t="s">
        <v>41</v>
      </c>
      <c r="G127" s="1" t="s">
        <v>23</v>
      </c>
      <c r="H127">
        <v>3</v>
      </c>
      <c r="I127">
        <v>3773</v>
      </c>
      <c r="J127" s="1" t="s">
        <v>26</v>
      </c>
      <c r="K127">
        <v>2</v>
      </c>
      <c r="L127" s="1" t="s">
        <v>40</v>
      </c>
    </row>
    <row r="128" spans="1:12" x14ac:dyDescent="0.25">
      <c r="A128">
        <v>47</v>
      </c>
      <c r="B128">
        <v>6</v>
      </c>
      <c r="C128">
        <v>27</v>
      </c>
      <c r="D128">
        <v>4</v>
      </c>
      <c r="E128" s="1" t="s">
        <v>55</v>
      </c>
      <c r="F128" s="1" t="s">
        <v>22</v>
      </c>
      <c r="G128" s="1" t="s">
        <v>23</v>
      </c>
      <c r="H128">
        <v>3</v>
      </c>
      <c r="I128">
        <v>3981</v>
      </c>
      <c r="J128" s="1" t="s">
        <v>36</v>
      </c>
      <c r="K128">
        <v>5</v>
      </c>
      <c r="L128" s="1" t="s">
        <v>58</v>
      </c>
    </row>
    <row r="129" spans="1:12" x14ac:dyDescent="0.25">
      <c r="A129">
        <v>91</v>
      </c>
      <c r="B129">
        <v>16</v>
      </c>
      <c r="C129">
        <v>26</v>
      </c>
      <c r="D129">
        <v>4</v>
      </c>
      <c r="E129" s="1" t="s">
        <v>46</v>
      </c>
      <c r="F129" s="1" t="s">
        <v>29</v>
      </c>
      <c r="G129" s="1" t="s">
        <v>23</v>
      </c>
      <c r="H129">
        <v>5</v>
      </c>
      <c r="I129">
        <v>3025</v>
      </c>
      <c r="J129" s="1" t="s">
        <v>26</v>
      </c>
      <c r="K129">
        <v>3</v>
      </c>
      <c r="L129" s="1" t="s">
        <v>51</v>
      </c>
    </row>
    <row r="130" spans="1:12" x14ac:dyDescent="0.25">
      <c r="A130">
        <v>61</v>
      </c>
      <c r="B130">
        <v>13</v>
      </c>
      <c r="C130">
        <v>26</v>
      </c>
      <c r="D130">
        <v>2</v>
      </c>
      <c r="E130" s="1" t="s">
        <v>21</v>
      </c>
      <c r="F130" s="1" t="s">
        <v>41</v>
      </c>
      <c r="G130" s="1" t="s">
        <v>23</v>
      </c>
      <c r="H130">
        <v>3</v>
      </c>
      <c r="I130">
        <v>315</v>
      </c>
      <c r="J130" s="1" t="s">
        <v>36</v>
      </c>
      <c r="K130">
        <v>4</v>
      </c>
      <c r="L130" s="1" t="s">
        <v>53</v>
      </c>
    </row>
    <row r="131" spans="1:12" x14ac:dyDescent="0.25">
      <c r="A131">
        <v>22</v>
      </c>
      <c r="B131">
        <v>13</v>
      </c>
      <c r="C131">
        <v>26</v>
      </c>
      <c r="D131">
        <v>4</v>
      </c>
      <c r="E131" s="1" t="s">
        <v>31</v>
      </c>
      <c r="F131" s="1" t="s">
        <v>41</v>
      </c>
      <c r="G131" s="1" t="s">
        <v>23</v>
      </c>
      <c r="H131">
        <v>5</v>
      </c>
      <c r="I131">
        <v>4027</v>
      </c>
      <c r="J131" s="1" t="s">
        <v>49</v>
      </c>
      <c r="K131">
        <v>2</v>
      </c>
      <c r="L131" s="1" t="s">
        <v>30</v>
      </c>
    </row>
    <row r="132" spans="1:12" x14ac:dyDescent="0.25">
      <c r="A132">
        <v>40</v>
      </c>
      <c r="B132">
        <v>12</v>
      </c>
      <c r="C132">
        <v>26</v>
      </c>
      <c r="D132">
        <v>5</v>
      </c>
      <c r="E132" s="1" t="s">
        <v>55</v>
      </c>
      <c r="F132" s="1" t="s">
        <v>22</v>
      </c>
      <c r="G132" s="1" t="s">
        <v>24</v>
      </c>
      <c r="H132">
        <v>5</v>
      </c>
      <c r="I132">
        <v>2700</v>
      </c>
      <c r="J132" s="1" t="s">
        <v>26</v>
      </c>
      <c r="K132">
        <v>7</v>
      </c>
      <c r="L132" s="1" t="s">
        <v>34</v>
      </c>
    </row>
    <row r="133" spans="1:12" x14ac:dyDescent="0.25">
      <c r="A133">
        <v>83</v>
      </c>
      <c r="B133">
        <v>10</v>
      </c>
      <c r="C133">
        <v>26</v>
      </c>
      <c r="D133">
        <v>4</v>
      </c>
      <c r="E133" s="1" t="s">
        <v>31</v>
      </c>
      <c r="F133" s="1" t="s">
        <v>32</v>
      </c>
      <c r="G133" s="1" t="s">
        <v>23</v>
      </c>
      <c r="H133">
        <v>5</v>
      </c>
      <c r="I133">
        <v>4027</v>
      </c>
      <c r="J133" s="1" t="s">
        <v>49</v>
      </c>
      <c r="K133">
        <v>1</v>
      </c>
      <c r="L133" s="1" t="s">
        <v>40</v>
      </c>
    </row>
    <row r="134" spans="1:12" x14ac:dyDescent="0.25">
      <c r="A134">
        <v>34</v>
      </c>
      <c r="B134">
        <v>8</v>
      </c>
      <c r="C134">
        <v>26</v>
      </c>
      <c r="D134">
        <v>4</v>
      </c>
      <c r="E134" s="1" t="s">
        <v>46</v>
      </c>
      <c r="F134" s="1" t="s">
        <v>29</v>
      </c>
      <c r="G134" s="1" t="s">
        <v>23</v>
      </c>
      <c r="H134">
        <v>5</v>
      </c>
      <c r="I134">
        <v>2034</v>
      </c>
      <c r="J134" s="1" t="s">
        <v>26</v>
      </c>
      <c r="K134">
        <v>4</v>
      </c>
      <c r="L134" s="1" t="s">
        <v>40</v>
      </c>
    </row>
    <row r="135" spans="1:12" x14ac:dyDescent="0.25">
      <c r="A135">
        <v>73</v>
      </c>
      <c r="B135">
        <v>7</v>
      </c>
      <c r="C135">
        <v>26</v>
      </c>
      <c r="D135">
        <v>5</v>
      </c>
      <c r="E135" s="1" t="s">
        <v>46</v>
      </c>
      <c r="F135" s="1" t="s">
        <v>41</v>
      </c>
      <c r="G135" s="1" t="s">
        <v>23</v>
      </c>
      <c r="H135">
        <v>4</v>
      </c>
      <c r="I135">
        <v>2916</v>
      </c>
      <c r="J135" s="1" t="s">
        <v>26</v>
      </c>
      <c r="K135">
        <v>3</v>
      </c>
      <c r="L135" s="1" t="s">
        <v>28</v>
      </c>
    </row>
    <row r="136" spans="1:12" x14ac:dyDescent="0.25">
      <c r="A136">
        <v>8</v>
      </c>
      <c r="B136">
        <v>7</v>
      </c>
      <c r="C136">
        <v>26</v>
      </c>
      <c r="D136">
        <v>2</v>
      </c>
      <c r="E136" s="1" t="s">
        <v>55</v>
      </c>
      <c r="F136" s="1" t="s">
        <v>41</v>
      </c>
      <c r="G136" s="1" t="s">
        <v>23</v>
      </c>
      <c r="H136">
        <v>3</v>
      </c>
      <c r="I136">
        <v>3773</v>
      </c>
      <c r="J136" s="1" t="s">
        <v>26</v>
      </c>
      <c r="K136">
        <v>10</v>
      </c>
      <c r="L136" s="1" t="s">
        <v>58</v>
      </c>
    </row>
    <row r="137" spans="1:12" x14ac:dyDescent="0.25">
      <c r="A137">
        <v>30</v>
      </c>
      <c r="B137">
        <v>6</v>
      </c>
      <c r="C137">
        <v>26</v>
      </c>
      <c r="D137">
        <v>4</v>
      </c>
      <c r="E137" s="1" t="s">
        <v>21</v>
      </c>
      <c r="F137" s="1" t="s">
        <v>41</v>
      </c>
      <c r="G137" s="1" t="s">
        <v>23</v>
      </c>
      <c r="H137">
        <v>5</v>
      </c>
      <c r="I137">
        <v>3933</v>
      </c>
      <c r="J137" s="1" t="s">
        <v>26</v>
      </c>
      <c r="K137">
        <v>3</v>
      </c>
      <c r="L137" s="1" t="s">
        <v>40</v>
      </c>
    </row>
    <row r="138" spans="1:12" x14ac:dyDescent="0.25">
      <c r="A138">
        <v>62</v>
      </c>
      <c r="B138">
        <v>40</v>
      </c>
      <c r="C138">
        <v>25</v>
      </c>
      <c r="D138">
        <v>5</v>
      </c>
      <c r="E138" s="1" t="s">
        <v>46</v>
      </c>
      <c r="F138" s="1" t="s">
        <v>32</v>
      </c>
      <c r="G138" s="1" t="s">
        <v>23</v>
      </c>
      <c r="H138">
        <v>3.5</v>
      </c>
      <c r="I138">
        <v>732</v>
      </c>
      <c r="J138" s="1" t="s">
        <v>44</v>
      </c>
      <c r="K138">
        <v>5</v>
      </c>
      <c r="L138" s="1" t="s">
        <v>53</v>
      </c>
    </row>
    <row r="139" spans="1:12" x14ac:dyDescent="0.25">
      <c r="A139">
        <v>22</v>
      </c>
      <c r="B139">
        <v>15</v>
      </c>
      <c r="C139">
        <v>25</v>
      </c>
      <c r="D139">
        <v>4</v>
      </c>
      <c r="E139" s="1" t="s">
        <v>55</v>
      </c>
      <c r="F139" s="1" t="s">
        <v>32</v>
      </c>
      <c r="G139" s="1" t="s">
        <v>23</v>
      </c>
      <c r="H139">
        <v>3.5</v>
      </c>
      <c r="I139">
        <v>1228</v>
      </c>
      <c r="J139" s="1" t="s">
        <v>26</v>
      </c>
      <c r="K139">
        <v>6</v>
      </c>
      <c r="L139" s="1" t="s">
        <v>58</v>
      </c>
    </row>
    <row r="140" spans="1:12" x14ac:dyDescent="0.25">
      <c r="A140">
        <v>18</v>
      </c>
      <c r="B140">
        <v>13</v>
      </c>
      <c r="C140">
        <v>25</v>
      </c>
      <c r="D140">
        <v>5</v>
      </c>
      <c r="E140" s="1" t="s">
        <v>46</v>
      </c>
      <c r="F140" s="1" t="s">
        <v>38</v>
      </c>
      <c r="G140" s="1" t="s">
        <v>24</v>
      </c>
      <c r="H140">
        <v>5</v>
      </c>
      <c r="I140">
        <v>2700</v>
      </c>
      <c r="J140" s="1" t="s">
        <v>36</v>
      </c>
      <c r="K140">
        <v>9</v>
      </c>
      <c r="L140" s="1" t="s">
        <v>34</v>
      </c>
    </row>
    <row r="141" spans="1:12" x14ac:dyDescent="0.25">
      <c r="A141">
        <v>36</v>
      </c>
      <c r="B141">
        <v>9</v>
      </c>
      <c r="C141">
        <v>25</v>
      </c>
      <c r="D141">
        <v>5</v>
      </c>
      <c r="E141" s="1" t="s">
        <v>31</v>
      </c>
      <c r="F141" s="1" t="s">
        <v>32</v>
      </c>
      <c r="G141" s="1" t="s">
        <v>23</v>
      </c>
      <c r="H141">
        <v>3</v>
      </c>
      <c r="I141">
        <v>3773</v>
      </c>
      <c r="J141" s="1" t="s">
        <v>26</v>
      </c>
      <c r="K141">
        <v>2</v>
      </c>
      <c r="L141" s="1" t="s">
        <v>34</v>
      </c>
    </row>
    <row r="142" spans="1:12" x14ac:dyDescent="0.25">
      <c r="A142">
        <v>20</v>
      </c>
      <c r="B142">
        <v>9</v>
      </c>
      <c r="C142">
        <v>25</v>
      </c>
      <c r="D142">
        <v>4</v>
      </c>
      <c r="E142" s="1" t="s">
        <v>21</v>
      </c>
      <c r="F142" s="1" t="s">
        <v>41</v>
      </c>
      <c r="G142" s="1" t="s">
        <v>23</v>
      </c>
      <c r="H142">
        <v>3</v>
      </c>
      <c r="I142">
        <v>315</v>
      </c>
      <c r="J142" s="1" t="s">
        <v>26</v>
      </c>
      <c r="K142">
        <v>8</v>
      </c>
      <c r="L142" s="1" t="s">
        <v>40</v>
      </c>
    </row>
    <row r="143" spans="1:12" x14ac:dyDescent="0.25">
      <c r="A143">
        <v>48</v>
      </c>
      <c r="B143">
        <v>8</v>
      </c>
      <c r="C143">
        <v>25</v>
      </c>
      <c r="D143">
        <v>4</v>
      </c>
      <c r="E143" s="1" t="s">
        <v>55</v>
      </c>
      <c r="F143" s="1" t="s">
        <v>41</v>
      </c>
      <c r="G143" s="1" t="s">
        <v>23</v>
      </c>
      <c r="H143">
        <v>4</v>
      </c>
      <c r="I143">
        <v>2916</v>
      </c>
      <c r="J143" s="1" t="s">
        <v>26</v>
      </c>
      <c r="K143">
        <v>6</v>
      </c>
      <c r="L143" s="1" t="s">
        <v>58</v>
      </c>
    </row>
    <row r="144" spans="1:12" x14ac:dyDescent="0.25">
      <c r="A144">
        <v>56</v>
      </c>
      <c r="B144">
        <v>7</v>
      </c>
      <c r="C144">
        <v>25</v>
      </c>
      <c r="D144">
        <v>3</v>
      </c>
      <c r="E144" s="1" t="s">
        <v>46</v>
      </c>
      <c r="F144" s="1" t="s">
        <v>32</v>
      </c>
      <c r="G144" s="1" t="s">
        <v>23</v>
      </c>
      <c r="H144">
        <v>3</v>
      </c>
      <c r="I144">
        <v>315</v>
      </c>
      <c r="J144" s="1" t="s">
        <v>26</v>
      </c>
      <c r="K144">
        <v>7</v>
      </c>
      <c r="L144" s="1" t="s">
        <v>53</v>
      </c>
    </row>
    <row r="145" spans="1:12" x14ac:dyDescent="0.25">
      <c r="A145">
        <v>12</v>
      </c>
      <c r="B145">
        <v>4</v>
      </c>
      <c r="C145">
        <v>25</v>
      </c>
      <c r="D145">
        <v>3</v>
      </c>
      <c r="E145" s="1" t="s">
        <v>31</v>
      </c>
      <c r="F145" s="1" t="s">
        <v>32</v>
      </c>
      <c r="G145" s="1" t="s">
        <v>24</v>
      </c>
      <c r="H145">
        <v>4</v>
      </c>
      <c r="I145">
        <v>2884</v>
      </c>
      <c r="J145" s="1" t="s">
        <v>44</v>
      </c>
      <c r="K145">
        <v>1</v>
      </c>
      <c r="L145" s="1" t="s">
        <v>30</v>
      </c>
    </row>
    <row r="146" spans="1:12" x14ac:dyDescent="0.25">
      <c r="A146">
        <v>35</v>
      </c>
      <c r="B146">
        <v>3</v>
      </c>
      <c r="C146">
        <v>25</v>
      </c>
      <c r="D146">
        <v>5</v>
      </c>
      <c r="E146" s="1" t="s">
        <v>55</v>
      </c>
      <c r="F146" s="1" t="s">
        <v>41</v>
      </c>
      <c r="G146" s="1" t="s">
        <v>23</v>
      </c>
      <c r="H146">
        <v>4</v>
      </c>
      <c r="I146">
        <v>826</v>
      </c>
      <c r="J146" s="1" t="s">
        <v>36</v>
      </c>
      <c r="K146">
        <v>1</v>
      </c>
      <c r="L146" s="1" t="s">
        <v>58</v>
      </c>
    </row>
    <row r="147" spans="1:12" x14ac:dyDescent="0.25">
      <c r="A147">
        <v>70</v>
      </c>
      <c r="B147">
        <v>27</v>
      </c>
      <c r="C147">
        <v>24</v>
      </c>
      <c r="D147">
        <v>4</v>
      </c>
      <c r="E147" s="1" t="s">
        <v>46</v>
      </c>
      <c r="F147" s="1" t="s">
        <v>22</v>
      </c>
      <c r="G147" s="1" t="s">
        <v>23</v>
      </c>
      <c r="H147">
        <v>3</v>
      </c>
      <c r="I147">
        <v>3981</v>
      </c>
      <c r="J147" s="1" t="s">
        <v>26</v>
      </c>
      <c r="K147">
        <v>6</v>
      </c>
      <c r="L147" s="1" t="s">
        <v>30</v>
      </c>
    </row>
    <row r="148" spans="1:12" x14ac:dyDescent="0.25">
      <c r="A148">
        <v>53</v>
      </c>
      <c r="B148">
        <v>25</v>
      </c>
      <c r="C148">
        <v>24</v>
      </c>
      <c r="D148">
        <v>5</v>
      </c>
      <c r="E148" s="1" t="s">
        <v>21</v>
      </c>
      <c r="F148" s="1" t="s">
        <v>41</v>
      </c>
      <c r="G148" s="1" t="s">
        <v>23</v>
      </c>
      <c r="H148">
        <v>5</v>
      </c>
      <c r="I148">
        <v>1282</v>
      </c>
      <c r="J148" s="1" t="s">
        <v>26</v>
      </c>
      <c r="K148">
        <v>3</v>
      </c>
      <c r="L148" s="1" t="s">
        <v>53</v>
      </c>
    </row>
    <row r="149" spans="1:12" x14ac:dyDescent="0.25">
      <c r="A149">
        <v>24</v>
      </c>
      <c r="B149">
        <v>24</v>
      </c>
      <c r="C149">
        <v>24</v>
      </c>
      <c r="D149">
        <v>2</v>
      </c>
      <c r="E149" s="1" t="s">
        <v>46</v>
      </c>
      <c r="F149" s="1" t="s">
        <v>41</v>
      </c>
      <c r="G149" s="1" t="s">
        <v>23</v>
      </c>
      <c r="H149">
        <v>5</v>
      </c>
      <c r="I149">
        <v>2959</v>
      </c>
      <c r="J149" s="1" t="s">
        <v>36</v>
      </c>
      <c r="K149">
        <v>7</v>
      </c>
      <c r="L149" s="1" t="s">
        <v>51</v>
      </c>
    </row>
    <row r="150" spans="1:12" x14ac:dyDescent="0.25">
      <c r="A150">
        <v>56</v>
      </c>
      <c r="B150">
        <v>18</v>
      </c>
      <c r="C150">
        <v>24</v>
      </c>
      <c r="D150">
        <v>5</v>
      </c>
      <c r="E150" s="1" t="s">
        <v>55</v>
      </c>
      <c r="F150" s="1" t="s">
        <v>22</v>
      </c>
      <c r="G150" s="1" t="s">
        <v>23</v>
      </c>
      <c r="H150">
        <v>3</v>
      </c>
      <c r="I150">
        <v>315</v>
      </c>
      <c r="J150" s="1" t="s">
        <v>26</v>
      </c>
      <c r="K150">
        <v>4</v>
      </c>
      <c r="L150" s="1" t="s">
        <v>34</v>
      </c>
    </row>
    <row r="151" spans="1:12" x14ac:dyDescent="0.25">
      <c r="A151">
        <v>78</v>
      </c>
      <c r="B151">
        <v>17</v>
      </c>
      <c r="C151">
        <v>24</v>
      </c>
      <c r="D151">
        <v>4</v>
      </c>
      <c r="E151" s="1" t="s">
        <v>46</v>
      </c>
      <c r="F151" s="1" t="s">
        <v>41</v>
      </c>
      <c r="G151" s="1" t="s">
        <v>23</v>
      </c>
      <c r="H151">
        <v>3.5</v>
      </c>
      <c r="I151">
        <v>1228</v>
      </c>
      <c r="J151" s="1" t="s">
        <v>26</v>
      </c>
      <c r="K151">
        <v>5</v>
      </c>
      <c r="L151" s="1" t="s">
        <v>58</v>
      </c>
    </row>
    <row r="152" spans="1:12" x14ac:dyDescent="0.25">
      <c r="A152">
        <v>78</v>
      </c>
      <c r="B152">
        <v>17</v>
      </c>
      <c r="C152">
        <v>24</v>
      </c>
      <c r="D152">
        <v>5</v>
      </c>
      <c r="E152" s="1" t="s">
        <v>46</v>
      </c>
      <c r="F152" s="1" t="s">
        <v>41</v>
      </c>
      <c r="G152" s="1" t="s">
        <v>23</v>
      </c>
      <c r="H152">
        <v>5</v>
      </c>
      <c r="I152">
        <v>1282</v>
      </c>
      <c r="J152" s="1" t="s">
        <v>26</v>
      </c>
      <c r="K152">
        <v>5</v>
      </c>
      <c r="L152" s="1" t="s">
        <v>58</v>
      </c>
    </row>
    <row r="153" spans="1:12" x14ac:dyDescent="0.25">
      <c r="A153">
        <v>50</v>
      </c>
      <c r="B153">
        <v>14</v>
      </c>
      <c r="C153">
        <v>24</v>
      </c>
      <c r="D153">
        <v>5</v>
      </c>
      <c r="E153" s="1" t="s">
        <v>21</v>
      </c>
      <c r="F153" s="1" t="s">
        <v>22</v>
      </c>
      <c r="G153" s="1" t="s">
        <v>23</v>
      </c>
      <c r="H153">
        <v>5</v>
      </c>
      <c r="I153">
        <v>3348</v>
      </c>
      <c r="J153" s="1" t="s">
        <v>26</v>
      </c>
      <c r="K153">
        <v>7</v>
      </c>
      <c r="L153" s="1" t="s">
        <v>51</v>
      </c>
    </row>
    <row r="154" spans="1:12" x14ac:dyDescent="0.25">
      <c r="A154">
        <v>31</v>
      </c>
      <c r="B154">
        <v>11</v>
      </c>
      <c r="C154">
        <v>24</v>
      </c>
      <c r="D154">
        <v>5</v>
      </c>
      <c r="E154" s="1" t="s">
        <v>46</v>
      </c>
      <c r="F154" s="1" t="s">
        <v>41</v>
      </c>
      <c r="G154" s="1" t="s">
        <v>23</v>
      </c>
      <c r="H154">
        <v>3</v>
      </c>
      <c r="I154">
        <v>315</v>
      </c>
      <c r="J154" s="1" t="s">
        <v>26</v>
      </c>
      <c r="K154">
        <v>2</v>
      </c>
      <c r="L154" s="1" t="s">
        <v>51</v>
      </c>
    </row>
    <row r="155" spans="1:12" x14ac:dyDescent="0.25">
      <c r="A155">
        <v>20</v>
      </c>
      <c r="B155">
        <v>9</v>
      </c>
      <c r="C155">
        <v>24</v>
      </c>
      <c r="D155">
        <v>3</v>
      </c>
      <c r="E155" s="1" t="s">
        <v>46</v>
      </c>
      <c r="F155" s="1" t="s">
        <v>22</v>
      </c>
      <c r="G155" s="1" t="s">
        <v>23</v>
      </c>
      <c r="H155">
        <v>3</v>
      </c>
      <c r="I155">
        <v>3773</v>
      </c>
      <c r="J155" s="1" t="s">
        <v>49</v>
      </c>
      <c r="K155">
        <v>4</v>
      </c>
      <c r="L155" s="1" t="s">
        <v>34</v>
      </c>
    </row>
    <row r="156" spans="1:12" x14ac:dyDescent="0.25">
      <c r="A156">
        <v>19</v>
      </c>
      <c r="B156">
        <v>8</v>
      </c>
      <c r="C156">
        <v>24</v>
      </c>
      <c r="D156">
        <v>5</v>
      </c>
      <c r="E156" s="1" t="s">
        <v>46</v>
      </c>
      <c r="F156" s="1" t="s">
        <v>32</v>
      </c>
      <c r="G156" s="1" t="s">
        <v>23</v>
      </c>
      <c r="H156">
        <v>5</v>
      </c>
      <c r="I156">
        <v>4027</v>
      </c>
      <c r="J156" s="1" t="s">
        <v>26</v>
      </c>
      <c r="K156">
        <v>10</v>
      </c>
      <c r="L156" s="1" t="s">
        <v>51</v>
      </c>
    </row>
    <row r="157" spans="1:12" x14ac:dyDescent="0.25">
      <c r="A157">
        <v>41</v>
      </c>
      <c r="B157">
        <v>7</v>
      </c>
      <c r="C157">
        <v>24</v>
      </c>
      <c r="D157">
        <v>4</v>
      </c>
      <c r="E157" s="1" t="s">
        <v>31</v>
      </c>
      <c r="F157" s="1" t="s">
        <v>41</v>
      </c>
      <c r="G157" s="1" t="s">
        <v>23</v>
      </c>
      <c r="H157">
        <v>4</v>
      </c>
      <c r="I157">
        <v>3003</v>
      </c>
      <c r="J157" s="1" t="s">
        <v>36</v>
      </c>
      <c r="K157">
        <v>3</v>
      </c>
      <c r="L157" s="1" t="s">
        <v>58</v>
      </c>
    </row>
    <row r="158" spans="1:12" x14ac:dyDescent="0.25">
      <c r="A158">
        <v>64</v>
      </c>
      <c r="B158">
        <v>33</v>
      </c>
      <c r="C158">
        <v>23</v>
      </c>
      <c r="D158">
        <v>4</v>
      </c>
      <c r="E158" s="1" t="s">
        <v>21</v>
      </c>
      <c r="F158" s="1" t="s">
        <v>32</v>
      </c>
      <c r="G158" s="1" t="s">
        <v>23</v>
      </c>
      <c r="H158">
        <v>3.5</v>
      </c>
      <c r="I158">
        <v>732</v>
      </c>
      <c r="J158" s="1" t="s">
        <v>36</v>
      </c>
      <c r="K158">
        <v>7</v>
      </c>
      <c r="L158" s="1" t="s">
        <v>28</v>
      </c>
    </row>
    <row r="159" spans="1:12" x14ac:dyDescent="0.25">
      <c r="A159">
        <v>50</v>
      </c>
      <c r="B159">
        <v>15</v>
      </c>
      <c r="C159">
        <v>23</v>
      </c>
      <c r="D159">
        <v>4</v>
      </c>
      <c r="E159" s="1" t="s">
        <v>46</v>
      </c>
      <c r="F159" s="1" t="s">
        <v>41</v>
      </c>
      <c r="G159" s="1" t="s">
        <v>23</v>
      </c>
      <c r="H159">
        <v>4</v>
      </c>
      <c r="I159">
        <v>2916</v>
      </c>
      <c r="J159" s="1" t="s">
        <v>26</v>
      </c>
      <c r="K159">
        <v>3</v>
      </c>
      <c r="L159" s="1" t="s">
        <v>30</v>
      </c>
    </row>
    <row r="160" spans="1:12" x14ac:dyDescent="0.25">
      <c r="A160">
        <v>16</v>
      </c>
      <c r="B160">
        <v>14</v>
      </c>
      <c r="C160">
        <v>23</v>
      </c>
      <c r="D160">
        <v>5</v>
      </c>
      <c r="E160" s="1" t="s">
        <v>31</v>
      </c>
      <c r="F160" s="1" t="s">
        <v>41</v>
      </c>
      <c r="G160" s="1" t="s">
        <v>23</v>
      </c>
      <c r="H160">
        <v>5</v>
      </c>
      <c r="I160">
        <v>2034</v>
      </c>
      <c r="J160" s="1" t="s">
        <v>26</v>
      </c>
      <c r="K160">
        <v>7</v>
      </c>
      <c r="L160" s="1" t="s">
        <v>30</v>
      </c>
    </row>
    <row r="161" spans="1:12" x14ac:dyDescent="0.25">
      <c r="A161">
        <v>23</v>
      </c>
      <c r="B161">
        <v>9</v>
      </c>
      <c r="C161">
        <v>23</v>
      </c>
      <c r="D161">
        <v>3</v>
      </c>
      <c r="E161" s="1" t="s">
        <v>55</v>
      </c>
      <c r="F161" s="1" t="s">
        <v>32</v>
      </c>
      <c r="G161" s="1" t="s">
        <v>24</v>
      </c>
      <c r="H161">
        <v>3.5</v>
      </c>
      <c r="I161">
        <v>787</v>
      </c>
      <c r="J161" s="1" t="s">
        <v>44</v>
      </c>
      <c r="K161">
        <v>4</v>
      </c>
      <c r="L161" s="1" t="s">
        <v>58</v>
      </c>
    </row>
    <row r="162" spans="1:12" x14ac:dyDescent="0.25">
      <c r="A162">
        <v>49</v>
      </c>
      <c r="B162">
        <v>8</v>
      </c>
      <c r="C162">
        <v>23</v>
      </c>
      <c r="D162">
        <v>5</v>
      </c>
      <c r="E162" s="1" t="s">
        <v>31</v>
      </c>
      <c r="F162" s="1" t="s">
        <v>41</v>
      </c>
      <c r="G162" s="1" t="s">
        <v>23</v>
      </c>
      <c r="H162">
        <v>5</v>
      </c>
      <c r="I162">
        <v>1282</v>
      </c>
      <c r="J162" s="1" t="s">
        <v>26</v>
      </c>
      <c r="K162">
        <v>5</v>
      </c>
      <c r="L162" s="1" t="s">
        <v>58</v>
      </c>
    </row>
    <row r="163" spans="1:12" x14ac:dyDescent="0.25">
      <c r="A163">
        <v>28</v>
      </c>
      <c r="B163">
        <v>5</v>
      </c>
      <c r="C163">
        <v>23</v>
      </c>
      <c r="D163">
        <v>5</v>
      </c>
      <c r="E163" s="1" t="s">
        <v>46</v>
      </c>
      <c r="F163" s="1" t="s">
        <v>41</v>
      </c>
      <c r="G163" s="1" t="s">
        <v>23</v>
      </c>
      <c r="H163">
        <v>5</v>
      </c>
      <c r="I163">
        <v>3933</v>
      </c>
      <c r="J163" s="1" t="s">
        <v>26</v>
      </c>
      <c r="K163">
        <v>5</v>
      </c>
      <c r="L163" s="1" t="s">
        <v>30</v>
      </c>
    </row>
    <row r="164" spans="1:12" x14ac:dyDescent="0.25">
      <c r="A164">
        <v>23</v>
      </c>
      <c r="B164">
        <v>21</v>
      </c>
      <c r="C164">
        <v>22</v>
      </c>
      <c r="D164">
        <v>3</v>
      </c>
      <c r="E164" s="1" t="s">
        <v>46</v>
      </c>
      <c r="F164" s="1" t="s">
        <v>32</v>
      </c>
      <c r="G164" s="1" t="s">
        <v>23</v>
      </c>
      <c r="H164">
        <v>4</v>
      </c>
      <c r="I164">
        <v>826</v>
      </c>
      <c r="J164" s="1" t="s">
        <v>26</v>
      </c>
      <c r="K164">
        <v>7</v>
      </c>
      <c r="L164" s="1" t="s">
        <v>51</v>
      </c>
    </row>
    <row r="165" spans="1:12" x14ac:dyDescent="0.25">
      <c r="A165">
        <v>108</v>
      </c>
      <c r="B165">
        <v>20</v>
      </c>
      <c r="C165">
        <v>22</v>
      </c>
      <c r="D165">
        <v>3</v>
      </c>
      <c r="E165" s="1" t="s">
        <v>31</v>
      </c>
      <c r="F165" s="1" t="s">
        <v>29</v>
      </c>
      <c r="G165" s="1" t="s">
        <v>24</v>
      </c>
      <c r="H165">
        <v>3</v>
      </c>
      <c r="I165">
        <v>716</v>
      </c>
      <c r="J165" s="1" t="s">
        <v>26</v>
      </c>
      <c r="K165">
        <v>5</v>
      </c>
      <c r="L165" s="1" t="s">
        <v>28</v>
      </c>
    </row>
    <row r="166" spans="1:12" x14ac:dyDescent="0.25">
      <c r="A166">
        <v>73</v>
      </c>
      <c r="B166">
        <v>13</v>
      </c>
      <c r="C166">
        <v>22</v>
      </c>
      <c r="D166">
        <v>4</v>
      </c>
      <c r="E166" s="1" t="s">
        <v>21</v>
      </c>
      <c r="F166" s="1" t="s">
        <v>41</v>
      </c>
      <c r="G166" s="1" t="s">
        <v>23</v>
      </c>
      <c r="H166">
        <v>4</v>
      </c>
      <c r="I166">
        <v>3003</v>
      </c>
      <c r="J166" s="1" t="s">
        <v>26</v>
      </c>
      <c r="K166">
        <v>2</v>
      </c>
      <c r="L166" s="1" t="s">
        <v>40</v>
      </c>
    </row>
    <row r="167" spans="1:12" x14ac:dyDescent="0.25">
      <c r="A167">
        <v>32</v>
      </c>
      <c r="B167">
        <v>12</v>
      </c>
      <c r="C167">
        <v>22</v>
      </c>
      <c r="D167">
        <v>4</v>
      </c>
      <c r="E167" s="1" t="s">
        <v>46</v>
      </c>
      <c r="F167" s="1" t="s">
        <v>41</v>
      </c>
      <c r="G167" s="1" t="s">
        <v>23</v>
      </c>
      <c r="H167">
        <v>3</v>
      </c>
      <c r="I167">
        <v>315</v>
      </c>
      <c r="J167" s="1" t="s">
        <v>49</v>
      </c>
      <c r="K167">
        <v>5</v>
      </c>
      <c r="L167" s="1" t="s">
        <v>51</v>
      </c>
    </row>
    <row r="168" spans="1:12" x14ac:dyDescent="0.25">
      <c r="A168">
        <v>42</v>
      </c>
      <c r="B168">
        <v>8</v>
      </c>
      <c r="C168">
        <v>22</v>
      </c>
      <c r="D168">
        <v>4</v>
      </c>
      <c r="E168" s="1" t="s">
        <v>46</v>
      </c>
      <c r="F168" s="1" t="s">
        <v>22</v>
      </c>
      <c r="G168" s="1" t="s">
        <v>23</v>
      </c>
      <c r="H168">
        <v>5</v>
      </c>
      <c r="I168">
        <v>3025</v>
      </c>
      <c r="J168" s="1" t="s">
        <v>26</v>
      </c>
      <c r="K168">
        <v>6</v>
      </c>
      <c r="L168" s="1" t="s">
        <v>58</v>
      </c>
    </row>
    <row r="169" spans="1:12" x14ac:dyDescent="0.25">
      <c r="A169">
        <v>26</v>
      </c>
      <c r="B169">
        <v>7</v>
      </c>
      <c r="C169">
        <v>22</v>
      </c>
      <c r="D169">
        <v>4</v>
      </c>
      <c r="E169" s="1" t="s">
        <v>21</v>
      </c>
      <c r="F169" s="1" t="s">
        <v>41</v>
      </c>
      <c r="G169" s="1" t="s">
        <v>23</v>
      </c>
      <c r="H169">
        <v>4.5</v>
      </c>
      <c r="I169">
        <v>188</v>
      </c>
      <c r="J169" s="1" t="s">
        <v>26</v>
      </c>
      <c r="K169">
        <v>4</v>
      </c>
      <c r="L169" s="1" t="s">
        <v>51</v>
      </c>
    </row>
    <row r="170" spans="1:12" x14ac:dyDescent="0.25">
      <c r="A170">
        <v>45</v>
      </c>
      <c r="B170">
        <v>6</v>
      </c>
      <c r="C170">
        <v>22</v>
      </c>
      <c r="D170">
        <v>5</v>
      </c>
      <c r="E170" s="1" t="s">
        <v>46</v>
      </c>
      <c r="F170" s="1" t="s">
        <v>41</v>
      </c>
      <c r="G170" s="1" t="s">
        <v>23</v>
      </c>
      <c r="H170">
        <v>3</v>
      </c>
      <c r="I170">
        <v>315</v>
      </c>
      <c r="J170" s="1" t="s">
        <v>26</v>
      </c>
      <c r="K170">
        <v>3</v>
      </c>
      <c r="L170" s="1" t="s">
        <v>28</v>
      </c>
    </row>
    <row r="171" spans="1:12" x14ac:dyDescent="0.25">
      <c r="A171">
        <v>20</v>
      </c>
      <c r="B171">
        <v>17</v>
      </c>
      <c r="C171">
        <v>21</v>
      </c>
      <c r="D171">
        <v>3</v>
      </c>
      <c r="E171" s="1" t="s">
        <v>31</v>
      </c>
      <c r="F171" s="1" t="s">
        <v>22</v>
      </c>
      <c r="G171" s="1" t="s">
        <v>23</v>
      </c>
      <c r="H171">
        <v>4</v>
      </c>
      <c r="I171">
        <v>826</v>
      </c>
      <c r="J171" s="1" t="s">
        <v>26</v>
      </c>
      <c r="K171">
        <v>4</v>
      </c>
      <c r="L171" s="1" t="s">
        <v>53</v>
      </c>
    </row>
    <row r="172" spans="1:12" x14ac:dyDescent="0.25">
      <c r="A172">
        <v>66</v>
      </c>
      <c r="B172">
        <v>13</v>
      </c>
      <c r="C172">
        <v>21</v>
      </c>
      <c r="D172">
        <v>5</v>
      </c>
      <c r="E172" s="1" t="s">
        <v>31</v>
      </c>
      <c r="F172" s="1" t="s">
        <v>22</v>
      </c>
      <c r="G172" s="1" t="s">
        <v>23</v>
      </c>
      <c r="H172">
        <v>3</v>
      </c>
      <c r="I172">
        <v>315</v>
      </c>
      <c r="J172" s="1" t="s">
        <v>26</v>
      </c>
      <c r="K172">
        <v>9</v>
      </c>
      <c r="L172" s="1" t="s">
        <v>30</v>
      </c>
    </row>
    <row r="173" spans="1:12" x14ac:dyDescent="0.25">
      <c r="A173">
        <v>20</v>
      </c>
      <c r="B173">
        <v>11</v>
      </c>
      <c r="C173">
        <v>21</v>
      </c>
      <c r="D173">
        <v>5</v>
      </c>
      <c r="E173" s="1" t="s">
        <v>46</v>
      </c>
      <c r="F173" s="1" t="s">
        <v>32</v>
      </c>
      <c r="G173" s="1" t="s">
        <v>23</v>
      </c>
      <c r="H173">
        <v>5</v>
      </c>
      <c r="I173">
        <v>3025</v>
      </c>
      <c r="J173" s="1" t="s">
        <v>26</v>
      </c>
      <c r="K173">
        <v>9</v>
      </c>
      <c r="L173" s="1" t="s">
        <v>30</v>
      </c>
    </row>
    <row r="174" spans="1:12" x14ac:dyDescent="0.25">
      <c r="A174">
        <v>59</v>
      </c>
      <c r="B174">
        <v>9</v>
      </c>
      <c r="C174">
        <v>21</v>
      </c>
      <c r="D174">
        <v>5</v>
      </c>
      <c r="E174" s="1" t="s">
        <v>31</v>
      </c>
      <c r="F174" s="1" t="s">
        <v>41</v>
      </c>
      <c r="G174" s="1" t="s">
        <v>23</v>
      </c>
      <c r="H174">
        <v>4.5</v>
      </c>
      <c r="I174">
        <v>188</v>
      </c>
      <c r="J174" s="1" t="s">
        <v>26</v>
      </c>
      <c r="K174">
        <v>3</v>
      </c>
      <c r="L174" s="1" t="s">
        <v>58</v>
      </c>
    </row>
    <row r="175" spans="1:12" x14ac:dyDescent="0.25">
      <c r="A175">
        <v>29</v>
      </c>
      <c r="B175">
        <v>8</v>
      </c>
      <c r="C175">
        <v>21</v>
      </c>
      <c r="D175">
        <v>3</v>
      </c>
      <c r="E175" s="1" t="s">
        <v>55</v>
      </c>
      <c r="F175" s="1" t="s">
        <v>29</v>
      </c>
      <c r="G175" s="1" t="s">
        <v>23</v>
      </c>
      <c r="H175">
        <v>3</v>
      </c>
      <c r="I175">
        <v>3981</v>
      </c>
      <c r="J175" s="1" t="s">
        <v>36</v>
      </c>
      <c r="K175">
        <v>2</v>
      </c>
      <c r="L175" s="1" t="s">
        <v>51</v>
      </c>
    </row>
    <row r="176" spans="1:12" x14ac:dyDescent="0.25">
      <c r="A176">
        <v>23</v>
      </c>
      <c r="B176">
        <v>7</v>
      </c>
      <c r="C176">
        <v>21</v>
      </c>
      <c r="D176">
        <v>4</v>
      </c>
      <c r="E176" s="1" t="s">
        <v>31</v>
      </c>
      <c r="F176" s="1" t="s">
        <v>22</v>
      </c>
      <c r="G176" s="1" t="s">
        <v>23</v>
      </c>
      <c r="H176">
        <v>5</v>
      </c>
      <c r="I176">
        <v>2959</v>
      </c>
      <c r="J176" s="1" t="s">
        <v>36</v>
      </c>
      <c r="K176">
        <v>7</v>
      </c>
      <c r="L176" s="1" t="s">
        <v>28</v>
      </c>
    </row>
    <row r="177" spans="1:12" x14ac:dyDescent="0.25">
      <c r="A177">
        <v>46</v>
      </c>
      <c r="B177">
        <v>4</v>
      </c>
      <c r="C177">
        <v>21</v>
      </c>
      <c r="D177">
        <v>4</v>
      </c>
      <c r="E177" s="1" t="s">
        <v>31</v>
      </c>
      <c r="F177" s="1" t="s">
        <v>41</v>
      </c>
      <c r="G177" s="1" t="s">
        <v>23</v>
      </c>
      <c r="H177">
        <v>5</v>
      </c>
      <c r="I177">
        <v>3348</v>
      </c>
      <c r="J177" s="1" t="s">
        <v>26</v>
      </c>
      <c r="K177">
        <v>2</v>
      </c>
      <c r="L177" s="1" t="s">
        <v>34</v>
      </c>
    </row>
    <row r="178" spans="1:12" x14ac:dyDescent="0.25">
      <c r="A178">
        <v>47</v>
      </c>
      <c r="B178">
        <v>23</v>
      </c>
      <c r="C178">
        <v>20</v>
      </c>
      <c r="D178">
        <v>4</v>
      </c>
      <c r="E178" s="1" t="s">
        <v>55</v>
      </c>
      <c r="F178" s="1" t="s">
        <v>41</v>
      </c>
      <c r="G178" s="1" t="s">
        <v>23</v>
      </c>
      <c r="H178">
        <v>3.5</v>
      </c>
      <c r="I178">
        <v>732</v>
      </c>
      <c r="J178" s="1" t="s">
        <v>44</v>
      </c>
      <c r="K178">
        <v>1</v>
      </c>
      <c r="L178" s="1" t="s">
        <v>28</v>
      </c>
    </row>
    <row r="179" spans="1:12" x14ac:dyDescent="0.25">
      <c r="A179">
        <v>21</v>
      </c>
      <c r="B179">
        <v>13</v>
      </c>
      <c r="C179">
        <v>20</v>
      </c>
      <c r="D179">
        <v>5</v>
      </c>
      <c r="E179" s="1" t="s">
        <v>21</v>
      </c>
      <c r="F179" s="1" t="s">
        <v>29</v>
      </c>
      <c r="G179" s="1" t="s">
        <v>23</v>
      </c>
      <c r="H179">
        <v>3.5</v>
      </c>
      <c r="I179">
        <v>732</v>
      </c>
      <c r="J179" s="1" t="s">
        <v>26</v>
      </c>
      <c r="K179">
        <v>5</v>
      </c>
      <c r="L179" s="1" t="s">
        <v>28</v>
      </c>
    </row>
    <row r="180" spans="1:12" x14ac:dyDescent="0.25">
      <c r="A180">
        <v>31</v>
      </c>
      <c r="B180">
        <v>11</v>
      </c>
      <c r="C180">
        <v>20</v>
      </c>
      <c r="D180">
        <v>4</v>
      </c>
      <c r="E180" s="1" t="s">
        <v>21</v>
      </c>
      <c r="F180" s="1" t="s">
        <v>29</v>
      </c>
      <c r="G180" s="1" t="s">
        <v>23</v>
      </c>
      <c r="H180">
        <v>5</v>
      </c>
      <c r="I180">
        <v>4027</v>
      </c>
      <c r="J180" s="1" t="s">
        <v>36</v>
      </c>
      <c r="K180">
        <v>2</v>
      </c>
      <c r="L180" s="1" t="s">
        <v>30</v>
      </c>
    </row>
    <row r="181" spans="1:12" x14ac:dyDescent="0.25">
      <c r="A181">
        <v>43</v>
      </c>
      <c r="B181">
        <v>8</v>
      </c>
      <c r="C181">
        <v>20</v>
      </c>
      <c r="D181">
        <v>4</v>
      </c>
      <c r="E181" s="1" t="s">
        <v>31</v>
      </c>
      <c r="F181" s="1" t="s">
        <v>41</v>
      </c>
      <c r="G181" s="1" t="s">
        <v>24</v>
      </c>
      <c r="H181">
        <v>4</v>
      </c>
      <c r="I181">
        <v>2884</v>
      </c>
      <c r="J181" s="1" t="s">
        <v>26</v>
      </c>
      <c r="K181">
        <v>1</v>
      </c>
      <c r="L181" s="1" t="s">
        <v>30</v>
      </c>
    </row>
    <row r="182" spans="1:12" x14ac:dyDescent="0.25">
      <c r="A182">
        <v>7</v>
      </c>
      <c r="B182">
        <v>5</v>
      </c>
      <c r="C182">
        <v>20</v>
      </c>
      <c r="D182">
        <v>4</v>
      </c>
      <c r="E182" s="1" t="s">
        <v>21</v>
      </c>
      <c r="F182" s="1" t="s">
        <v>41</v>
      </c>
      <c r="G182" s="1" t="s">
        <v>24</v>
      </c>
      <c r="H182">
        <v>5</v>
      </c>
      <c r="I182">
        <v>2700</v>
      </c>
      <c r="J182" s="1" t="s">
        <v>26</v>
      </c>
      <c r="K182">
        <v>3</v>
      </c>
      <c r="L182" s="1" t="s">
        <v>34</v>
      </c>
    </row>
    <row r="183" spans="1:12" x14ac:dyDescent="0.25">
      <c r="A183">
        <v>3</v>
      </c>
      <c r="B183">
        <v>3</v>
      </c>
      <c r="C183">
        <v>20</v>
      </c>
      <c r="D183">
        <v>1</v>
      </c>
      <c r="E183" s="1" t="s">
        <v>21</v>
      </c>
      <c r="F183" s="1" t="s">
        <v>29</v>
      </c>
      <c r="G183" s="1" t="s">
        <v>23</v>
      </c>
      <c r="H183">
        <v>5</v>
      </c>
      <c r="I183">
        <v>2034</v>
      </c>
      <c r="J183" s="1" t="s">
        <v>44</v>
      </c>
      <c r="K183">
        <v>5</v>
      </c>
      <c r="L183" s="1" t="s">
        <v>40</v>
      </c>
    </row>
    <row r="184" spans="1:12" x14ac:dyDescent="0.25">
      <c r="A184">
        <v>30</v>
      </c>
      <c r="B184">
        <v>27</v>
      </c>
      <c r="C184">
        <v>19</v>
      </c>
      <c r="D184">
        <v>5</v>
      </c>
      <c r="E184" s="1" t="s">
        <v>55</v>
      </c>
      <c r="F184" s="1" t="s">
        <v>38</v>
      </c>
      <c r="G184" s="1" t="s">
        <v>23</v>
      </c>
      <c r="H184">
        <v>4</v>
      </c>
      <c r="I184">
        <v>826</v>
      </c>
      <c r="J184" s="1" t="s">
        <v>26</v>
      </c>
      <c r="K184">
        <v>6</v>
      </c>
      <c r="L184" s="1" t="s">
        <v>30</v>
      </c>
    </row>
    <row r="185" spans="1:12" x14ac:dyDescent="0.25">
      <c r="A185">
        <v>70</v>
      </c>
      <c r="B185">
        <v>25</v>
      </c>
      <c r="C185">
        <v>19</v>
      </c>
      <c r="D185">
        <v>1</v>
      </c>
      <c r="E185" s="1" t="s">
        <v>31</v>
      </c>
      <c r="F185" s="1" t="s">
        <v>41</v>
      </c>
      <c r="G185" s="1" t="s">
        <v>23</v>
      </c>
      <c r="H185">
        <v>3.5</v>
      </c>
      <c r="I185">
        <v>1228</v>
      </c>
      <c r="J185" s="1" t="s">
        <v>26</v>
      </c>
      <c r="K185">
        <v>3</v>
      </c>
      <c r="L185" s="1" t="s">
        <v>30</v>
      </c>
    </row>
    <row r="186" spans="1:12" x14ac:dyDescent="0.25">
      <c r="A186">
        <v>48</v>
      </c>
      <c r="B186">
        <v>21</v>
      </c>
      <c r="C186">
        <v>19</v>
      </c>
      <c r="D186">
        <v>5</v>
      </c>
      <c r="E186" s="1" t="s">
        <v>46</v>
      </c>
      <c r="F186" s="1" t="s">
        <v>32</v>
      </c>
      <c r="G186" s="1" t="s">
        <v>23</v>
      </c>
      <c r="H186">
        <v>3.5</v>
      </c>
      <c r="I186">
        <v>1228</v>
      </c>
      <c r="J186" s="1" t="s">
        <v>36</v>
      </c>
      <c r="K186">
        <v>4</v>
      </c>
      <c r="L186" s="1" t="s">
        <v>30</v>
      </c>
    </row>
    <row r="187" spans="1:12" x14ac:dyDescent="0.25">
      <c r="A187">
        <v>20</v>
      </c>
      <c r="B187">
        <v>18</v>
      </c>
      <c r="C187">
        <v>19</v>
      </c>
      <c r="D187">
        <v>2</v>
      </c>
      <c r="E187" s="1" t="s">
        <v>21</v>
      </c>
      <c r="F187" s="1" t="s">
        <v>32</v>
      </c>
      <c r="G187" s="1" t="s">
        <v>23</v>
      </c>
      <c r="H187">
        <v>5</v>
      </c>
      <c r="I187">
        <v>3933</v>
      </c>
      <c r="J187" s="1" t="s">
        <v>44</v>
      </c>
      <c r="K187">
        <v>4</v>
      </c>
      <c r="L187" s="1" t="s">
        <v>30</v>
      </c>
    </row>
    <row r="188" spans="1:12" x14ac:dyDescent="0.25">
      <c r="A188">
        <v>33</v>
      </c>
      <c r="B188">
        <v>12</v>
      </c>
      <c r="C188">
        <v>19</v>
      </c>
      <c r="D188">
        <v>3</v>
      </c>
      <c r="E188" s="1" t="s">
        <v>46</v>
      </c>
      <c r="F188" s="1" t="s">
        <v>32</v>
      </c>
      <c r="G188" s="1" t="s">
        <v>23</v>
      </c>
      <c r="H188">
        <v>4</v>
      </c>
      <c r="I188">
        <v>3003</v>
      </c>
      <c r="J188" s="1" t="s">
        <v>36</v>
      </c>
      <c r="K188">
        <v>5</v>
      </c>
      <c r="L188" s="1" t="s">
        <v>34</v>
      </c>
    </row>
    <row r="189" spans="1:12" x14ac:dyDescent="0.25">
      <c r="A189">
        <v>41</v>
      </c>
      <c r="B189">
        <v>9</v>
      </c>
      <c r="C189">
        <v>19</v>
      </c>
      <c r="D189">
        <v>3</v>
      </c>
      <c r="E189" s="1" t="s">
        <v>55</v>
      </c>
      <c r="F189" s="1" t="s">
        <v>41</v>
      </c>
      <c r="G189" s="1" t="s">
        <v>23</v>
      </c>
      <c r="H189">
        <v>3</v>
      </c>
      <c r="I189">
        <v>3773</v>
      </c>
      <c r="J189" s="1" t="s">
        <v>26</v>
      </c>
      <c r="K189">
        <v>2</v>
      </c>
      <c r="L189" s="1" t="s">
        <v>40</v>
      </c>
    </row>
    <row r="190" spans="1:12" x14ac:dyDescent="0.25">
      <c r="A190">
        <v>35</v>
      </c>
      <c r="B190">
        <v>8</v>
      </c>
      <c r="C190">
        <v>19</v>
      </c>
      <c r="D190">
        <v>4</v>
      </c>
      <c r="E190" s="1" t="s">
        <v>55</v>
      </c>
      <c r="F190" s="1" t="s">
        <v>32</v>
      </c>
      <c r="G190" s="1" t="s">
        <v>23</v>
      </c>
      <c r="H190">
        <v>3</v>
      </c>
      <c r="I190">
        <v>3981</v>
      </c>
      <c r="J190" s="1" t="s">
        <v>26</v>
      </c>
      <c r="K190">
        <v>6</v>
      </c>
      <c r="L190" s="1" t="s">
        <v>53</v>
      </c>
    </row>
    <row r="191" spans="1:12" x14ac:dyDescent="0.25">
      <c r="A191">
        <v>18</v>
      </c>
      <c r="B191">
        <v>7</v>
      </c>
      <c r="C191">
        <v>19</v>
      </c>
      <c r="D191">
        <v>4</v>
      </c>
      <c r="E191" s="1" t="s">
        <v>21</v>
      </c>
      <c r="F191" s="1" t="s">
        <v>32</v>
      </c>
      <c r="G191" s="1" t="s">
        <v>23</v>
      </c>
      <c r="H191">
        <v>3</v>
      </c>
      <c r="I191">
        <v>3773</v>
      </c>
      <c r="J191" s="1" t="s">
        <v>36</v>
      </c>
      <c r="K191">
        <v>0</v>
      </c>
      <c r="L191" s="1" t="s">
        <v>34</v>
      </c>
    </row>
    <row r="192" spans="1:12" x14ac:dyDescent="0.25">
      <c r="A192">
        <v>15</v>
      </c>
      <c r="B192">
        <v>6</v>
      </c>
      <c r="C192">
        <v>19</v>
      </c>
      <c r="D192">
        <v>4</v>
      </c>
      <c r="E192" s="1" t="s">
        <v>46</v>
      </c>
      <c r="F192" s="1" t="s">
        <v>41</v>
      </c>
      <c r="G192" s="1" t="s">
        <v>23</v>
      </c>
      <c r="H192">
        <v>5</v>
      </c>
      <c r="I192">
        <v>4027</v>
      </c>
      <c r="J192" s="1" t="s">
        <v>49</v>
      </c>
      <c r="K192">
        <v>4</v>
      </c>
      <c r="L192" s="1" t="s">
        <v>51</v>
      </c>
    </row>
    <row r="193" spans="1:12" x14ac:dyDescent="0.25">
      <c r="A193">
        <v>9</v>
      </c>
      <c r="B193">
        <v>6</v>
      </c>
      <c r="C193">
        <v>19</v>
      </c>
      <c r="D193">
        <v>3</v>
      </c>
      <c r="E193" s="1" t="s">
        <v>46</v>
      </c>
      <c r="F193" s="1" t="s">
        <v>41</v>
      </c>
      <c r="G193" s="1" t="s">
        <v>23</v>
      </c>
      <c r="H193">
        <v>4</v>
      </c>
      <c r="I193">
        <v>3003</v>
      </c>
      <c r="J193" s="1" t="s">
        <v>49</v>
      </c>
      <c r="K193">
        <v>7</v>
      </c>
      <c r="L193" s="1" t="s">
        <v>51</v>
      </c>
    </row>
    <row r="194" spans="1:12" x14ac:dyDescent="0.25">
      <c r="A194">
        <v>11</v>
      </c>
      <c r="B194">
        <v>3</v>
      </c>
      <c r="C194">
        <v>19</v>
      </c>
      <c r="D194">
        <v>4</v>
      </c>
      <c r="E194" s="1" t="s">
        <v>46</v>
      </c>
      <c r="F194" s="1" t="s">
        <v>41</v>
      </c>
      <c r="G194" s="1" t="s">
        <v>24</v>
      </c>
      <c r="H194">
        <v>3</v>
      </c>
      <c r="I194">
        <v>716</v>
      </c>
      <c r="J194" s="1" t="s">
        <v>26</v>
      </c>
      <c r="K194">
        <v>6</v>
      </c>
      <c r="L194" s="1" t="s">
        <v>58</v>
      </c>
    </row>
    <row r="195" spans="1:12" x14ac:dyDescent="0.25">
      <c r="A195">
        <v>92</v>
      </c>
      <c r="B195">
        <v>49</v>
      </c>
      <c r="C195">
        <v>18</v>
      </c>
      <c r="D195">
        <v>4</v>
      </c>
      <c r="E195" s="1" t="s">
        <v>31</v>
      </c>
      <c r="F195" s="1" t="s">
        <v>41</v>
      </c>
      <c r="G195" s="1" t="s">
        <v>23</v>
      </c>
      <c r="H195">
        <v>3.5</v>
      </c>
      <c r="I195">
        <v>1228</v>
      </c>
      <c r="J195" s="1" t="s">
        <v>36</v>
      </c>
      <c r="K195">
        <v>5</v>
      </c>
      <c r="L195" s="1" t="s">
        <v>28</v>
      </c>
    </row>
    <row r="196" spans="1:12" x14ac:dyDescent="0.25">
      <c r="A196">
        <v>23</v>
      </c>
      <c r="B196">
        <v>10</v>
      </c>
      <c r="C196">
        <v>18</v>
      </c>
      <c r="D196">
        <v>5</v>
      </c>
      <c r="E196" s="1" t="s">
        <v>31</v>
      </c>
      <c r="F196" s="1" t="s">
        <v>29</v>
      </c>
      <c r="G196" s="1" t="s">
        <v>23</v>
      </c>
      <c r="H196">
        <v>5</v>
      </c>
      <c r="I196">
        <v>3933</v>
      </c>
      <c r="J196" s="1" t="s">
        <v>36</v>
      </c>
      <c r="K196">
        <v>4</v>
      </c>
      <c r="L196" s="1" t="s">
        <v>58</v>
      </c>
    </row>
    <row r="197" spans="1:12" x14ac:dyDescent="0.25">
      <c r="A197">
        <v>17</v>
      </c>
      <c r="B197">
        <v>10</v>
      </c>
      <c r="C197">
        <v>18</v>
      </c>
      <c r="D197">
        <v>4</v>
      </c>
      <c r="E197" s="1" t="s">
        <v>31</v>
      </c>
      <c r="F197" s="1" t="s">
        <v>41</v>
      </c>
      <c r="G197" s="1" t="s">
        <v>23</v>
      </c>
      <c r="H197">
        <v>4</v>
      </c>
      <c r="I197">
        <v>826</v>
      </c>
      <c r="J197" s="1" t="s">
        <v>26</v>
      </c>
      <c r="K197">
        <v>3</v>
      </c>
      <c r="L197" s="1" t="s">
        <v>40</v>
      </c>
    </row>
    <row r="198" spans="1:12" x14ac:dyDescent="0.25">
      <c r="A198">
        <v>15</v>
      </c>
      <c r="B198">
        <v>5</v>
      </c>
      <c r="C198">
        <v>18</v>
      </c>
      <c r="D198">
        <v>5</v>
      </c>
      <c r="E198" s="1" t="s">
        <v>46</v>
      </c>
      <c r="F198" s="1" t="s">
        <v>22</v>
      </c>
      <c r="G198" s="1" t="s">
        <v>23</v>
      </c>
      <c r="H198">
        <v>5</v>
      </c>
      <c r="I198">
        <v>2959</v>
      </c>
      <c r="J198" s="1" t="s">
        <v>36</v>
      </c>
      <c r="K198">
        <v>3</v>
      </c>
      <c r="L198" s="1" t="s">
        <v>51</v>
      </c>
    </row>
    <row r="199" spans="1:12" x14ac:dyDescent="0.25">
      <c r="A199">
        <v>35</v>
      </c>
      <c r="B199">
        <v>16</v>
      </c>
      <c r="C199">
        <v>17</v>
      </c>
      <c r="D199">
        <v>4</v>
      </c>
      <c r="E199" s="1" t="s">
        <v>55</v>
      </c>
      <c r="F199" s="1" t="s">
        <v>32</v>
      </c>
      <c r="G199" s="1" t="s">
        <v>23</v>
      </c>
      <c r="H199">
        <v>5</v>
      </c>
      <c r="I199">
        <v>1282</v>
      </c>
      <c r="J199" s="1" t="s">
        <v>49</v>
      </c>
      <c r="K199">
        <v>2</v>
      </c>
      <c r="L199" s="1" t="s">
        <v>40</v>
      </c>
    </row>
    <row r="200" spans="1:12" x14ac:dyDescent="0.25">
      <c r="A200">
        <v>63</v>
      </c>
      <c r="B200">
        <v>15</v>
      </c>
      <c r="C200">
        <v>17</v>
      </c>
      <c r="D200">
        <v>4</v>
      </c>
      <c r="E200" s="1" t="s">
        <v>31</v>
      </c>
      <c r="F200" s="1" t="s">
        <v>29</v>
      </c>
      <c r="G200" s="1" t="s">
        <v>23</v>
      </c>
      <c r="H200">
        <v>4</v>
      </c>
      <c r="I200">
        <v>3003</v>
      </c>
      <c r="J200" s="1" t="s">
        <v>26</v>
      </c>
      <c r="K200">
        <v>2</v>
      </c>
      <c r="L200" s="1" t="s">
        <v>40</v>
      </c>
    </row>
    <row r="201" spans="1:12" x14ac:dyDescent="0.25">
      <c r="A201">
        <v>27</v>
      </c>
      <c r="B201">
        <v>15</v>
      </c>
      <c r="C201">
        <v>17</v>
      </c>
      <c r="D201">
        <v>3</v>
      </c>
      <c r="E201" s="1" t="s">
        <v>46</v>
      </c>
      <c r="F201" s="1" t="s">
        <v>41</v>
      </c>
      <c r="G201" s="1" t="s">
        <v>24</v>
      </c>
      <c r="H201">
        <v>3</v>
      </c>
      <c r="I201">
        <v>716</v>
      </c>
      <c r="J201" s="1" t="s">
        <v>26</v>
      </c>
      <c r="K201">
        <v>6</v>
      </c>
      <c r="L201" s="1" t="s">
        <v>40</v>
      </c>
    </row>
    <row r="202" spans="1:12" x14ac:dyDescent="0.25">
      <c r="A202">
        <v>20</v>
      </c>
      <c r="B202">
        <v>13</v>
      </c>
      <c r="C202">
        <v>17</v>
      </c>
      <c r="D202">
        <v>4</v>
      </c>
      <c r="E202" s="1" t="s">
        <v>21</v>
      </c>
      <c r="F202" s="1" t="s">
        <v>41</v>
      </c>
      <c r="G202" s="1" t="s">
        <v>23</v>
      </c>
      <c r="H202">
        <v>4</v>
      </c>
      <c r="I202">
        <v>826</v>
      </c>
      <c r="J202" s="1" t="s">
        <v>26</v>
      </c>
      <c r="K202">
        <v>4</v>
      </c>
      <c r="L202" s="1" t="s">
        <v>58</v>
      </c>
    </row>
    <row r="203" spans="1:12" x14ac:dyDescent="0.25">
      <c r="A203">
        <v>38</v>
      </c>
      <c r="B203">
        <v>12</v>
      </c>
      <c r="C203">
        <v>17</v>
      </c>
      <c r="D203">
        <v>5</v>
      </c>
      <c r="E203" s="1" t="s">
        <v>55</v>
      </c>
      <c r="F203" s="1" t="s">
        <v>29</v>
      </c>
      <c r="G203" s="1" t="s">
        <v>24</v>
      </c>
      <c r="H203">
        <v>3</v>
      </c>
      <c r="I203">
        <v>716</v>
      </c>
      <c r="J203" s="1" t="s">
        <v>26</v>
      </c>
      <c r="K203">
        <v>7</v>
      </c>
      <c r="L203" s="1" t="s">
        <v>30</v>
      </c>
    </row>
    <row r="204" spans="1:12" x14ac:dyDescent="0.25">
      <c r="A204">
        <v>30</v>
      </c>
      <c r="B204">
        <v>12</v>
      </c>
      <c r="C204">
        <v>17</v>
      </c>
      <c r="D204">
        <v>5</v>
      </c>
      <c r="E204" s="1" t="s">
        <v>21</v>
      </c>
      <c r="F204" s="1" t="s">
        <v>41</v>
      </c>
      <c r="G204" s="1" t="s">
        <v>23</v>
      </c>
      <c r="H204">
        <v>3</v>
      </c>
      <c r="I204">
        <v>3981</v>
      </c>
      <c r="J204" s="1" t="s">
        <v>26</v>
      </c>
      <c r="K204">
        <v>8</v>
      </c>
      <c r="L204" s="1" t="s">
        <v>30</v>
      </c>
    </row>
    <row r="205" spans="1:12" x14ac:dyDescent="0.25">
      <c r="A205">
        <v>69</v>
      </c>
      <c r="B205">
        <v>11</v>
      </c>
      <c r="C205">
        <v>17</v>
      </c>
      <c r="D205">
        <v>5</v>
      </c>
      <c r="E205" s="1" t="s">
        <v>55</v>
      </c>
      <c r="F205" s="1" t="s">
        <v>41</v>
      </c>
      <c r="G205" s="1" t="s">
        <v>23</v>
      </c>
      <c r="H205">
        <v>4.5</v>
      </c>
      <c r="I205">
        <v>188</v>
      </c>
      <c r="J205" s="1" t="s">
        <v>26</v>
      </c>
      <c r="K205">
        <v>0</v>
      </c>
      <c r="L205" s="1" t="s">
        <v>53</v>
      </c>
    </row>
    <row r="206" spans="1:12" x14ac:dyDescent="0.25">
      <c r="A206">
        <v>19</v>
      </c>
      <c r="B206">
        <v>11</v>
      </c>
      <c r="C206">
        <v>17</v>
      </c>
      <c r="D206">
        <v>4</v>
      </c>
      <c r="E206" s="1" t="s">
        <v>31</v>
      </c>
      <c r="F206" s="1" t="s">
        <v>32</v>
      </c>
      <c r="G206" s="1" t="s">
        <v>23</v>
      </c>
      <c r="H206">
        <v>5</v>
      </c>
      <c r="I206">
        <v>1282</v>
      </c>
      <c r="J206" s="1" t="s">
        <v>44</v>
      </c>
      <c r="K206">
        <v>7</v>
      </c>
      <c r="L206" s="1" t="s">
        <v>30</v>
      </c>
    </row>
    <row r="207" spans="1:12" x14ac:dyDescent="0.25">
      <c r="A207">
        <v>30</v>
      </c>
      <c r="B207">
        <v>10</v>
      </c>
      <c r="C207">
        <v>17</v>
      </c>
      <c r="D207">
        <v>5</v>
      </c>
      <c r="E207" s="1" t="s">
        <v>46</v>
      </c>
      <c r="F207" s="1" t="s">
        <v>41</v>
      </c>
      <c r="G207" s="1" t="s">
        <v>24</v>
      </c>
      <c r="H207">
        <v>5</v>
      </c>
      <c r="I207">
        <v>2700</v>
      </c>
      <c r="J207" s="1" t="s">
        <v>26</v>
      </c>
      <c r="K207">
        <v>3</v>
      </c>
      <c r="L207" s="1" t="s">
        <v>58</v>
      </c>
    </row>
    <row r="208" spans="1:12" x14ac:dyDescent="0.25">
      <c r="A208">
        <v>11</v>
      </c>
      <c r="B208">
        <v>10</v>
      </c>
      <c r="C208">
        <v>17</v>
      </c>
      <c r="D208">
        <v>5</v>
      </c>
      <c r="E208" s="1" t="s">
        <v>46</v>
      </c>
      <c r="F208" s="1" t="s">
        <v>32</v>
      </c>
      <c r="G208" s="1" t="s">
        <v>23</v>
      </c>
      <c r="H208">
        <v>5</v>
      </c>
      <c r="I208">
        <v>3348</v>
      </c>
      <c r="J208" s="1" t="s">
        <v>36</v>
      </c>
      <c r="K208">
        <v>3</v>
      </c>
      <c r="L208" s="1" t="s">
        <v>30</v>
      </c>
    </row>
    <row r="209" spans="1:12" x14ac:dyDescent="0.25">
      <c r="A209">
        <v>30</v>
      </c>
      <c r="B209">
        <v>9</v>
      </c>
      <c r="C209">
        <v>17</v>
      </c>
      <c r="D209">
        <v>2</v>
      </c>
      <c r="E209" s="1" t="s">
        <v>31</v>
      </c>
      <c r="F209" s="1" t="s">
        <v>29</v>
      </c>
      <c r="G209" s="1" t="s">
        <v>23</v>
      </c>
      <c r="H209">
        <v>5</v>
      </c>
      <c r="I209">
        <v>3933</v>
      </c>
      <c r="J209" s="1" t="s">
        <v>26</v>
      </c>
      <c r="K209">
        <v>0</v>
      </c>
      <c r="L209" s="1" t="s">
        <v>40</v>
      </c>
    </row>
    <row r="210" spans="1:12" x14ac:dyDescent="0.25">
      <c r="A210">
        <v>11</v>
      </c>
      <c r="B210">
        <v>7</v>
      </c>
      <c r="C210">
        <v>17</v>
      </c>
      <c r="D210">
        <v>5</v>
      </c>
      <c r="E210" s="1" t="s">
        <v>55</v>
      </c>
      <c r="F210" s="1" t="s">
        <v>41</v>
      </c>
      <c r="G210" s="1" t="s">
        <v>23</v>
      </c>
      <c r="H210">
        <v>5</v>
      </c>
      <c r="I210">
        <v>1282</v>
      </c>
      <c r="J210" s="1" t="s">
        <v>49</v>
      </c>
      <c r="K210">
        <v>2</v>
      </c>
      <c r="L210" s="1" t="s">
        <v>34</v>
      </c>
    </row>
    <row r="211" spans="1:12" x14ac:dyDescent="0.25">
      <c r="A211">
        <v>18</v>
      </c>
      <c r="B211">
        <v>6</v>
      </c>
      <c r="C211">
        <v>17</v>
      </c>
      <c r="D211">
        <v>4</v>
      </c>
      <c r="E211" s="1" t="s">
        <v>46</v>
      </c>
      <c r="F211" s="1" t="s">
        <v>41</v>
      </c>
      <c r="G211" s="1" t="s">
        <v>24</v>
      </c>
      <c r="H211">
        <v>4</v>
      </c>
      <c r="I211">
        <v>1467</v>
      </c>
      <c r="J211" s="1" t="s">
        <v>36</v>
      </c>
      <c r="K211">
        <v>1</v>
      </c>
      <c r="L211" s="1" t="s">
        <v>58</v>
      </c>
    </row>
    <row r="212" spans="1:12" x14ac:dyDescent="0.25">
      <c r="A212">
        <v>15</v>
      </c>
      <c r="B212">
        <v>6</v>
      </c>
      <c r="C212">
        <v>17</v>
      </c>
      <c r="D212">
        <v>5</v>
      </c>
      <c r="E212" s="1" t="s">
        <v>31</v>
      </c>
      <c r="F212" s="1" t="s">
        <v>41</v>
      </c>
      <c r="G212" s="1" t="s">
        <v>23</v>
      </c>
      <c r="H212">
        <v>5</v>
      </c>
      <c r="I212">
        <v>3933</v>
      </c>
      <c r="J212" s="1" t="s">
        <v>36</v>
      </c>
      <c r="K212">
        <v>1</v>
      </c>
      <c r="L212" s="1" t="s">
        <v>28</v>
      </c>
    </row>
    <row r="213" spans="1:12" x14ac:dyDescent="0.25">
      <c r="A213">
        <v>54</v>
      </c>
      <c r="B213">
        <v>18</v>
      </c>
      <c r="C213">
        <v>16</v>
      </c>
      <c r="D213">
        <v>2</v>
      </c>
      <c r="E213" s="1" t="s">
        <v>31</v>
      </c>
      <c r="F213" s="1" t="s">
        <v>29</v>
      </c>
      <c r="G213" s="1" t="s">
        <v>23</v>
      </c>
      <c r="H213">
        <v>4</v>
      </c>
      <c r="I213">
        <v>3003</v>
      </c>
      <c r="J213" s="1" t="s">
        <v>64</v>
      </c>
      <c r="K213">
        <v>5</v>
      </c>
      <c r="L213" s="1" t="s">
        <v>40</v>
      </c>
    </row>
    <row r="214" spans="1:12" x14ac:dyDescent="0.25">
      <c r="A214">
        <v>38</v>
      </c>
      <c r="B214">
        <v>18</v>
      </c>
      <c r="C214">
        <v>16</v>
      </c>
      <c r="D214">
        <v>5</v>
      </c>
      <c r="E214" s="1" t="s">
        <v>46</v>
      </c>
      <c r="F214" s="1" t="s">
        <v>41</v>
      </c>
      <c r="G214" s="1" t="s">
        <v>23</v>
      </c>
      <c r="H214">
        <v>5</v>
      </c>
      <c r="I214">
        <v>1282</v>
      </c>
      <c r="J214" s="1" t="s">
        <v>26</v>
      </c>
      <c r="K214">
        <v>8</v>
      </c>
      <c r="L214" s="1" t="s">
        <v>53</v>
      </c>
    </row>
    <row r="215" spans="1:12" x14ac:dyDescent="0.25">
      <c r="A215">
        <v>27</v>
      </c>
      <c r="B215">
        <v>17</v>
      </c>
      <c r="C215">
        <v>16</v>
      </c>
      <c r="D215">
        <v>3</v>
      </c>
      <c r="E215" s="1" t="s">
        <v>46</v>
      </c>
      <c r="F215" s="1" t="s">
        <v>32</v>
      </c>
      <c r="G215" s="1" t="s">
        <v>24</v>
      </c>
      <c r="H215">
        <v>4</v>
      </c>
      <c r="I215">
        <v>2884</v>
      </c>
      <c r="J215" s="1" t="s">
        <v>26</v>
      </c>
      <c r="K215">
        <v>6</v>
      </c>
      <c r="L215" s="1" t="s">
        <v>28</v>
      </c>
    </row>
    <row r="216" spans="1:12" x14ac:dyDescent="0.25">
      <c r="A216">
        <v>19</v>
      </c>
      <c r="B216">
        <v>17</v>
      </c>
      <c r="C216">
        <v>16</v>
      </c>
      <c r="D216">
        <v>4</v>
      </c>
      <c r="E216" s="1" t="s">
        <v>55</v>
      </c>
      <c r="F216" s="1" t="s">
        <v>41</v>
      </c>
      <c r="G216" s="1" t="s">
        <v>23</v>
      </c>
      <c r="H216">
        <v>4</v>
      </c>
      <c r="I216">
        <v>3003</v>
      </c>
      <c r="J216" s="1" t="s">
        <v>36</v>
      </c>
      <c r="K216">
        <v>5</v>
      </c>
      <c r="L216" s="1" t="s">
        <v>51</v>
      </c>
    </row>
    <row r="217" spans="1:12" x14ac:dyDescent="0.25">
      <c r="A217">
        <v>27</v>
      </c>
      <c r="B217">
        <v>15</v>
      </c>
      <c r="C217">
        <v>16</v>
      </c>
      <c r="D217">
        <v>5</v>
      </c>
      <c r="E217" s="1" t="s">
        <v>55</v>
      </c>
      <c r="F217" s="1" t="s">
        <v>41</v>
      </c>
      <c r="G217" s="1" t="s">
        <v>24</v>
      </c>
      <c r="H217">
        <v>3</v>
      </c>
      <c r="I217">
        <v>716</v>
      </c>
      <c r="J217" s="1" t="s">
        <v>49</v>
      </c>
      <c r="K217">
        <v>5</v>
      </c>
      <c r="L217" s="1" t="s">
        <v>53</v>
      </c>
    </row>
    <row r="218" spans="1:12" x14ac:dyDescent="0.25">
      <c r="A218">
        <v>20</v>
      </c>
      <c r="B218">
        <v>13</v>
      </c>
      <c r="C218">
        <v>16</v>
      </c>
      <c r="D218">
        <v>5</v>
      </c>
      <c r="E218" s="1" t="s">
        <v>31</v>
      </c>
      <c r="F218" s="1" t="s">
        <v>22</v>
      </c>
      <c r="G218" s="1" t="s">
        <v>24</v>
      </c>
      <c r="H218">
        <v>5</v>
      </c>
      <c r="I218">
        <v>2700</v>
      </c>
      <c r="J218" s="1" t="s">
        <v>26</v>
      </c>
      <c r="K218">
        <v>6</v>
      </c>
      <c r="L218" s="1" t="s">
        <v>30</v>
      </c>
    </row>
    <row r="219" spans="1:12" x14ac:dyDescent="0.25">
      <c r="A219">
        <v>16</v>
      </c>
      <c r="B219">
        <v>13</v>
      </c>
      <c r="C219">
        <v>16</v>
      </c>
      <c r="D219">
        <v>3</v>
      </c>
      <c r="E219" s="1" t="s">
        <v>31</v>
      </c>
      <c r="F219" s="1" t="s">
        <v>32</v>
      </c>
      <c r="G219" s="1" t="s">
        <v>24</v>
      </c>
      <c r="H219">
        <v>4</v>
      </c>
      <c r="I219">
        <v>2884</v>
      </c>
      <c r="J219" s="1" t="s">
        <v>49</v>
      </c>
      <c r="K219">
        <v>6</v>
      </c>
      <c r="L219" s="1" t="s">
        <v>51</v>
      </c>
    </row>
    <row r="220" spans="1:12" x14ac:dyDescent="0.25">
      <c r="A220">
        <v>39</v>
      </c>
      <c r="B220">
        <v>12</v>
      </c>
      <c r="C220">
        <v>16</v>
      </c>
      <c r="D220">
        <v>5</v>
      </c>
      <c r="E220" s="1" t="s">
        <v>55</v>
      </c>
      <c r="F220" s="1" t="s">
        <v>22</v>
      </c>
      <c r="G220" s="1" t="s">
        <v>23</v>
      </c>
      <c r="H220">
        <v>5</v>
      </c>
      <c r="I220">
        <v>3348</v>
      </c>
      <c r="J220" s="1" t="s">
        <v>26</v>
      </c>
      <c r="K220">
        <v>2</v>
      </c>
      <c r="L220" s="1" t="s">
        <v>28</v>
      </c>
    </row>
    <row r="221" spans="1:12" x14ac:dyDescent="0.25">
      <c r="A221">
        <v>25</v>
      </c>
      <c r="B221">
        <v>10</v>
      </c>
      <c r="C221">
        <v>16</v>
      </c>
      <c r="D221">
        <v>5</v>
      </c>
      <c r="E221" s="1" t="s">
        <v>55</v>
      </c>
      <c r="F221" s="1" t="s">
        <v>22</v>
      </c>
      <c r="G221" s="1" t="s">
        <v>23</v>
      </c>
      <c r="H221">
        <v>4.5</v>
      </c>
      <c r="I221">
        <v>188</v>
      </c>
      <c r="J221" s="1" t="s">
        <v>36</v>
      </c>
      <c r="K221">
        <v>8</v>
      </c>
      <c r="L221" s="1" t="s">
        <v>40</v>
      </c>
    </row>
    <row r="222" spans="1:12" x14ac:dyDescent="0.25">
      <c r="A222">
        <v>18</v>
      </c>
      <c r="B222">
        <v>10</v>
      </c>
      <c r="C222">
        <v>16</v>
      </c>
      <c r="D222">
        <v>3</v>
      </c>
      <c r="E222" s="1" t="s">
        <v>21</v>
      </c>
      <c r="F222" s="1" t="s">
        <v>29</v>
      </c>
      <c r="G222" s="1" t="s">
        <v>24</v>
      </c>
      <c r="H222">
        <v>4</v>
      </c>
      <c r="I222">
        <v>1467</v>
      </c>
      <c r="J222" s="1" t="s">
        <v>44</v>
      </c>
      <c r="K222">
        <v>2</v>
      </c>
      <c r="L222" s="1" t="s">
        <v>28</v>
      </c>
    </row>
    <row r="223" spans="1:12" x14ac:dyDescent="0.25">
      <c r="A223">
        <v>16</v>
      </c>
      <c r="B223">
        <v>10</v>
      </c>
      <c r="C223">
        <v>16</v>
      </c>
      <c r="D223">
        <v>3</v>
      </c>
      <c r="E223" s="1" t="s">
        <v>31</v>
      </c>
      <c r="F223" s="1" t="s">
        <v>38</v>
      </c>
      <c r="G223" s="1" t="s">
        <v>24</v>
      </c>
      <c r="H223">
        <v>5</v>
      </c>
      <c r="I223">
        <v>2700</v>
      </c>
      <c r="J223" s="1" t="s">
        <v>44</v>
      </c>
      <c r="K223">
        <v>7</v>
      </c>
      <c r="L223" s="1" t="s">
        <v>58</v>
      </c>
    </row>
    <row r="224" spans="1:12" x14ac:dyDescent="0.25">
      <c r="A224">
        <v>13</v>
      </c>
      <c r="B224">
        <v>10</v>
      </c>
      <c r="C224">
        <v>16</v>
      </c>
      <c r="D224">
        <v>4</v>
      </c>
      <c r="E224" s="1" t="s">
        <v>46</v>
      </c>
      <c r="F224" s="1" t="s">
        <v>38</v>
      </c>
      <c r="G224" s="1" t="s">
        <v>24</v>
      </c>
      <c r="H224">
        <v>4</v>
      </c>
      <c r="I224">
        <v>1467</v>
      </c>
      <c r="J224" s="1" t="s">
        <v>36</v>
      </c>
      <c r="K224">
        <v>10</v>
      </c>
      <c r="L224" s="1" t="s">
        <v>51</v>
      </c>
    </row>
    <row r="225" spans="1:12" x14ac:dyDescent="0.25">
      <c r="A225">
        <v>27</v>
      </c>
      <c r="B225">
        <v>8</v>
      </c>
      <c r="C225">
        <v>16</v>
      </c>
      <c r="D225">
        <v>4</v>
      </c>
      <c r="E225" s="1" t="s">
        <v>46</v>
      </c>
      <c r="F225" s="1" t="s">
        <v>22</v>
      </c>
      <c r="G225" s="1" t="s">
        <v>24</v>
      </c>
      <c r="H225">
        <v>3.5</v>
      </c>
      <c r="I225">
        <v>787</v>
      </c>
      <c r="J225" s="1" t="s">
        <v>26</v>
      </c>
      <c r="K225">
        <v>4</v>
      </c>
      <c r="L225" s="1" t="s">
        <v>28</v>
      </c>
    </row>
    <row r="226" spans="1:12" x14ac:dyDescent="0.25">
      <c r="A226">
        <v>12</v>
      </c>
      <c r="B226">
        <v>6</v>
      </c>
      <c r="C226">
        <v>16</v>
      </c>
      <c r="D226">
        <v>3</v>
      </c>
      <c r="E226" s="1" t="s">
        <v>31</v>
      </c>
      <c r="F226" s="1" t="s">
        <v>22</v>
      </c>
      <c r="G226" s="1" t="s">
        <v>23</v>
      </c>
      <c r="H226">
        <v>5</v>
      </c>
      <c r="I226">
        <v>3933</v>
      </c>
      <c r="J226" s="1" t="s">
        <v>36</v>
      </c>
      <c r="K226">
        <v>3</v>
      </c>
      <c r="L226" s="1" t="s">
        <v>30</v>
      </c>
    </row>
    <row r="227" spans="1:12" x14ac:dyDescent="0.25">
      <c r="A227">
        <v>18</v>
      </c>
      <c r="B227">
        <v>4</v>
      </c>
      <c r="C227">
        <v>16</v>
      </c>
      <c r="D227">
        <v>5</v>
      </c>
      <c r="E227" s="1" t="s">
        <v>55</v>
      </c>
      <c r="F227" s="1" t="s">
        <v>22</v>
      </c>
      <c r="G227" s="1" t="s">
        <v>23</v>
      </c>
      <c r="H227">
        <v>5</v>
      </c>
      <c r="I227">
        <v>2959</v>
      </c>
      <c r="J227" s="1" t="s">
        <v>36</v>
      </c>
      <c r="K227">
        <v>0</v>
      </c>
      <c r="L227" s="1" t="s">
        <v>30</v>
      </c>
    </row>
    <row r="228" spans="1:12" x14ac:dyDescent="0.25">
      <c r="A228">
        <v>8</v>
      </c>
      <c r="B228">
        <v>4</v>
      </c>
      <c r="C228">
        <v>16</v>
      </c>
      <c r="D228">
        <v>5</v>
      </c>
      <c r="E228" s="1" t="s">
        <v>55</v>
      </c>
      <c r="F228" s="1" t="s">
        <v>41</v>
      </c>
      <c r="G228" s="1" t="s">
        <v>24</v>
      </c>
      <c r="H228">
        <v>5</v>
      </c>
      <c r="I228">
        <v>2700</v>
      </c>
      <c r="J228" s="1" t="s">
        <v>36</v>
      </c>
      <c r="K228">
        <v>7</v>
      </c>
      <c r="L228" s="1" t="s">
        <v>34</v>
      </c>
    </row>
    <row r="229" spans="1:12" x14ac:dyDescent="0.25">
      <c r="A229">
        <v>11</v>
      </c>
      <c r="B229">
        <v>3</v>
      </c>
      <c r="C229">
        <v>16</v>
      </c>
      <c r="D229">
        <v>2</v>
      </c>
      <c r="E229" s="1" t="s">
        <v>55</v>
      </c>
      <c r="F229" s="1" t="s">
        <v>41</v>
      </c>
      <c r="G229" s="1" t="s">
        <v>23</v>
      </c>
      <c r="H229">
        <v>3.5</v>
      </c>
      <c r="I229">
        <v>1228</v>
      </c>
      <c r="J229" s="1" t="s">
        <v>36</v>
      </c>
      <c r="K229">
        <v>2</v>
      </c>
      <c r="L229" s="1" t="s">
        <v>51</v>
      </c>
    </row>
    <row r="230" spans="1:12" x14ac:dyDescent="0.25">
      <c r="A230">
        <v>4</v>
      </c>
      <c r="B230">
        <v>0</v>
      </c>
      <c r="C230">
        <v>16</v>
      </c>
      <c r="D230">
        <v>1</v>
      </c>
      <c r="E230" s="1" t="s">
        <v>46</v>
      </c>
      <c r="F230" s="1" t="s">
        <v>22</v>
      </c>
      <c r="G230" s="1" t="s">
        <v>23</v>
      </c>
      <c r="H230">
        <v>4.5</v>
      </c>
      <c r="I230">
        <v>188</v>
      </c>
      <c r="J230" s="1" t="s">
        <v>26</v>
      </c>
      <c r="K230">
        <v>0</v>
      </c>
      <c r="L230" s="1" t="s">
        <v>28</v>
      </c>
    </row>
    <row r="231" spans="1:12" x14ac:dyDescent="0.25">
      <c r="A231">
        <v>60</v>
      </c>
      <c r="B231">
        <v>16</v>
      </c>
      <c r="C231">
        <v>15</v>
      </c>
      <c r="D231">
        <v>4</v>
      </c>
      <c r="E231" s="1" t="s">
        <v>21</v>
      </c>
      <c r="F231" s="1" t="s">
        <v>32</v>
      </c>
      <c r="G231" s="1" t="s">
        <v>23</v>
      </c>
      <c r="H231">
        <v>5</v>
      </c>
      <c r="I231">
        <v>4027</v>
      </c>
      <c r="J231" s="1" t="s">
        <v>26</v>
      </c>
      <c r="K231">
        <v>5</v>
      </c>
      <c r="L231" s="1" t="s">
        <v>34</v>
      </c>
    </row>
    <row r="232" spans="1:12" x14ac:dyDescent="0.25">
      <c r="A232">
        <v>29</v>
      </c>
      <c r="B232">
        <v>11</v>
      </c>
      <c r="C232">
        <v>15</v>
      </c>
      <c r="D232">
        <v>5</v>
      </c>
      <c r="E232" s="1" t="s">
        <v>55</v>
      </c>
      <c r="F232" s="1" t="s">
        <v>41</v>
      </c>
      <c r="G232" s="1" t="s">
        <v>23</v>
      </c>
      <c r="H232">
        <v>5</v>
      </c>
      <c r="I232">
        <v>2034</v>
      </c>
      <c r="J232" s="1" t="s">
        <v>26</v>
      </c>
      <c r="K232">
        <v>6</v>
      </c>
      <c r="L232" s="1" t="s">
        <v>58</v>
      </c>
    </row>
    <row r="233" spans="1:12" x14ac:dyDescent="0.25">
      <c r="A233">
        <v>29</v>
      </c>
      <c r="B233">
        <v>11</v>
      </c>
      <c r="C233">
        <v>15</v>
      </c>
      <c r="D233">
        <v>4</v>
      </c>
      <c r="E233" s="1" t="s">
        <v>21</v>
      </c>
      <c r="F233" s="1" t="s">
        <v>41</v>
      </c>
      <c r="G233" s="1" t="s">
        <v>23</v>
      </c>
      <c r="H233">
        <v>3</v>
      </c>
      <c r="I233">
        <v>3981</v>
      </c>
      <c r="J233" s="1" t="s">
        <v>36</v>
      </c>
      <c r="K233">
        <v>3</v>
      </c>
      <c r="L233" s="1" t="s">
        <v>58</v>
      </c>
    </row>
    <row r="234" spans="1:12" x14ac:dyDescent="0.25">
      <c r="A234">
        <v>18</v>
      </c>
      <c r="B234">
        <v>11</v>
      </c>
      <c r="C234">
        <v>15</v>
      </c>
      <c r="D234">
        <v>5</v>
      </c>
      <c r="E234" s="1" t="s">
        <v>21</v>
      </c>
      <c r="F234" s="1" t="s">
        <v>41</v>
      </c>
      <c r="G234" s="1" t="s">
        <v>24</v>
      </c>
      <c r="H234">
        <v>5</v>
      </c>
      <c r="I234">
        <v>2700</v>
      </c>
      <c r="J234" s="1" t="s">
        <v>26</v>
      </c>
      <c r="K234">
        <v>7</v>
      </c>
      <c r="L234" s="1" t="s">
        <v>40</v>
      </c>
    </row>
    <row r="235" spans="1:12" x14ac:dyDescent="0.25">
      <c r="A235">
        <v>54</v>
      </c>
      <c r="B235">
        <v>10</v>
      </c>
      <c r="C235">
        <v>15</v>
      </c>
      <c r="D235">
        <v>4</v>
      </c>
      <c r="E235" s="1" t="s">
        <v>31</v>
      </c>
      <c r="F235" s="1" t="s">
        <v>29</v>
      </c>
      <c r="G235" s="1" t="s">
        <v>24</v>
      </c>
      <c r="H235">
        <v>3.5</v>
      </c>
      <c r="I235">
        <v>787</v>
      </c>
      <c r="J235" s="1" t="s">
        <v>26</v>
      </c>
      <c r="K235">
        <v>5</v>
      </c>
      <c r="L235" s="1" t="s">
        <v>40</v>
      </c>
    </row>
    <row r="236" spans="1:12" x14ac:dyDescent="0.25">
      <c r="A236">
        <v>58</v>
      </c>
      <c r="B236">
        <v>9</v>
      </c>
      <c r="C236">
        <v>15</v>
      </c>
      <c r="D236">
        <v>4</v>
      </c>
      <c r="E236" s="1" t="s">
        <v>46</v>
      </c>
      <c r="F236" s="1" t="s">
        <v>41</v>
      </c>
      <c r="G236" s="1" t="s">
        <v>23</v>
      </c>
      <c r="H236">
        <v>3</v>
      </c>
      <c r="I236">
        <v>3981</v>
      </c>
      <c r="J236" s="1" t="s">
        <v>49</v>
      </c>
      <c r="K236">
        <v>0</v>
      </c>
      <c r="L236" s="1" t="s">
        <v>34</v>
      </c>
    </row>
    <row r="237" spans="1:12" x14ac:dyDescent="0.25">
      <c r="A237">
        <v>36</v>
      </c>
      <c r="B237">
        <v>9</v>
      </c>
      <c r="C237">
        <v>15</v>
      </c>
      <c r="D237">
        <v>4</v>
      </c>
      <c r="E237" s="1" t="s">
        <v>21</v>
      </c>
      <c r="F237" s="1" t="s">
        <v>22</v>
      </c>
      <c r="G237" s="1" t="s">
        <v>23</v>
      </c>
      <c r="H237">
        <v>5</v>
      </c>
      <c r="I237">
        <v>2959</v>
      </c>
      <c r="J237" s="1" t="s">
        <v>36</v>
      </c>
      <c r="K237">
        <v>2</v>
      </c>
      <c r="L237" s="1" t="s">
        <v>34</v>
      </c>
    </row>
    <row r="238" spans="1:12" x14ac:dyDescent="0.25">
      <c r="A238">
        <v>13</v>
      </c>
      <c r="B238">
        <v>9</v>
      </c>
      <c r="C238">
        <v>15</v>
      </c>
      <c r="D238">
        <v>4</v>
      </c>
      <c r="E238" s="1" t="s">
        <v>46</v>
      </c>
      <c r="F238" s="1" t="s">
        <v>22</v>
      </c>
      <c r="G238" s="1" t="s">
        <v>23</v>
      </c>
      <c r="H238">
        <v>4</v>
      </c>
      <c r="I238">
        <v>3003</v>
      </c>
      <c r="J238" s="1" t="s">
        <v>26</v>
      </c>
      <c r="K238">
        <v>1</v>
      </c>
      <c r="L238" s="1" t="s">
        <v>58</v>
      </c>
    </row>
    <row r="239" spans="1:12" x14ac:dyDescent="0.25">
      <c r="A239">
        <v>29</v>
      </c>
      <c r="B239">
        <v>7</v>
      </c>
      <c r="C239">
        <v>15</v>
      </c>
      <c r="D239">
        <v>5</v>
      </c>
      <c r="E239" s="1" t="s">
        <v>55</v>
      </c>
      <c r="F239" s="1" t="s">
        <v>41</v>
      </c>
      <c r="G239" s="1" t="s">
        <v>23</v>
      </c>
      <c r="H239">
        <v>5</v>
      </c>
      <c r="I239">
        <v>4027</v>
      </c>
      <c r="J239" s="1" t="s">
        <v>36</v>
      </c>
      <c r="K239">
        <v>7</v>
      </c>
      <c r="L239" s="1" t="s">
        <v>28</v>
      </c>
    </row>
    <row r="240" spans="1:12" x14ac:dyDescent="0.25">
      <c r="A240">
        <v>21</v>
      </c>
      <c r="B240">
        <v>6</v>
      </c>
      <c r="C240">
        <v>15</v>
      </c>
      <c r="D240">
        <v>5</v>
      </c>
      <c r="E240" s="1" t="s">
        <v>46</v>
      </c>
      <c r="F240" s="1" t="s">
        <v>41</v>
      </c>
      <c r="G240" s="1" t="s">
        <v>23</v>
      </c>
      <c r="H240">
        <v>5</v>
      </c>
      <c r="I240">
        <v>4027</v>
      </c>
      <c r="J240" s="1" t="s">
        <v>36</v>
      </c>
      <c r="K240">
        <v>3</v>
      </c>
      <c r="L240" s="1" t="s">
        <v>34</v>
      </c>
    </row>
    <row r="241" spans="1:12" x14ac:dyDescent="0.25">
      <c r="A241">
        <v>14</v>
      </c>
      <c r="B241">
        <v>5</v>
      </c>
      <c r="C241">
        <v>15</v>
      </c>
      <c r="D241">
        <v>4</v>
      </c>
      <c r="E241" s="1" t="s">
        <v>55</v>
      </c>
      <c r="F241" s="1" t="s">
        <v>29</v>
      </c>
      <c r="G241" s="1" t="s">
        <v>23</v>
      </c>
      <c r="H241">
        <v>3</v>
      </c>
      <c r="I241">
        <v>315</v>
      </c>
      <c r="J241" s="1" t="s">
        <v>36</v>
      </c>
      <c r="K241">
        <v>5</v>
      </c>
      <c r="L241" s="1" t="s">
        <v>28</v>
      </c>
    </row>
    <row r="242" spans="1:12" x14ac:dyDescent="0.25">
      <c r="A242">
        <v>9</v>
      </c>
      <c r="B242">
        <v>3</v>
      </c>
      <c r="C242">
        <v>15</v>
      </c>
      <c r="D242">
        <v>5</v>
      </c>
      <c r="E242" s="1" t="s">
        <v>55</v>
      </c>
      <c r="F242" s="1" t="s">
        <v>32</v>
      </c>
      <c r="G242" s="1" t="s">
        <v>23</v>
      </c>
      <c r="H242">
        <v>5</v>
      </c>
      <c r="I242">
        <v>3025</v>
      </c>
      <c r="J242" s="1" t="s">
        <v>26</v>
      </c>
      <c r="K242">
        <v>1</v>
      </c>
      <c r="L242" s="1" t="s">
        <v>51</v>
      </c>
    </row>
    <row r="243" spans="1:12" x14ac:dyDescent="0.25">
      <c r="A243">
        <v>2</v>
      </c>
      <c r="B243">
        <v>0</v>
      </c>
      <c r="C243">
        <v>15</v>
      </c>
      <c r="D243">
        <v>1</v>
      </c>
      <c r="E243" s="1" t="s">
        <v>55</v>
      </c>
      <c r="F243" s="1" t="s">
        <v>32</v>
      </c>
      <c r="G243" s="1" t="s">
        <v>23</v>
      </c>
      <c r="H243">
        <v>5</v>
      </c>
      <c r="I243">
        <v>1282</v>
      </c>
      <c r="J243" s="1" t="s">
        <v>64</v>
      </c>
      <c r="K243">
        <v>1</v>
      </c>
      <c r="L243" s="1" t="s">
        <v>58</v>
      </c>
    </row>
    <row r="244" spans="1:12" x14ac:dyDescent="0.25">
      <c r="A244">
        <v>28</v>
      </c>
      <c r="B244">
        <v>20</v>
      </c>
      <c r="C244">
        <v>14</v>
      </c>
      <c r="D244">
        <v>3</v>
      </c>
      <c r="E244" s="1" t="s">
        <v>46</v>
      </c>
      <c r="F244" s="1" t="s">
        <v>41</v>
      </c>
      <c r="G244" s="1" t="s">
        <v>23</v>
      </c>
      <c r="H244">
        <v>5</v>
      </c>
      <c r="I244">
        <v>3025</v>
      </c>
      <c r="J244" s="1" t="s">
        <v>26</v>
      </c>
      <c r="K244">
        <v>8</v>
      </c>
      <c r="L244" s="1" t="s">
        <v>30</v>
      </c>
    </row>
    <row r="245" spans="1:12" x14ac:dyDescent="0.25">
      <c r="A245">
        <v>21</v>
      </c>
      <c r="B245">
        <v>20</v>
      </c>
      <c r="C245">
        <v>14</v>
      </c>
      <c r="D245">
        <v>5</v>
      </c>
      <c r="E245" s="1" t="s">
        <v>46</v>
      </c>
      <c r="F245" s="1" t="s">
        <v>41</v>
      </c>
      <c r="G245" s="1" t="s">
        <v>24</v>
      </c>
      <c r="H245">
        <v>4</v>
      </c>
      <c r="I245">
        <v>2884</v>
      </c>
      <c r="J245" s="1" t="s">
        <v>49</v>
      </c>
      <c r="K245">
        <v>3</v>
      </c>
      <c r="L245" s="1" t="s">
        <v>51</v>
      </c>
    </row>
    <row r="246" spans="1:12" x14ac:dyDescent="0.25">
      <c r="A246">
        <v>2</v>
      </c>
      <c r="B246">
        <v>18</v>
      </c>
      <c r="C246">
        <v>14</v>
      </c>
      <c r="D246">
        <v>5</v>
      </c>
      <c r="E246" s="1" t="s">
        <v>55</v>
      </c>
      <c r="F246" s="1" t="s">
        <v>41</v>
      </c>
      <c r="G246" s="1" t="s">
        <v>24</v>
      </c>
      <c r="H246">
        <v>5</v>
      </c>
      <c r="I246">
        <v>2700</v>
      </c>
      <c r="J246" s="1" t="s">
        <v>36</v>
      </c>
      <c r="K246">
        <v>8</v>
      </c>
      <c r="L246" s="1" t="s">
        <v>51</v>
      </c>
    </row>
    <row r="247" spans="1:12" x14ac:dyDescent="0.25">
      <c r="A247">
        <v>28</v>
      </c>
      <c r="B247">
        <v>17</v>
      </c>
      <c r="C247">
        <v>14</v>
      </c>
      <c r="D247">
        <v>5</v>
      </c>
      <c r="E247" s="1" t="s">
        <v>55</v>
      </c>
      <c r="F247" s="1" t="s">
        <v>38</v>
      </c>
      <c r="G247" s="1" t="s">
        <v>23</v>
      </c>
      <c r="H247">
        <v>3.5</v>
      </c>
      <c r="I247">
        <v>1228</v>
      </c>
      <c r="J247" s="1" t="s">
        <v>26</v>
      </c>
      <c r="K247">
        <v>2</v>
      </c>
      <c r="L247" s="1" t="s">
        <v>51</v>
      </c>
    </row>
    <row r="248" spans="1:12" x14ac:dyDescent="0.25">
      <c r="A248">
        <v>56</v>
      </c>
      <c r="B248">
        <v>11</v>
      </c>
      <c r="C248">
        <v>14</v>
      </c>
      <c r="D248">
        <v>5</v>
      </c>
      <c r="E248" s="1" t="s">
        <v>55</v>
      </c>
      <c r="F248" s="1" t="s">
        <v>41</v>
      </c>
      <c r="G248" s="1" t="s">
        <v>23</v>
      </c>
      <c r="H248">
        <v>5</v>
      </c>
      <c r="I248">
        <v>4027</v>
      </c>
      <c r="J248" s="1" t="s">
        <v>36</v>
      </c>
      <c r="K248">
        <v>5</v>
      </c>
      <c r="L248" s="1" t="s">
        <v>30</v>
      </c>
    </row>
    <row r="249" spans="1:12" x14ac:dyDescent="0.25">
      <c r="A249">
        <v>32</v>
      </c>
      <c r="B249">
        <v>11</v>
      </c>
      <c r="C249">
        <v>14</v>
      </c>
      <c r="D249">
        <v>5</v>
      </c>
      <c r="E249" s="1" t="s">
        <v>46</v>
      </c>
      <c r="F249" s="1" t="s">
        <v>32</v>
      </c>
      <c r="G249" s="1" t="s">
        <v>23</v>
      </c>
      <c r="H249">
        <v>5</v>
      </c>
      <c r="I249">
        <v>2034</v>
      </c>
      <c r="J249" s="1" t="s">
        <v>26</v>
      </c>
      <c r="K249">
        <v>3</v>
      </c>
      <c r="L249" s="1" t="s">
        <v>53</v>
      </c>
    </row>
    <row r="250" spans="1:12" x14ac:dyDescent="0.25">
      <c r="A250">
        <v>29</v>
      </c>
      <c r="B250">
        <v>11</v>
      </c>
      <c r="C250">
        <v>14</v>
      </c>
      <c r="D250">
        <v>3</v>
      </c>
      <c r="E250" s="1" t="s">
        <v>21</v>
      </c>
      <c r="F250" s="1" t="s">
        <v>29</v>
      </c>
      <c r="G250" s="1" t="s">
        <v>24</v>
      </c>
      <c r="H250">
        <v>4</v>
      </c>
      <c r="I250">
        <v>2884</v>
      </c>
      <c r="J250" s="1" t="s">
        <v>36</v>
      </c>
      <c r="K250">
        <v>6</v>
      </c>
      <c r="L250" s="1" t="s">
        <v>53</v>
      </c>
    </row>
    <row r="251" spans="1:12" x14ac:dyDescent="0.25">
      <c r="A251">
        <v>19</v>
      </c>
      <c r="B251">
        <v>11</v>
      </c>
      <c r="C251">
        <v>14</v>
      </c>
      <c r="D251">
        <v>3</v>
      </c>
      <c r="E251" s="1" t="s">
        <v>55</v>
      </c>
      <c r="F251" s="1" t="s">
        <v>41</v>
      </c>
      <c r="G251" s="1" t="s">
        <v>24</v>
      </c>
      <c r="H251">
        <v>3</v>
      </c>
      <c r="I251">
        <v>716</v>
      </c>
      <c r="J251" s="1" t="s">
        <v>36</v>
      </c>
      <c r="K251">
        <v>5</v>
      </c>
      <c r="L251" s="1" t="s">
        <v>53</v>
      </c>
    </row>
    <row r="252" spans="1:12" x14ac:dyDescent="0.25">
      <c r="A252">
        <v>31</v>
      </c>
      <c r="B252">
        <v>10</v>
      </c>
      <c r="C252">
        <v>14</v>
      </c>
      <c r="D252">
        <v>4</v>
      </c>
      <c r="E252" s="1" t="s">
        <v>31</v>
      </c>
      <c r="F252" s="1" t="s">
        <v>41</v>
      </c>
      <c r="G252" s="1" t="s">
        <v>23</v>
      </c>
      <c r="H252">
        <v>5</v>
      </c>
      <c r="I252">
        <v>3025</v>
      </c>
      <c r="J252" s="1" t="s">
        <v>26</v>
      </c>
      <c r="K252">
        <v>5</v>
      </c>
      <c r="L252" s="1" t="s">
        <v>53</v>
      </c>
    </row>
    <row r="253" spans="1:12" x14ac:dyDescent="0.25">
      <c r="A253">
        <v>16</v>
      </c>
      <c r="B253">
        <v>9</v>
      </c>
      <c r="C253">
        <v>14</v>
      </c>
      <c r="D253">
        <v>4</v>
      </c>
      <c r="E253" s="1" t="s">
        <v>21</v>
      </c>
      <c r="F253" s="1" t="s">
        <v>22</v>
      </c>
      <c r="G253" s="1" t="s">
        <v>23</v>
      </c>
      <c r="H253">
        <v>5</v>
      </c>
      <c r="I253">
        <v>2959</v>
      </c>
      <c r="J253" s="1" t="s">
        <v>49</v>
      </c>
      <c r="K253">
        <v>3</v>
      </c>
      <c r="L253" s="1" t="s">
        <v>28</v>
      </c>
    </row>
    <row r="254" spans="1:12" x14ac:dyDescent="0.25">
      <c r="A254">
        <v>41</v>
      </c>
      <c r="B254">
        <v>8</v>
      </c>
      <c r="C254">
        <v>14</v>
      </c>
      <c r="D254">
        <v>3</v>
      </c>
      <c r="E254" s="1" t="s">
        <v>46</v>
      </c>
      <c r="F254" s="1" t="s">
        <v>32</v>
      </c>
      <c r="G254" s="1" t="s">
        <v>24</v>
      </c>
      <c r="H254">
        <v>3.5</v>
      </c>
      <c r="I254">
        <v>787</v>
      </c>
      <c r="J254" s="1" t="s">
        <v>26</v>
      </c>
      <c r="K254">
        <v>4</v>
      </c>
      <c r="L254" s="1" t="s">
        <v>51</v>
      </c>
    </row>
    <row r="255" spans="1:12" x14ac:dyDescent="0.25">
      <c r="A255">
        <v>14</v>
      </c>
      <c r="B255">
        <v>7</v>
      </c>
      <c r="C255">
        <v>14</v>
      </c>
      <c r="D255">
        <v>4</v>
      </c>
      <c r="E255" s="1" t="s">
        <v>31</v>
      </c>
      <c r="F255" s="1" t="s">
        <v>22</v>
      </c>
      <c r="G255" s="1" t="s">
        <v>23</v>
      </c>
      <c r="H255">
        <v>3</v>
      </c>
      <c r="I255">
        <v>3773</v>
      </c>
      <c r="J255" s="1" t="s">
        <v>36</v>
      </c>
      <c r="K255">
        <v>6</v>
      </c>
      <c r="L255" s="1" t="s">
        <v>30</v>
      </c>
    </row>
    <row r="256" spans="1:12" x14ac:dyDescent="0.25">
      <c r="A256">
        <v>5</v>
      </c>
      <c r="B256">
        <v>5</v>
      </c>
      <c r="C256">
        <v>14</v>
      </c>
      <c r="D256">
        <v>5</v>
      </c>
      <c r="E256" s="1" t="s">
        <v>55</v>
      </c>
      <c r="F256" s="1" t="s">
        <v>41</v>
      </c>
      <c r="G256" s="1" t="s">
        <v>23</v>
      </c>
      <c r="H256">
        <v>5</v>
      </c>
      <c r="I256">
        <v>2034</v>
      </c>
      <c r="J256" s="1" t="s">
        <v>26</v>
      </c>
      <c r="K256">
        <v>5</v>
      </c>
      <c r="L256" s="1" t="s">
        <v>53</v>
      </c>
    </row>
    <row r="257" spans="1:12" x14ac:dyDescent="0.25">
      <c r="A257">
        <v>6</v>
      </c>
      <c r="B257">
        <v>4</v>
      </c>
      <c r="C257">
        <v>14</v>
      </c>
      <c r="D257">
        <v>1</v>
      </c>
      <c r="E257" s="1" t="s">
        <v>46</v>
      </c>
      <c r="F257" s="1" t="s">
        <v>29</v>
      </c>
      <c r="G257" s="1" t="s">
        <v>23</v>
      </c>
      <c r="H257">
        <v>5</v>
      </c>
      <c r="I257">
        <v>2959</v>
      </c>
      <c r="J257" s="1" t="s">
        <v>26</v>
      </c>
      <c r="K257">
        <v>1</v>
      </c>
      <c r="L257" s="1" t="s">
        <v>51</v>
      </c>
    </row>
    <row r="258" spans="1:12" x14ac:dyDescent="0.25">
      <c r="A258">
        <v>14</v>
      </c>
      <c r="B258">
        <v>3</v>
      </c>
      <c r="C258">
        <v>14</v>
      </c>
      <c r="D258">
        <v>5</v>
      </c>
      <c r="E258" s="1" t="s">
        <v>55</v>
      </c>
      <c r="F258" s="1" t="s">
        <v>22</v>
      </c>
      <c r="G258" s="1" t="s">
        <v>24</v>
      </c>
      <c r="H258">
        <v>3.5</v>
      </c>
      <c r="I258">
        <v>787</v>
      </c>
      <c r="J258" s="1" t="s">
        <v>26</v>
      </c>
      <c r="K258">
        <v>6</v>
      </c>
      <c r="L258" s="1" t="s">
        <v>40</v>
      </c>
    </row>
    <row r="259" spans="1:12" x14ac:dyDescent="0.25">
      <c r="A259">
        <v>6</v>
      </c>
      <c r="B259">
        <v>3</v>
      </c>
      <c r="C259">
        <v>14</v>
      </c>
      <c r="D259">
        <v>5</v>
      </c>
      <c r="E259" s="1" t="s">
        <v>46</v>
      </c>
      <c r="F259" s="1" t="s">
        <v>32</v>
      </c>
      <c r="G259" s="1" t="s">
        <v>24</v>
      </c>
      <c r="H259">
        <v>3.5</v>
      </c>
      <c r="I259">
        <v>787</v>
      </c>
      <c r="J259" s="1" t="s">
        <v>36</v>
      </c>
      <c r="K259">
        <v>3</v>
      </c>
      <c r="L259" s="1" t="s">
        <v>53</v>
      </c>
    </row>
    <row r="260" spans="1:12" x14ac:dyDescent="0.25">
      <c r="A260">
        <v>17</v>
      </c>
      <c r="B260">
        <v>15</v>
      </c>
      <c r="C260">
        <v>13</v>
      </c>
      <c r="D260">
        <v>4</v>
      </c>
      <c r="E260" s="1" t="s">
        <v>46</v>
      </c>
      <c r="F260" s="1" t="s">
        <v>41</v>
      </c>
      <c r="G260" s="1" t="s">
        <v>23</v>
      </c>
      <c r="H260">
        <v>5</v>
      </c>
      <c r="I260">
        <v>3348</v>
      </c>
      <c r="J260" s="1" t="s">
        <v>26</v>
      </c>
      <c r="K260">
        <v>2</v>
      </c>
      <c r="L260" s="1" t="s">
        <v>53</v>
      </c>
    </row>
    <row r="261" spans="1:12" x14ac:dyDescent="0.25">
      <c r="A261">
        <v>21</v>
      </c>
      <c r="B261">
        <v>11</v>
      </c>
      <c r="C261">
        <v>13</v>
      </c>
      <c r="D261">
        <v>5</v>
      </c>
      <c r="E261" s="1" t="s">
        <v>21</v>
      </c>
      <c r="F261" s="1" t="s">
        <v>32</v>
      </c>
      <c r="G261" s="1" t="s">
        <v>24</v>
      </c>
      <c r="H261">
        <v>3.5</v>
      </c>
      <c r="I261">
        <v>787</v>
      </c>
      <c r="J261" s="1" t="s">
        <v>49</v>
      </c>
      <c r="K261">
        <v>4</v>
      </c>
      <c r="L261" s="1" t="s">
        <v>53</v>
      </c>
    </row>
    <row r="262" spans="1:12" x14ac:dyDescent="0.25">
      <c r="A262">
        <v>39</v>
      </c>
      <c r="B262">
        <v>10</v>
      </c>
      <c r="C262">
        <v>13</v>
      </c>
      <c r="D262">
        <v>4</v>
      </c>
      <c r="E262" s="1" t="s">
        <v>31</v>
      </c>
      <c r="F262" s="1" t="s">
        <v>41</v>
      </c>
      <c r="G262" s="1" t="s">
        <v>24</v>
      </c>
      <c r="H262">
        <v>3</v>
      </c>
      <c r="I262">
        <v>716</v>
      </c>
      <c r="J262" s="1" t="s">
        <v>26</v>
      </c>
      <c r="K262">
        <v>3</v>
      </c>
      <c r="L262" s="1" t="s">
        <v>51</v>
      </c>
    </row>
    <row r="263" spans="1:12" x14ac:dyDescent="0.25">
      <c r="A263">
        <v>24</v>
      </c>
      <c r="B263">
        <v>10</v>
      </c>
      <c r="C263">
        <v>13</v>
      </c>
      <c r="D263">
        <v>5</v>
      </c>
      <c r="E263" s="1" t="s">
        <v>31</v>
      </c>
      <c r="F263" s="1" t="s">
        <v>41</v>
      </c>
      <c r="G263" s="1" t="s">
        <v>23</v>
      </c>
      <c r="H263">
        <v>4</v>
      </c>
      <c r="I263">
        <v>3003</v>
      </c>
      <c r="J263" s="1" t="s">
        <v>36</v>
      </c>
      <c r="K263">
        <v>5</v>
      </c>
      <c r="L263" s="1" t="s">
        <v>51</v>
      </c>
    </row>
    <row r="264" spans="1:12" x14ac:dyDescent="0.25">
      <c r="A264">
        <v>42</v>
      </c>
      <c r="B264">
        <v>9</v>
      </c>
      <c r="C264">
        <v>13</v>
      </c>
      <c r="D264">
        <v>5</v>
      </c>
      <c r="E264" s="1" t="s">
        <v>21</v>
      </c>
      <c r="F264" s="1" t="s">
        <v>41</v>
      </c>
      <c r="G264" s="1" t="s">
        <v>23</v>
      </c>
      <c r="H264">
        <v>3.5</v>
      </c>
      <c r="I264">
        <v>732</v>
      </c>
      <c r="J264" s="1" t="s">
        <v>26</v>
      </c>
      <c r="K264">
        <v>1</v>
      </c>
      <c r="L264" s="1" t="s">
        <v>40</v>
      </c>
    </row>
    <row r="265" spans="1:12" x14ac:dyDescent="0.25">
      <c r="A265">
        <v>11</v>
      </c>
      <c r="B265">
        <v>8</v>
      </c>
      <c r="C265">
        <v>13</v>
      </c>
      <c r="D265">
        <v>5</v>
      </c>
      <c r="E265" s="1" t="s">
        <v>31</v>
      </c>
      <c r="F265" s="1" t="s">
        <v>41</v>
      </c>
      <c r="G265" s="1" t="s">
        <v>23</v>
      </c>
      <c r="H265">
        <v>3</v>
      </c>
      <c r="I265">
        <v>3981</v>
      </c>
      <c r="J265" s="1" t="s">
        <v>26</v>
      </c>
      <c r="K265">
        <v>7</v>
      </c>
      <c r="L265" s="1" t="s">
        <v>30</v>
      </c>
    </row>
    <row r="266" spans="1:12" x14ac:dyDescent="0.25">
      <c r="A266">
        <v>21</v>
      </c>
      <c r="B266">
        <v>7</v>
      </c>
      <c r="C266">
        <v>13</v>
      </c>
      <c r="D266">
        <v>5</v>
      </c>
      <c r="E266" s="1" t="s">
        <v>21</v>
      </c>
      <c r="F266" s="1" t="s">
        <v>38</v>
      </c>
      <c r="G266" s="1" t="s">
        <v>23</v>
      </c>
      <c r="H266">
        <v>5</v>
      </c>
      <c r="I266">
        <v>1282</v>
      </c>
      <c r="J266" s="1" t="s">
        <v>36</v>
      </c>
      <c r="K266">
        <v>10</v>
      </c>
      <c r="L266" s="1" t="s">
        <v>40</v>
      </c>
    </row>
    <row r="267" spans="1:12" x14ac:dyDescent="0.25">
      <c r="A267">
        <v>14</v>
      </c>
      <c r="B267">
        <v>7</v>
      </c>
      <c r="C267">
        <v>13</v>
      </c>
      <c r="D267">
        <v>5</v>
      </c>
      <c r="E267" s="1" t="s">
        <v>31</v>
      </c>
      <c r="F267" s="1" t="s">
        <v>22</v>
      </c>
      <c r="G267" s="1" t="s">
        <v>23</v>
      </c>
      <c r="H267">
        <v>4</v>
      </c>
      <c r="I267">
        <v>826</v>
      </c>
      <c r="J267" s="1" t="s">
        <v>26</v>
      </c>
      <c r="K267">
        <v>4</v>
      </c>
      <c r="L267" s="1" t="s">
        <v>28</v>
      </c>
    </row>
    <row r="268" spans="1:12" x14ac:dyDescent="0.25">
      <c r="A268">
        <v>13</v>
      </c>
      <c r="B268">
        <v>6</v>
      </c>
      <c r="C268">
        <v>13</v>
      </c>
      <c r="D268">
        <v>5</v>
      </c>
      <c r="E268" s="1" t="s">
        <v>55</v>
      </c>
      <c r="F268" s="1" t="s">
        <v>41</v>
      </c>
      <c r="G268" s="1" t="s">
        <v>23</v>
      </c>
      <c r="H268">
        <v>4</v>
      </c>
      <c r="I268">
        <v>2916</v>
      </c>
      <c r="J268" s="1" t="s">
        <v>26</v>
      </c>
      <c r="K268">
        <v>2</v>
      </c>
      <c r="L268" s="1" t="s">
        <v>40</v>
      </c>
    </row>
    <row r="269" spans="1:12" x14ac:dyDescent="0.25">
      <c r="A269">
        <v>22</v>
      </c>
      <c r="B269">
        <v>5</v>
      </c>
      <c r="C269">
        <v>13</v>
      </c>
      <c r="D269">
        <v>3</v>
      </c>
      <c r="E269" s="1" t="s">
        <v>46</v>
      </c>
      <c r="F269" s="1" t="s">
        <v>22</v>
      </c>
      <c r="G269" s="1" t="s">
        <v>23</v>
      </c>
      <c r="H269">
        <v>3</v>
      </c>
      <c r="I269">
        <v>3773</v>
      </c>
      <c r="J269" s="1" t="s">
        <v>26</v>
      </c>
      <c r="K269">
        <v>1</v>
      </c>
      <c r="L269" s="1" t="s">
        <v>28</v>
      </c>
    </row>
    <row r="270" spans="1:12" x14ac:dyDescent="0.25">
      <c r="A270">
        <v>11</v>
      </c>
      <c r="B270">
        <v>4</v>
      </c>
      <c r="C270">
        <v>13</v>
      </c>
      <c r="D270">
        <v>5</v>
      </c>
      <c r="E270" s="1" t="s">
        <v>21</v>
      </c>
      <c r="F270" s="1" t="s">
        <v>22</v>
      </c>
      <c r="G270" s="1" t="s">
        <v>23</v>
      </c>
      <c r="H270">
        <v>3</v>
      </c>
      <c r="I270">
        <v>3773</v>
      </c>
      <c r="J270" s="1" t="s">
        <v>26</v>
      </c>
      <c r="K270">
        <v>9</v>
      </c>
      <c r="L270" s="1" t="s">
        <v>28</v>
      </c>
    </row>
    <row r="271" spans="1:12" x14ac:dyDescent="0.25">
      <c r="A271">
        <v>15</v>
      </c>
      <c r="B271">
        <v>3</v>
      </c>
      <c r="C271">
        <v>13</v>
      </c>
      <c r="D271">
        <v>5</v>
      </c>
      <c r="E271" s="1" t="s">
        <v>21</v>
      </c>
      <c r="F271" s="1" t="s">
        <v>32</v>
      </c>
      <c r="G271" s="1" t="s">
        <v>23</v>
      </c>
      <c r="H271">
        <v>5</v>
      </c>
      <c r="I271">
        <v>3933</v>
      </c>
      <c r="J271" s="1" t="s">
        <v>26</v>
      </c>
      <c r="K271">
        <v>5</v>
      </c>
      <c r="L271" s="1" t="s">
        <v>28</v>
      </c>
    </row>
    <row r="272" spans="1:12" x14ac:dyDescent="0.25">
      <c r="A272">
        <v>9</v>
      </c>
      <c r="B272">
        <v>3</v>
      </c>
      <c r="C272">
        <v>13</v>
      </c>
      <c r="D272">
        <v>3</v>
      </c>
      <c r="E272" s="1" t="s">
        <v>31</v>
      </c>
      <c r="F272" s="1" t="s">
        <v>41</v>
      </c>
      <c r="G272" s="1" t="s">
        <v>23</v>
      </c>
      <c r="H272">
        <v>5</v>
      </c>
      <c r="I272">
        <v>4027</v>
      </c>
      <c r="J272" s="1" t="s">
        <v>26</v>
      </c>
      <c r="K272">
        <v>2</v>
      </c>
      <c r="L272" s="1" t="s">
        <v>28</v>
      </c>
    </row>
    <row r="273" spans="1:12" x14ac:dyDescent="0.25">
      <c r="A273">
        <v>24</v>
      </c>
      <c r="B273">
        <v>18</v>
      </c>
      <c r="C273">
        <v>12</v>
      </c>
      <c r="D273">
        <v>5</v>
      </c>
      <c r="E273" s="1" t="s">
        <v>55</v>
      </c>
      <c r="F273" s="1" t="s">
        <v>32</v>
      </c>
      <c r="G273" s="1" t="s">
        <v>23</v>
      </c>
      <c r="H273">
        <v>5</v>
      </c>
      <c r="I273">
        <v>1282</v>
      </c>
      <c r="J273" s="1" t="s">
        <v>36</v>
      </c>
      <c r="K273">
        <v>0</v>
      </c>
      <c r="L273" s="1" t="s">
        <v>28</v>
      </c>
    </row>
    <row r="274" spans="1:12" x14ac:dyDescent="0.25">
      <c r="A274">
        <v>33</v>
      </c>
      <c r="B274">
        <v>11</v>
      </c>
      <c r="C274">
        <v>12</v>
      </c>
      <c r="D274">
        <v>5</v>
      </c>
      <c r="E274" s="1" t="s">
        <v>31</v>
      </c>
      <c r="F274" s="1" t="s">
        <v>29</v>
      </c>
      <c r="G274" s="1" t="s">
        <v>23</v>
      </c>
      <c r="H274">
        <v>4</v>
      </c>
      <c r="I274">
        <v>826</v>
      </c>
      <c r="J274" s="1" t="s">
        <v>26</v>
      </c>
      <c r="K274">
        <v>4</v>
      </c>
      <c r="L274" s="1" t="s">
        <v>51</v>
      </c>
    </row>
    <row r="275" spans="1:12" x14ac:dyDescent="0.25">
      <c r="A275">
        <v>11</v>
      </c>
      <c r="B275">
        <v>8</v>
      </c>
      <c r="C275">
        <v>12</v>
      </c>
      <c r="D275">
        <v>3</v>
      </c>
      <c r="E275" s="1" t="s">
        <v>31</v>
      </c>
      <c r="F275" s="1" t="s">
        <v>22</v>
      </c>
      <c r="G275" s="1" t="s">
        <v>23</v>
      </c>
      <c r="H275">
        <v>3</v>
      </c>
      <c r="I275">
        <v>315</v>
      </c>
      <c r="J275" s="1" t="s">
        <v>26</v>
      </c>
      <c r="K275">
        <v>6</v>
      </c>
      <c r="L275" s="1" t="s">
        <v>53</v>
      </c>
    </row>
    <row r="276" spans="1:12" x14ac:dyDescent="0.25">
      <c r="A276">
        <v>13</v>
      </c>
      <c r="B276">
        <v>7</v>
      </c>
      <c r="C276">
        <v>12</v>
      </c>
      <c r="D276">
        <v>4</v>
      </c>
      <c r="E276" s="1" t="s">
        <v>46</v>
      </c>
      <c r="F276" s="1" t="s">
        <v>41</v>
      </c>
      <c r="G276" s="1" t="s">
        <v>23</v>
      </c>
      <c r="H276">
        <v>5</v>
      </c>
      <c r="I276">
        <v>4027</v>
      </c>
      <c r="J276" s="1" t="s">
        <v>36</v>
      </c>
      <c r="K276">
        <v>5</v>
      </c>
      <c r="L276" s="1" t="s">
        <v>53</v>
      </c>
    </row>
    <row r="277" spans="1:12" x14ac:dyDescent="0.25">
      <c r="A277">
        <v>26</v>
      </c>
      <c r="B277">
        <v>6</v>
      </c>
      <c r="C277">
        <v>12</v>
      </c>
      <c r="D277">
        <v>5</v>
      </c>
      <c r="E277" s="1" t="s">
        <v>21</v>
      </c>
      <c r="F277" s="1" t="s">
        <v>32</v>
      </c>
      <c r="G277" s="1" t="s">
        <v>23</v>
      </c>
      <c r="H277">
        <v>4.5</v>
      </c>
      <c r="I277">
        <v>188</v>
      </c>
      <c r="J277" s="1" t="s">
        <v>26</v>
      </c>
      <c r="K277">
        <v>1</v>
      </c>
      <c r="L277" s="1" t="s">
        <v>53</v>
      </c>
    </row>
    <row r="278" spans="1:12" x14ac:dyDescent="0.25">
      <c r="A278">
        <v>13</v>
      </c>
      <c r="B278">
        <v>6</v>
      </c>
      <c r="C278">
        <v>12</v>
      </c>
      <c r="D278">
        <v>4</v>
      </c>
      <c r="E278" s="1" t="s">
        <v>55</v>
      </c>
      <c r="F278" s="1" t="s">
        <v>41</v>
      </c>
      <c r="G278" s="1" t="s">
        <v>23</v>
      </c>
      <c r="H278">
        <v>5</v>
      </c>
      <c r="I278">
        <v>3933</v>
      </c>
      <c r="J278" s="1" t="s">
        <v>36</v>
      </c>
      <c r="K278">
        <v>1</v>
      </c>
      <c r="L278" s="1" t="s">
        <v>34</v>
      </c>
    </row>
    <row r="279" spans="1:12" x14ac:dyDescent="0.25">
      <c r="A279">
        <v>6</v>
      </c>
      <c r="B279">
        <v>6</v>
      </c>
      <c r="C279">
        <v>12</v>
      </c>
      <c r="D279">
        <v>4</v>
      </c>
      <c r="E279" s="1" t="s">
        <v>21</v>
      </c>
      <c r="F279" s="1" t="s">
        <v>41</v>
      </c>
      <c r="G279" s="1" t="s">
        <v>23</v>
      </c>
      <c r="H279">
        <v>5</v>
      </c>
      <c r="I279">
        <v>4027</v>
      </c>
      <c r="J279" s="1" t="s">
        <v>26</v>
      </c>
      <c r="K279">
        <v>10</v>
      </c>
      <c r="L279" s="1" t="s">
        <v>51</v>
      </c>
    </row>
    <row r="280" spans="1:12" x14ac:dyDescent="0.25">
      <c r="A280">
        <v>25</v>
      </c>
      <c r="B280">
        <v>5</v>
      </c>
      <c r="C280">
        <v>12</v>
      </c>
      <c r="D280">
        <v>5</v>
      </c>
      <c r="E280" s="1" t="s">
        <v>21</v>
      </c>
      <c r="F280" s="1" t="s">
        <v>22</v>
      </c>
      <c r="G280" s="1" t="s">
        <v>24</v>
      </c>
      <c r="H280">
        <v>3</v>
      </c>
      <c r="I280">
        <v>716</v>
      </c>
      <c r="J280" s="1" t="s">
        <v>26</v>
      </c>
      <c r="K280">
        <v>8</v>
      </c>
      <c r="L280" s="1" t="s">
        <v>28</v>
      </c>
    </row>
    <row r="281" spans="1:12" x14ac:dyDescent="0.25">
      <c r="A281">
        <v>21</v>
      </c>
      <c r="B281">
        <v>5</v>
      </c>
      <c r="C281">
        <v>12</v>
      </c>
      <c r="D281">
        <v>4</v>
      </c>
      <c r="E281" s="1" t="s">
        <v>31</v>
      </c>
      <c r="F281" s="1" t="s">
        <v>29</v>
      </c>
      <c r="G281" s="1" t="s">
        <v>24</v>
      </c>
      <c r="H281">
        <v>5</v>
      </c>
      <c r="I281">
        <v>2700</v>
      </c>
      <c r="J281" s="1" t="s">
        <v>26</v>
      </c>
      <c r="K281">
        <v>8</v>
      </c>
      <c r="L281" s="1" t="s">
        <v>58</v>
      </c>
    </row>
    <row r="282" spans="1:12" x14ac:dyDescent="0.25">
      <c r="A282">
        <v>15</v>
      </c>
      <c r="B282">
        <v>5</v>
      </c>
      <c r="C282">
        <v>12</v>
      </c>
      <c r="D282">
        <v>5</v>
      </c>
      <c r="E282" s="1" t="s">
        <v>21</v>
      </c>
      <c r="F282" s="1" t="s">
        <v>29</v>
      </c>
      <c r="G282" s="1" t="s">
        <v>23</v>
      </c>
      <c r="H282">
        <v>5</v>
      </c>
      <c r="I282">
        <v>2034</v>
      </c>
      <c r="J282" s="1" t="s">
        <v>26</v>
      </c>
      <c r="K282">
        <v>4</v>
      </c>
      <c r="L282" s="1" t="s">
        <v>53</v>
      </c>
    </row>
    <row r="283" spans="1:12" x14ac:dyDescent="0.25">
      <c r="A283">
        <v>19</v>
      </c>
      <c r="B283">
        <v>3</v>
      </c>
      <c r="C283">
        <v>12</v>
      </c>
      <c r="D283">
        <v>5</v>
      </c>
      <c r="E283" s="1" t="s">
        <v>21</v>
      </c>
      <c r="F283" s="1" t="s">
        <v>41</v>
      </c>
      <c r="G283" s="1" t="s">
        <v>23</v>
      </c>
      <c r="H283">
        <v>4</v>
      </c>
      <c r="I283">
        <v>2916</v>
      </c>
      <c r="J283" s="1" t="s">
        <v>26</v>
      </c>
      <c r="K283">
        <v>1</v>
      </c>
      <c r="L283" s="1" t="s">
        <v>51</v>
      </c>
    </row>
    <row r="284" spans="1:12" x14ac:dyDescent="0.25">
      <c r="A284">
        <v>17</v>
      </c>
      <c r="B284">
        <v>3</v>
      </c>
      <c r="C284">
        <v>12</v>
      </c>
      <c r="D284">
        <v>4</v>
      </c>
      <c r="E284" s="1" t="s">
        <v>21</v>
      </c>
      <c r="F284" s="1" t="s">
        <v>22</v>
      </c>
      <c r="G284" s="1" t="s">
        <v>24</v>
      </c>
      <c r="H284">
        <v>3.5</v>
      </c>
      <c r="I284">
        <v>787</v>
      </c>
      <c r="J284" s="1" t="s">
        <v>26</v>
      </c>
      <c r="K284">
        <v>2</v>
      </c>
      <c r="L284" s="1" t="s">
        <v>58</v>
      </c>
    </row>
    <row r="285" spans="1:12" x14ac:dyDescent="0.25">
      <c r="A285">
        <v>14</v>
      </c>
      <c r="B285">
        <v>3</v>
      </c>
      <c r="C285">
        <v>12</v>
      </c>
      <c r="D285">
        <v>5</v>
      </c>
      <c r="E285" s="1" t="s">
        <v>21</v>
      </c>
      <c r="F285" s="1" t="s">
        <v>32</v>
      </c>
      <c r="G285" s="1" t="s">
        <v>23</v>
      </c>
      <c r="H285">
        <v>5</v>
      </c>
      <c r="I285">
        <v>3348</v>
      </c>
      <c r="J285" s="1" t="s">
        <v>26</v>
      </c>
      <c r="K285">
        <v>2</v>
      </c>
      <c r="L285" s="1" t="s">
        <v>28</v>
      </c>
    </row>
    <row r="286" spans="1:12" x14ac:dyDescent="0.25">
      <c r="A286">
        <v>23</v>
      </c>
      <c r="B286">
        <v>23</v>
      </c>
      <c r="C286">
        <v>11</v>
      </c>
      <c r="D286">
        <v>5</v>
      </c>
      <c r="E286" s="1" t="s">
        <v>46</v>
      </c>
      <c r="F286" s="1" t="s">
        <v>32</v>
      </c>
      <c r="G286" s="1" t="s">
        <v>23</v>
      </c>
      <c r="H286">
        <v>3</v>
      </c>
      <c r="I286">
        <v>315</v>
      </c>
      <c r="J286" s="1" t="s">
        <v>26</v>
      </c>
      <c r="K286">
        <v>1</v>
      </c>
      <c r="L286" s="1" t="s">
        <v>53</v>
      </c>
    </row>
    <row r="287" spans="1:12" x14ac:dyDescent="0.25">
      <c r="A287">
        <v>23</v>
      </c>
      <c r="B287">
        <v>17</v>
      </c>
      <c r="C287">
        <v>11</v>
      </c>
      <c r="D287">
        <v>3</v>
      </c>
      <c r="E287" s="1" t="s">
        <v>55</v>
      </c>
      <c r="F287" s="1" t="s">
        <v>32</v>
      </c>
      <c r="G287" s="1" t="s">
        <v>23</v>
      </c>
      <c r="H287">
        <v>4</v>
      </c>
      <c r="I287">
        <v>3003</v>
      </c>
      <c r="J287" s="1" t="s">
        <v>26</v>
      </c>
      <c r="K287">
        <v>1</v>
      </c>
      <c r="L287" s="1" t="s">
        <v>30</v>
      </c>
    </row>
    <row r="288" spans="1:12" x14ac:dyDescent="0.25">
      <c r="A288">
        <v>38</v>
      </c>
      <c r="B288">
        <v>13</v>
      </c>
      <c r="C288">
        <v>11</v>
      </c>
      <c r="D288">
        <v>3</v>
      </c>
      <c r="E288" s="1" t="s">
        <v>46</v>
      </c>
      <c r="F288" s="1" t="s">
        <v>29</v>
      </c>
      <c r="G288" s="1" t="s">
        <v>23</v>
      </c>
      <c r="H288">
        <v>4</v>
      </c>
      <c r="I288">
        <v>826</v>
      </c>
      <c r="J288" s="1" t="s">
        <v>26</v>
      </c>
      <c r="K288">
        <v>5</v>
      </c>
      <c r="L288" s="1" t="s">
        <v>53</v>
      </c>
    </row>
    <row r="289" spans="1:12" x14ac:dyDescent="0.25">
      <c r="A289">
        <v>16</v>
      </c>
      <c r="B289">
        <v>10</v>
      </c>
      <c r="C289">
        <v>11</v>
      </c>
      <c r="D289">
        <v>5</v>
      </c>
      <c r="E289" s="1" t="s">
        <v>21</v>
      </c>
      <c r="F289" s="1" t="s">
        <v>32</v>
      </c>
      <c r="G289" s="1" t="s">
        <v>23</v>
      </c>
      <c r="H289">
        <v>5</v>
      </c>
      <c r="I289">
        <v>4027</v>
      </c>
      <c r="J289" s="1" t="s">
        <v>44</v>
      </c>
      <c r="K289">
        <v>9</v>
      </c>
      <c r="L289" s="1" t="s">
        <v>28</v>
      </c>
    </row>
    <row r="290" spans="1:12" x14ac:dyDescent="0.25">
      <c r="A290">
        <v>22</v>
      </c>
      <c r="B290">
        <v>9</v>
      </c>
      <c r="C290">
        <v>11</v>
      </c>
      <c r="D290">
        <v>4</v>
      </c>
      <c r="E290" s="1" t="s">
        <v>46</v>
      </c>
      <c r="F290" s="1" t="s">
        <v>32</v>
      </c>
      <c r="G290" s="1" t="s">
        <v>23</v>
      </c>
      <c r="H290">
        <v>4</v>
      </c>
      <c r="I290">
        <v>2916</v>
      </c>
      <c r="J290" s="1" t="s">
        <v>36</v>
      </c>
      <c r="K290">
        <v>3</v>
      </c>
      <c r="L290" s="1" t="s">
        <v>51</v>
      </c>
    </row>
    <row r="291" spans="1:12" x14ac:dyDescent="0.25">
      <c r="A291">
        <v>31</v>
      </c>
      <c r="B291">
        <v>8</v>
      </c>
      <c r="C291">
        <v>11</v>
      </c>
      <c r="D291">
        <v>4</v>
      </c>
      <c r="E291" s="1" t="s">
        <v>55</v>
      </c>
      <c r="F291" s="1" t="s">
        <v>38</v>
      </c>
      <c r="G291" s="1" t="s">
        <v>24</v>
      </c>
      <c r="H291">
        <v>4</v>
      </c>
      <c r="I291">
        <v>1467</v>
      </c>
      <c r="J291" s="1" t="s">
        <v>44</v>
      </c>
      <c r="K291">
        <v>1</v>
      </c>
      <c r="L291" s="1" t="s">
        <v>53</v>
      </c>
    </row>
    <row r="292" spans="1:12" x14ac:dyDescent="0.25">
      <c r="A292">
        <v>20</v>
      </c>
      <c r="B292">
        <v>8</v>
      </c>
      <c r="C292">
        <v>11</v>
      </c>
      <c r="D292">
        <v>4</v>
      </c>
      <c r="E292" s="1" t="s">
        <v>21</v>
      </c>
      <c r="F292" s="1" t="s">
        <v>38</v>
      </c>
      <c r="G292" s="1" t="s">
        <v>23</v>
      </c>
      <c r="H292">
        <v>4</v>
      </c>
      <c r="I292">
        <v>3003</v>
      </c>
      <c r="J292" s="1" t="s">
        <v>26</v>
      </c>
      <c r="K292">
        <v>5</v>
      </c>
      <c r="L292" s="1" t="s">
        <v>34</v>
      </c>
    </row>
    <row r="293" spans="1:12" x14ac:dyDescent="0.25">
      <c r="A293">
        <v>20</v>
      </c>
      <c r="B293">
        <v>7</v>
      </c>
      <c r="C293">
        <v>11</v>
      </c>
      <c r="D293">
        <v>4</v>
      </c>
      <c r="E293" s="1" t="s">
        <v>31</v>
      </c>
      <c r="F293" s="1" t="s">
        <v>41</v>
      </c>
      <c r="G293" s="1" t="s">
        <v>23</v>
      </c>
      <c r="H293">
        <v>4</v>
      </c>
      <c r="I293">
        <v>3003</v>
      </c>
      <c r="J293" s="1" t="s">
        <v>49</v>
      </c>
      <c r="K293">
        <v>2</v>
      </c>
      <c r="L293" s="1" t="s">
        <v>30</v>
      </c>
    </row>
    <row r="294" spans="1:12" x14ac:dyDescent="0.25">
      <c r="A294">
        <v>12</v>
      </c>
      <c r="B294">
        <v>7</v>
      </c>
      <c r="C294">
        <v>11</v>
      </c>
      <c r="D294">
        <v>2</v>
      </c>
      <c r="E294" s="1" t="s">
        <v>55</v>
      </c>
      <c r="F294" s="1" t="s">
        <v>29</v>
      </c>
      <c r="G294" s="1" t="s">
        <v>24</v>
      </c>
      <c r="H294">
        <v>5</v>
      </c>
      <c r="I294">
        <v>2700</v>
      </c>
      <c r="J294" s="1" t="s">
        <v>26</v>
      </c>
      <c r="K294">
        <v>4</v>
      </c>
      <c r="L294" s="1" t="s">
        <v>58</v>
      </c>
    </row>
    <row r="295" spans="1:12" x14ac:dyDescent="0.25">
      <c r="A295">
        <v>12</v>
      </c>
      <c r="B295">
        <v>7</v>
      </c>
      <c r="C295">
        <v>11</v>
      </c>
      <c r="D295">
        <v>3</v>
      </c>
      <c r="E295" s="1" t="s">
        <v>31</v>
      </c>
      <c r="F295" s="1" t="s">
        <v>32</v>
      </c>
      <c r="G295" s="1" t="s">
        <v>23</v>
      </c>
      <c r="H295">
        <v>3</v>
      </c>
      <c r="I295">
        <v>3773</v>
      </c>
      <c r="J295" s="1" t="s">
        <v>26</v>
      </c>
      <c r="K295">
        <v>5</v>
      </c>
      <c r="L295" s="1" t="s">
        <v>40</v>
      </c>
    </row>
    <row r="296" spans="1:12" x14ac:dyDescent="0.25">
      <c r="A296">
        <v>32</v>
      </c>
      <c r="B296">
        <v>6</v>
      </c>
      <c r="C296">
        <v>11</v>
      </c>
      <c r="D296">
        <v>5</v>
      </c>
      <c r="E296" s="1" t="s">
        <v>21</v>
      </c>
      <c r="F296" s="1" t="s">
        <v>32</v>
      </c>
      <c r="G296" s="1" t="s">
        <v>23</v>
      </c>
      <c r="H296">
        <v>5</v>
      </c>
      <c r="I296">
        <v>3025</v>
      </c>
      <c r="J296" s="1" t="s">
        <v>26</v>
      </c>
      <c r="K296">
        <v>10</v>
      </c>
      <c r="L296" s="1" t="s">
        <v>30</v>
      </c>
    </row>
    <row r="297" spans="1:12" x14ac:dyDescent="0.25">
      <c r="A297">
        <v>10</v>
      </c>
      <c r="B297">
        <v>6</v>
      </c>
      <c r="C297">
        <v>11</v>
      </c>
      <c r="D297">
        <v>5</v>
      </c>
      <c r="E297" s="1" t="s">
        <v>21</v>
      </c>
      <c r="F297" s="1" t="s">
        <v>41</v>
      </c>
      <c r="G297" s="1" t="s">
        <v>24</v>
      </c>
      <c r="H297">
        <v>4</v>
      </c>
      <c r="I297">
        <v>1467</v>
      </c>
      <c r="J297" s="1" t="s">
        <v>36</v>
      </c>
      <c r="K297">
        <v>4</v>
      </c>
      <c r="L297" s="1" t="s">
        <v>34</v>
      </c>
    </row>
    <row r="298" spans="1:12" x14ac:dyDescent="0.25">
      <c r="A298">
        <v>32</v>
      </c>
      <c r="B298">
        <v>5</v>
      </c>
      <c r="C298">
        <v>11</v>
      </c>
      <c r="D298">
        <v>4</v>
      </c>
      <c r="E298" s="1" t="s">
        <v>46</v>
      </c>
      <c r="F298" s="1" t="s">
        <v>29</v>
      </c>
      <c r="G298" s="1" t="s">
        <v>23</v>
      </c>
      <c r="H298">
        <v>5</v>
      </c>
      <c r="I298">
        <v>3933</v>
      </c>
      <c r="J298" s="1" t="s">
        <v>26</v>
      </c>
      <c r="K298">
        <v>6</v>
      </c>
      <c r="L298" s="1" t="s">
        <v>53</v>
      </c>
    </row>
    <row r="299" spans="1:12" x14ac:dyDescent="0.25">
      <c r="A299">
        <v>9</v>
      </c>
      <c r="B299">
        <v>5</v>
      </c>
      <c r="C299">
        <v>11</v>
      </c>
      <c r="D299">
        <v>4</v>
      </c>
      <c r="E299" s="1" t="s">
        <v>55</v>
      </c>
      <c r="F299" s="1" t="s">
        <v>29</v>
      </c>
      <c r="G299" s="1" t="s">
        <v>23</v>
      </c>
      <c r="H299">
        <v>3.5</v>
      </c>
      <c r="I299">
        <v>1228</v>
      </c>
      <c r="J299" s="1" t="s">
        <v>26</v>
      </c>
      <c r="K299">
        <v>9</v>
      </c>
      <c r="L299" s="1" t="s">
        <v>51</v>
      </c>
    </row>
    <row r="300" spans="1:12" x14ac:dyDescent="0.25">
      <c r="A300">
        <v>5</v>
      </c>
      <c r="B300">
        <v>3</v>
      </c>
      <c r="C300">
        <v>11</v>
      </c>
      <c r="D300">
        <v>2</v>
      </c>
      <c r="E300" s="1" t="s">
        <v>55</v>
      </c>
      <c r="F300" s="1" t="s">
        <v>22</v>
      </c>
      <c r="G300" s="1" t="s">
        <v>24</v>
      </c>
      <c r="H300">
        <v>4</v>
      </c>
      <c r="I300">
        <v>1467</v>
      </c>
      <c r="J300" s="1" t="s">
        <v>26</v>
      </c>
      <c r="K300">
        <v>1</v>
      </c>
      <c r="L300" s="1" t="s">
        <v>28</v>
      </c>
    </row>
    <row r="301" spans="1:12" x14ac:dyDescent="0.25">
      <c r="A301">
        <v>31</v>
      </c>
      <c r="B301">
        <v>12</v>
      </c>
      <c r="C301">
        <v>10</v>
      </c>
      <c r="D301">
        <v>5</v>
      </c>
      <c r="E301" s="1" t="s">
        <v>31</v>
      </c>
      <c r="F301" s="1" t="s">
        <v>32</v>
      </c>
      <c r="G301" s="1" t="s">
        <v>23</v>
      </c>
      <c r="H301">
        <v>5</v>
      </c>
      <c r="I301">
        <v>3348</v>
      </c>
      <c r="J301" s="1" t="s">
        <v>26</v>
      </c>
      <c r="K301">
        <v>4</v>
      </c>
      <c r="L301" s="1" t="s">
        <v>30</v>
      </c>
    </row>
    <row r="302" spans="1:12" x14ac:dyDescent="0.25">
      <c r="A302">
        <v>18</v>
      </c>
      <c r="B302">
        <v>9</v>
      </c>
      <c r="C302">
        <v>10</v>
      </c>
      <c r="D302">
        <v>5</v>
      </c>
      <c r="E302" s="1" t="s">
        <v>55</v>
      </c>
      <c r="F302" s="1" t="s">
        <v>41</v>
      </c>
      <c r="G302" s="1" t="s">
        <v>23</v>
      </c>
      <c r="H302">
        <v>5</v>
      </c>
      <c r="I302">
        <v>2959</v>
      </c>
      <c r="J302" s="1" t="s">
        <v>36</v>
      </c>
      <c r="K302">
        <v>1</v>
      </c>
      <c r="L302" s="1" t="s">
        <v>51</v>
      </c>
    </row>
    <row r="303" spans="1:12" x14ac:dyDescent="0.25">
      <c r="A303">
        <v>30</v>
      </c>
      <c r="B303">
        <v>8</v>
      </c>
      <c r="C303">
        <v>10</v>
      </c>
      <c r="D303">
        <v>2</v>
      </c>
      <c r="E303" s="1" t="s">
        <v>31</v>
      </c>
      <c r="F303" s="1" t="s">
        <v>29</v>
      </c>
      <c r="G303" s="1" t="s">
        <v>23</v>
      </c>
      <c r="H303">
        <v>5</v>
      </c>
      <c r="I303">
        <v>2959</v>
      </c>
      <c r="J303" s="1" t="s">
        <v>26</v>
      </c>
      <c r="K303">
        <v>1</v>
      </c>
      <c r="L303" s="1" t="s">
        <v>51</v>
      </c>
    </row>
    <row r="304" spans="1:12" x14ac:dyDescent="0.25">
      <c r="A304">
        <v>19</v>
      </c>
      <c r="B304">
        <v>8</v>
      </c>
      <c r="C304">
        <v>10</v>
      </c>
      <c r="D304">
        <v>4</v>
      </c>
      <c r="E304" s="1" t="s">
        <v>46</v>
      </c>
      <c r="F304" s="1" t="s">
        <v>22</v>
      </c>
      <c r="G304" s="1" t="s">
        <v>23</v>
      </c>
      <c r="H304">
        <v>5</v>
      </c>
      <c r="I304">
        <v>3025</v>
      </c>
      <c r="J304" s="1" t="s">
        <v>36</v>
      </c>
      <c r="K304">
        <v>3</v>
      </c>
      <c r="L304" s="1" t="s">
        <v>51</v>
      </c>
    </row>
    <row r="305" spans="1:12" x14ac:dyDescent="0.25">
      <c r="A305">
        <v>37</v>
      </c>
      <c r="B305">
        <v>7</v>
      </c>
      <c r="C305">
        <v>10</v>
      </c>
      <c r="D305">
        <v>5</v>
      </c>
      <c r="E305" s="1" t="s">
        <v>55</v>
      </c>
      <c r="F305" s="1" t="s">
        <v>22</v>
      </c>
      <c r="G305" s="1" t="s">
        <v>23</v>
      </c>
      <c r="H305">
        <v>5</v>
      </c>
      <c r="I305">
        <v>3025</v>
      </c>
      <c r="J305" s="1" t="s">
        <v>44</v>
      </c>
      <c r="K305">
        <v>0</v>
      </c>
      <c r="L305" s="1" t="s">
        <v>53</v>
      </c>
    </row>
    <row r="306" spans="1:12" x14ac:dyDescent="0.25">
      <c r="A306">
        <v>11</v>
      </c>
      <c r="B306">
        <v>7</v>
      </c>
      <c r="C306">
        <v>10</v>
      </c>
      <c r="D306">
        <v>4</v>
      </c>
      <c r="E306" s="1" t="s">
        <v>31</v>
      </c>
      <c r="F306" s="1" t="s">
        <v>41</v>
      </c>
      <c r="G306" s="1" t="s">
        <v>24</v>
      </c>
      <c r="H306">
        <v>5</v>
      </c>
      <c r="I306">
        <v>2700</v>
      </c>
      <c r="J306" s="1" t="s">
        <v>26</v>
      </c>
      <c r="K306">
        <v>1</v>
      </c>
      <c r="L306" s="1" t="s">
        <v>58</v>
      </c>
    </row>
    <row r="307" spans="1:12" x14ac:dyDescent="0.25">
      <c r="A307">
        <v>10</v>
      </c>
      <c r="B307">
        <v>6</v>
      </c>
      <c r="C307">
        <v>10</v>
      </c>
      <c r="D307">
        <v>5</v>
      </c>
      <c r="E307" s="1" t="s">
        <v>21</v>
      </c>
      <c r="F307" s="1" t="s">
        <v>41</v>
      </c>
      <c r="G307" s="1" t="s">
        <v>24</v>
      </c>
      <c r="H307">
        <v>5</v>
      </c>
      <c r="I307">
        <v>2700</v>
      </c>
      <c r="J307" s="1" t="s">
        <v>36</v>
      </c>
      <c r="K307">
        <v>5</v>
      </c>
      <c r="L307" s="1" t="s">
        <v>40</v>
      </c>
    </row>
    <row r="308" spans="1:12" x14ac:dyDescent="0.25">
      <c r="A308">
        <v>7</v>
      </c>
      <c r="B308">
        <v>4</v>
      </c>
      <c r="C308">
        <v>10</v>
      </c>
      <c r="D308">
        <v>5</v>
      </c>
      <c r="E308" s="1" t="s">
        <v>46</v>
      </c>
      <c r="F308" s="1" t="s">
        <v>41</v>
      </c>
      <c r="G308" s="1" t="s">
        <v>24</v>
      </c>
      <c r="H308">
        <v>5</v>
      </c>
      <c r="I308">
        <v>2700</v>
      </c>
      <c r="J308" s="1" t="s">
        <v>26</v>
      </c>
      <c r="K308">
        <v>3</v>
      </c>
      <c r="L308" s="1" t="s">
        <v>53</v>
      </c>
    </row>
    <row r="309" spans="1:12" x14ac:dyDescent="0.25">
      <c r="A309">
        <v>18</v>
      </c>
      <c r="B309">
        <v>3</v>
      </c>
      <c r="C309">
        <v>10</v>
      </c>
      <c r="D309">
        <v>2</v>
      </c>
      <c r="E309" s="1" t="s">
        <v>55</v>
      </c>
      <c r="F309" s="1" t="s">
        <v>41</v>
      </c>
      <c r="G309" s="1" t="s">
        <v>23</v>
      </c>
      <c r="H309">
        <v>4</v>
      </c>
      <c r="I309">
        <v>2916</v>
      </c>
      <c r="J309" s="1" t="s">
        <v>26</v>
      </c>
      <c r="K309">
        <v>2</v>
      </c>
      <c r="L309" s="1" t="s">
        <v>58</v>
      </c>
    </row>
    <row r="310" spans="1:12" x14ac:dyDescent="0.25">
      <c r="A310">
        <v>39</v>
      </c>
      <c r="B310">
        <v>18</v>
      </c>
      <c r="C310">
        <v>9</v>
      </c>
      <c r="D310">
        <v>4</v>
      </c>
      <c r="E310" s="1" t="s">
        <v>46</v>
      </c>
      <c r="F310" s="1" t="s">
        <v>32</v>
      </c>
      <c r="G310" s="1" t="s">
        <v>23</v>
      </c>
      <c r="H310">
        <v>3.5</v>
      </c>
      <c r="I310">
        <v>1228</v>
      </c>
      <c r="J310" s="1" t="s">
        <v>36</v>
      </c>
      <c r="K310">
        <v>4</v>
      </c>
      <c r="L310" s="1" t="s">
        <v>28</v>
      </c>
    </row>
    <row r="311" spans="1:12" x14ac:dyDescent="0.25">
      <c r="A311">
        <v>20</v>
      </c>
      <c r="B311">
        <v>16</v>
      </c>
      <c r="C311">
        <v>9</v>
      </c>
      <c r="D311">
        <v>4</v>
      </c>
      <c r="E311" s="1" t="s">
        <v>21</v>
      </c>
      <c r="F311" s="1" t="s">
        <v>41</v>
      </c>
      <c r="G311" s="1" t="s">
        <v>23</v>
      </c>
      <c r="H311">
        <v>3.5</v>
      </c>
      <c r="I311">
        <v>1228</v>
      </c>
      <c r="J311" s="1" t="s">
        <v>49</v>
      </c>
      <c r="K311">
        <v>7</v>
      </c>
      <c r="L311" s="1" t="s">
        <v>40</v>
      </c>
    </row>
    <row r="312" spans="1:12" x14ac:dyDescent="0.25">
      <c r="A312">
        <v>12</v>
      </c>
      <c r="B312">
        <v>11</v>
      </c>
      <c r="C312">
        <v>9</v>
      </c>
      <c r="D312">
        <v>4</v>
      </c>
      <c r="E312" s="1" t="s">
        <v>46</v>
      </c>
      <c r="F312" s="1" t="s">
        <v>32</v>
      </c>
      <c r="G312" s="1" t="s">
        <v>23</v>
      </c>
      <c r="H312">
        <v>4</v>
      </c>
      <c r="I312">
        <v>826</v>
      </c>
      <c r="J312" s="1" t="s">
        <v>44</v>
      </c>
      <c r="K312">
        <v>6</v>
      </c>
      <c r="L312" s="1" t="s">
        <v>58</v>
      </c>
    </row>
    <row r="313" spans="1:12" x14ac:dyDescent="0.25">
      <c r="A313">
        <v>37</v>
      </c>
      <c r="B313">
        <v>8</v>
      </c>
      <c r="C313">
        <v>9</v>
      </c>
      <c r="D313">
        <v>4</v>
      </c>
      <c r="E313" s="1" t="s">
        <v>21</v>
      </c>
      <c r="F313" s="1" t="s">
        <v>41</v>
      </c>
      <c r="G313" s="1" t="s">
        <v>23</v>
      </c>
      <c r="H313">
        <v>5</v>
      </c>
      <c r="I313">
        <v>3025</v>
      </c>
      <c r="J313" s="1" t="s">
        <v>26</v>
      </c>
      <c r="K313">
        <v>3</v>
      </c>
      <c r="L313" s="1" t="s">
        <v>40</v>
      </c>
    </row>
    <row r="314" spans="1:12" x14ac:dyDescent="0.25">
      <c r="A314">
        <v>8</v>
      </c>
      <c r="B314">
        <v>8</v>
      </c>
      <c r="C314">
        <v>9</v>
      </c>
      <c r="D314">
        <v>1</v>
      </c>
      <c r="E314" s="1" t="s">
        <v>55</v>
      </c>
      <c r="F314" s="1" t="s">
        <v>32</v>
      </c>
      <c r="G314" s="1" t="s">
        <v>23</v>
      </c>
      <c r="H314">
        <v>3</v>
      </c>
      <c r="I314">
        <v>3773</v>
      </c>
      <c r="J314" s="1" t="s">
        <v>26</v>
      </c>
      <c r="K314">
        <v>4</v>
      </c>
      <c r="L314" s="1" t="s">
        <v>51</v>
      </c>
    </row>
    <row r="315" spans="1:12" x14ac:dyDescent="0.25">
      <c r="A315">
        <v>26</v>
      </c>
      <c r="B315">
        <v>7</v>
      </c>
      <c r="C315">
        <v>9</v>
      </c>
      <c r="D315">
        <v>4</v>
      </c>
      <c r="E315" s="1" t="s">
        <v>55</v>
      </c>
      <c r="F315" s="1" t="s">
        <v>32</v>
      </c>
      <c r="G315" s="1" t="s">
        <v>23</v>
      </c>
      <c r="H315">
        <v>3</v>
      </c>
      <c r="I315">
        <v>315</v>
      </c>
      <c r="J315" s="1" t="s">
        <v>49</v>
      </c>
      <c r="K315">
        <v>0</v>
      </c>
      <c r="L315" s="1" t="s">
        <v>30</v>
      </c>
    </row>
    <row r="316" spans="1:12" x14ac:dyDescent="0.25">
      <c r="A316">
        <v>8</v>
      </c>
      <c r="B316">
        <v>7</v>
      </c>
      <c r="C316">
        <v>9</v>
      </c>
      <c r="D316">
        <v>5</v>
      </c>
      <c r="E316" s="1" t="s">
        <v>31</v>
      </c>
      <c r="F316" s="1" t="s">
        <v>41</v>
      </c>
      <c r="G316" s="1" t="s">
        <v>23</v>
      </c>
      <c r="H316">
        <v>3</v>
      </c>
      <c r="I316">
        <v>3981</v>
      </c>
      <c r="J316" s="1" t="s">
        <v>36</v>
      </c>
      <c r="K316">
        <v>8</v>
      </c>
      <c r="L316" s="1" t="s">
        <v>51</v>
      </c>
    </row>
    <row r="317" spans="1:12" x14ac:dyDescent="0.25">
      <c r="A317">
        <v>28</v>
      </c>
      <c r="B317">
        <v>6</v>
      </c>
      <c r="C317">
        <v>9</v>
      </c>
      <c r="D317">
        <v>3</v>
      </c>
      <c r="E317" s="1" t="s">
        <v>55</v>
      </c>
      <c r="F317" s="1" t="s">
        <v>29</v>
      </c>
      <c r="G317" s="1" t="s">
        <v>24</v>
      </c>
      <c r="H317">
        <v>3</v>
      </c>
      <c r="I317">
        <v>716</v>
      </c>
      <c r="J317" s="1" t="s">
        <v>26</v>
      </c>
      <c r="K317">
        <v>3</v>
      </c>
      <c r="L317" s="1" t="s">
        <v>40</v>
      </c>
    </row>
    <row r="318" spans="1:12" x14ac:dyDescent="0.25">
      <c r="A318">
        <v>24</v>
      </c>
      <c r="B318">
        <v>6</v>
      </c>
      <c r="C318">
        <v>9</v>
      </c>
      <c r="D318">
        <v>2</v>
      </c>
      <c r="E318" s="1" t="s">
        <v>46</v>
      </c>
      <c r="F318" s="1" t="s">
        <v>32</v>
      </c>
      <c r="G318" s="1" t="s">
        <v>23</v>
      </c>
      <c r="H318">
        <v>3</v>
      </c>
      <c r="I318">
        <v>3981</v>
      </c>
      <c r="J318" s="1" t="s">
        <v>26</v>
      </c>
      <c r="K318">
        <v>2</v>
      </c>
      <c r="L318" s="1" t="s">
        <v>51</v>
      </c>
    </row>
    <row r="319" spans="1:12" x14ac:dyDescent="0.25">
      <c r="A319">
        <v>20</v>
      </c>
      <c r="B319">
        <v>6</v>
      </c>
      <c r="C319">
        <v>9</v>
      </c>
      <c r="D319">
        <v>5</v>
      </c>
      <c r="E319" s="1" t="s">
        <v>21</v>
      </c>
      <c r="F319" s="1" t="s">
        <v>38</v>
      </c>
      <c r="G319" s="1" t="s">
        <v>23</v>
      </c>
      <c r="H319">
        <v>5</v>
      </c>
      <c r="I319">
        <v>4027</v>
      </c>
      <c r="J319" s="1" t="s">
        <v>26</v>
      </c>
      <c r="K319">
        <v>0</v>
      </c>
      <c r="L319" s="1" t="s">
        <v>51</v>
      </c>
    </row>
    <row r="320" spans="1:12" x14ac:dyDescent="0.25">
      <c r="A320">
        <v>7</v>
      </c>
      <c r="B320">
        <v>6</v>
      </c>
      <c r="C320">
        <v>9</v>
      </c>
      <c r="D320">
        <v>2</v>
      </c>
      <c r="E320" s="1" t="s">
        <v>46</v>
      </c>
      <c r="F320" s="1" t="s">
        <v>22</v>
      </c>
      <c r="G320" s="1" t="s">
        <v>23</v>
      </c>
      <c r="H320">
        <v>3</v>
      </c>
      <c r="I320">
        <v>3773</v>
      </c>
      <c r="J320" s="1" t="s">
        <v>26</v>
      </c>
      <c r="K320">
        <v>1</v>
      </c>
      <c r="L320" s="1" t="s">
        <v>51</v>
      </c>
    </row>
    <row r="321" spans="1:12" x14ac:dyDescent="0.25">
      <c r="A321">
        <v>6</v>
      </c>
      <c r="B321">
        <v>6</v>
      </c>
      <c r="C321">
        <v>9</v>
      </c>
      <c r="D321">
        <v>3</v>
      </c>
      <c r="E321" s="1" t="s">
        <v>55</v>
      </c>
      <c r="F321" s="1" t="s">
        <v>32</v>
      </c>
      <c r="G321" s="1" t="s">
        <v>23</v>
      </c>
      <c r="H321">
        <v>5</v>
      </c>
      <c r="I321">
        <v>3348</v>
      </c>
      <c r="J321" s="1" t="s">
        <v>49</v>
      </c>
      <c r="K321">
        <v>0</v>
      </c>
      <c r="L321" s="1" t="s">
        <v>53</v>
      </c>
    </row>
    <row r="322" spans="1:12" x14ac:dyDescent="0.25">
      <c r="A322">
        <v>11</v>
      </c>
      <c r="B322">
        <v>5</v>
      </c>
      <c r="C322">
        <v>9</v>
      </c>
      <c r="D322">
        <v>5</v>
      </c>
      <c r="E322" s="1" t="s">
        <v>31</v>
      </c>
      <c r="F322" s="1" t="s">
        <v>41</v>
      </c>
      <c r="G322" s="1" t="s">
        <v>24</v>
      </c>
      <c r="H322">
        <v>3</v>
      </c>
      <c r="I322">
        <v>716</v>
      </c>
      <c r="J322" s="1" t="s">
        <v>83</v>
      </c>
      <c r="K322">
        <v>7</v>
      </c>
      <c r="L322" s="1" t="s">
        <v>58</v>
      </c>
    </row>
    <row r="323" spans="1:12" x14ac:dyDescent="0.25">
      <c r="A323">
        <v>14</v>
      </c>
      <c r="B323">
        <v>4</v>
      </c>
      <c r="C323">
        <v>9</v>
      </c>
      <c r="D323">
        <v>4</v>
      </c>
      <c r="E323" s="1" t="s">
        <v>31</v>
      </c>
      <c r="F323" s="1" t="s">
        <v>41</v>
      </c>
      <c r="G323" s="1" t="s">
        <v>24</v>
      </c>
      <c r="H323">
        <v>4</v>
      </c>
      <c r="I323">
        <v>1467</v>
      </c>
      <c r="J323" s="1" t="s">
        <v>36</v>
      </c>
      <c r="K323">
        <v>1</v>
      </c>
      <c r="L323" s="1" t="s">
        <v>30</v>
      </c>
    </row>
    <row r="324" spans="1:12" x14ac:dyDescent="0.25">
      <c r="A324">
        <v>20</v>
      </c>
      <c r="B324">
        <v>3</v>
      </c>
      <c r="C324">
        <v>9</v>
      </c>
      <c r="D324">
        <v>5</v>
      </c>
      <c r="E324" s="1" t="s">
        <v>31</v>
      </c>
      <c r="F324" s="1" t="s">
        <v>41</v>
      </c>
      <c r="G324" s="1" t="s">
        <v>23</v>
      </c>
      <c r="H324">
        <v>5</v>
      </c>
      <c r="I324">
        <v>4027</v>
      </c>
      <c r="J324" s="1" t="s">
        <v>36</v>
      </c>
      <c r="K324">
        <v>0</v>
      </c>
      <c r="L324" s="1" t="s">
        <v>58</v>
      </c>
    </row>
    <row r="325" spans="1:12" x14ac:dyDescent="0.25">
      <c r="A325">
        <v>5</v>
      </c>
      <c r="B325">
        <v>3</v>
      </c>
      <c r="C325">
        <v>9</v>
      </c>
      <c r="D325">
        <v>5</v>
      </c>
      <c r="E325" s="1" t="s">
        <v>21</v>
      </c>
      <c r="F325" s="1" t="s">
        <v>32</v>
      </c>
      <c r="G325" s="1" t="s">
        <v>24</v>
      </c>
      <c r="H325">
        <v>5</v>
      </c>
      <c r="I325">
        <v>2700</v>
      </c>
      <c r="J325" s="1" t="s">
        <v>26</v>
      </c>
      <c r="K325">
        <v>4</v>
      </c>
      <c r="L325" s="1" t="s">
        <v>40</v>
      </c>
    </row>
    <row r="326" spans="1:12" x14ac:dyDescent="0.25">
      <c r="A326">
        <v>5</v>
      </c>
      <c r="B326">
        <v>3</v>
      </c>
      <c r="C326">
        <v>9</v>
      </c>
      <c r="D326">
        <v>5</v>
      </c>
      <c r="E326" s="1" t="s">
        <v>55</v>
      </c>
      <c r="F326" s="1" t="s">
        <v>41</v>
      </c>
      <c r="G326" s="1" t="s">
        <v>23</v>
      </c>
      <c r="H326">
        <v>5</v>
      </c>
      <c r="I326">
        <v>3025</v>
      </c>
      <c r="J326" s="1" t="s">
        <v>49</v>
      </c>
      <c r="K326">
        <v>2</v>
      </c>
      <c r="L326" s="1" t="s">
        <v>28</v>
      </c>
    </row>
    <row r="327" spans="1:12" x14ac:dyDescent="0.25">
      <c r="A327">
        <v>27</v>
      </c>
      <c r="B327">
        <v>0</v>
      </c>
      <c r="C327">
        <v>9</v>
      </c>
      <c r="D327">
        <v>1</v>
      </c>
      <c r="E327" s="1" t="s">
        <v>55</v>
      </c>
      <c r="F327" s="1" t="s">
        <v>41</v>
      </c>
      <c r="G327" s="1" t="s">
        <v>24</v>
      </c>
      <c r="H327">
        <v>4</v>
      </c>
      <c r="I327">
        <v>1467</v>
      </c>
      <c r="J327" s="1" t="s">
        <v>26</v>
      </c>
      <c r="K327">
        <v>0</v>
      </c>
      <c r="L327" s="1" t="s">
        <v>40</v>
      </c>
    </row>
    <row r="328" spans="1:12" x14ac:dyDescent="0.25">
      <c r="A328">
        <v>10</v>
      </c>
      <c r="B328">
        <v>0</v>
      </c>
      <c r="C328">
        <v>9</v>
      </c>
      <c r="D328">
        <v>5</v>
      </c>
      <c r="E328" s="1" t="s">
        <v>46</v>
      </c>
      <c r="F328" s="1" t="s">
        <v>32</v>
      </c>
      <c r="G328" s="1" t="s">
        <v>23</v>
      </c>
      <c r="H328">
        <v>3.5</v>
      </c>
      <c r="I328">
        <v>1228</v>
      </c>
      <c r="J328" s="1" t="s">
        <v>36</v>
      </c>
      <c r="K328">
        <v>1</v>
      </c>
      <c r="L328" s="1" t="s">
        <v>51</v>
      </c>
    </row>
    <row r="329" spans="1:12" x14ac:dyDescent="0.25">
      <c r="A329">
        <v>33</v>
      </c>
      <c r="B329">
        <v>13</v>
      </c>
      <c r="C329">
        <v>8</v>
      </c>
      <c r="D329">
        <v>5</v>
      </c>
      <c r="E329" s="1" t="s">
        <v>21</v>
      </c>
      <c r="F329" s="1" t="s">
        <v>29</v>
      </c>
      <c r="G329" s="1" t="s">
        <v>23</v>
      </c>
      <c r="H329">
        <v>5</v>
      </c>
      <c r="I329">
        <v>1282</v>
      </c>
      <c r="J329" s="1" t="s">
        <v>26</v>
      </c>
      <c r="K329">
        <v>5</v>
      </c>
      <c r="L329" s="1" t="s">
        <v>51</v>
      </c>
    </row>
    <row r="330" spans="1:12" x14ac:dyDescent="0.25">
      <c r="A330">
        <v>13</v>
      </c>
      <c r="B330">
        <v>12</v>
      </c>
      <c r="C330">
        <v>8</v>
      </c>
      <c r="D330">
        <v>3</v>
      </c>
      <c r="E330" s="1" t="s">
        <v>31</v>
      </c>
      <c r="F330" s="1" t="s">
        <v>22</v>
      </c>
      <c r="G330" s="1" t="s">
        <v>23</v>
      </c>
      <c r="H330">
        <v>3</v>
      </c>
      <c r="I330">
        <v>3981</v>
      </c>
      <c r="J330" s="1" t="s">
        <v>64</v>
      </c>
      <c r="K330">
        <v>4</v>
      </c>
      <c r="L330" s="1" t="s">
        <v>51</v>
      </c>
    </row>
    <row r="331" spans="1:12" x14ac:dyDescent="0.25">
      <c r="A331">
        <v>27</v>
      </c>
      <c r="B331">
        <v>9</v>
      </c>
      <c r="C331">
        <v>8</v>
      </c>
      <c r="D331">
        <v>4</v>
      </c>
      <c r="E331" s="1" t="s">
        <v>55</v>
      </c>
      <c r="F331" s="1" t="s">
        <v>32</v>
      </c>
      <c r="G331" s="1" t="s">
        <v>24</v>
      </c>
      <c r="H331">
        <v>4</v>
      </c>
      <c r="I331">
        <v>2884</v>
      </c>
      <c r="J331" s="1" t="s">
        <v>49</v>
      </c>
      <c r="K331">
        <v>2</v>
      </c>
      <c r="L331" s="1" t="s">
        <v>30</v>
      </c>
    </row>
    <row r="332" spans="1:12" x14ac:dyDescent="0.25">
      <c r="A332">
        <v>18</v>
      </c>
      <c r="B332">
        <v>9</v>
      </c>
      <c r="C332">
        <v>8</v>
      </c>
      <c r="D332">
        <v>3</v>
      </c>
      <c r="E332" s="1" t="s">
        <v>55</v>
      </c>
      <c r="F332" s="1" t="s">
        <v>29</v>
      </c>
      <c r="G332" s="1" t="s">
        <v>23</v>
      </c>
      <c r="H332">
        <v>3.5</v>
      </c>
      <c r="I332">
        <v>732</v>
      </c>
      <c r="J332" s="1" t="s">
        <v>44</v>
      </c>
      <c r="K332">
        <v>7</v>
      </c>
      <c r="L332" s="1" t="s">
        <v>58</v>
      </c>
    </row>
    <row r="333" spans="1:12" x14ac:dyDescent="0.25">
      <c r="A333">
        <v>33</v>
      </c>
      <c r="B333">
        <v>8</v>
      </c>
      <c r="C333">
        <v>8</v>
      </c>
      <c r="D333">
        <v>5</v>
      </c>
      <c r="E333" s="1" t="s">
        <v>55</v>
      </c>
      <c r="F333" s="1" t="s">
        <v>22</v>
      </c>
      <c r="G333" s="1" t="s">
        <v>24</v>
      </c>
      <c r="H333">
        <v>4</v>
      </c>
      <c r="I333">
        <v>1467</v>
      </c>
      <c r="J333" s="1" t="s">
        <v>36</v>
      </c>
      <c r="K333">
        <v>7</v>
      </c>
      <c r="L333" s="1" t="s">
        <v>34</v>
      </c>
    </row>
    <row r="334" spans="1:12" x14ac:dyDescent="0.25">
      <c r="A334">
        <v>13</v>
      </c>
      <c r="B334">
        <v>7</v>
      </c>
      <c r="C334">
        <v>8</v>
      </c>
      <c r="D334">
        <v>5</v>
      </c>
      <c r="E334" s="1" t="s">
        <v>55</v>
      </c>
      <c r="F334" s="1" t="s">
        <v>41</v>
      </c>
      <c r="G334" s="1" t="s">
        <v>23</v>
      </c>
      <c r="H334">
        <v>5</v>
      </c>
      <c r="I334">
        <v>2034</v>
      </c>
      <c r="J334" s="1" t="s">
        <v>44</v>
      </c>
      <c r="K334">
        <v>5</v>
      </c>
      <c r="L334" s="1" t="s">
        <v>53</v>
      </c>
    </row>
    <row r="335" spans="1:12" x14ac:dyDescent="0.25">
      <c r="A335">
        <v>11</v>
      </c>
      <c r="B335">
        <v>5</v>
      </c>
      <c r="C335">
        <v>8</v>
      </c>
      <c r="D335">
        <v>4</v>
      </c>
      <c r="E335" s="1" t="s">
        <v>21</v>
      </c>
      <c r="F335" s="1" t="s">
        <v>41</v>
      </c>
      <c r="G335" s="1" t="s">
        <v>24</v>
      </c>
      <c r="H335">
        <v>4</v>
      </c>
      <c r="I335">
        <v>2884</v>
      </c>
      <c r="J335" s="1" t="s">
        <v>49</v>
      </c>
      <c r="K335">
        <v>1</v>
      </c>
      <c r="L335" s="1" t="s">
        <v>28</v>
      </c>
    </row>
    <row r="336" spans="1:12" x14ac:dyDescent="0.25">
      <c r="A336">
        <v>8</v>
      </c>
      <c r="B336">
        <v>5</v>
      </c>
      <c r="C336">
        <v>8</v>
      </c>
      <c r="D336">
        <v>4</v>
      </c>
      <c r="E336" s="1" t="s">
        <v>55</v>
      </c>
      <c r="F336" s="1" t="s">
        <v>41</v>
      </c>
      <c r="G336" s="1" t="s">
        <v>23</v>
      </c>
      <c r="H336">
        <v>4</v>
      </c>
      <c r="I336">
        <v>3003</v>
      </c>
      <c r="J336" s="1" t="s">
        <v>36</v>
      </c>
      <c r="K336">
        <v>8</v>
      </c>
      <c r="L336" s="1" t="s">
        <v>30</v>
      </c>
    </row>
    <row r="337" spans="1:12" x14ac:dyDescent="0.25">
      <c r="A337">
        <v>93</v>
      </c>
      <c r="B337">
        <v>4</v>
      </c>
      <c r="C337">
        <v>8</v>
      </c>
      <c r="D337">
        <v>5</v>
      </c>
      <c r="E337" s="1" t="s">
        <v>55</v>
      </c>
      <c r="F337" s="1" t="s">
        <v>32</v>
      </c>
      <c r="G337" s="1" t="s">
        <v>23</v>
      </c>
      <c r="H337">
        <v>5</v>
      </c>
      <c r="I337">
        <v>3025</v>
      </c>
      <c r="J337" s="1" t="s">
        <v>26</v>
      </c>
      <c r="K337">
        <v>2</v>
      </c>
      <c r="L337" s="1" t="s">
        <v>34</v>
      </c>
    </row>
    <row r="338" spans="1:12" x14ac:dyDescent="0.25">
      <c r="A338">
        <v>17</v>
      </c>
      <c r="B338">
        <v>4</v>
      </c>
      <c r="C338">
        <v>8</v>
      </c>
      <c r="D338">
        <v>5</v>
      </c>
      <c r="E338" s="1" t="s">
        <v>31</v>
      </c>
      <c r="F338" s="1" t="s">
        <v>41</v>
      </c>
      <c r="G338" s="1" t="s">
        <v>23</v>
      </c>
      <c r="H338">
        <v>5</v>
      </c>
      <c r="I338">
        <v>3025</v>
      </c>
      <c r="J338" s="1" t="s">
        <v>36</v>
      </c>
      <c r="K338">
        <v>0</v>
      </c>
      <c r="L338" s="1" t="s">
        <v>34</v>
      </c>
    </row>
    <row r="339" spans="1:12" x14ac:dyDescent="0.25">
      <c r="A339">
        <v>15</v>
      </c>
      <c r="B339">
        <v>4</v>
      </c>
      <c r="C339">
        <v>8</v>
      </c>
      <c r="D339">
        <v>5</v>
      </c>
      <c r="E339" s="1" t="s">
        <v>55</v>
      </c>
      <c r="F339" s="1" t="s">
        <v>41</v>
      </c>
      <c r="G339" s="1" t="s">
        <v>23</v>
      </c>
      <c r="H339">
        <v>4</v>
      </c>
      <c r="I339">
        <v>826</v>
      </c>
      <c r="J339" s="1" t="s">
        <v>36</v>
      </c>
      <c r="K339">
        <v>1</v>
      </c>
      <c r="L339" s="1" t="s">
        <v>53</v>
      </c>
    </row>
    <row r="340" spans="1:12" x14ac:dyDescent="0.25">
      <c r="A340">
        <v>7</v>
      </c>
      <c r="B340">
        <v>4</v>
      </c>
      <c r="C340">
        <v>8</v>
      </c>
      <c r="D340">
        <v>5</v>
      </c>
      <c r="E340" s="1" t="s">
        <v>31</v>
      </c>
      <c r="F340" s="1" t="s">
        <v>32</v>
      </c>
      <c r="G340" s="1" t="s">
        <v>23</v>
      </c>
      <c r="H340">
        <v>5</v>
      </c>
      <c r="I340">
        <v>1282</v>
      </c>
      <c r="J340" s="1" t="s">
        <v>83</v>
      </c>
      <c r="K340">
        <v>7</v>
      </c>
      <c r="L340" s="1" t="s">
        <v>53</v>
      </c>
    </row>
    <row r="341" spans="1:12" x14ac:dyDescent="0.25">
      <c r="A341">
        <v>24</v>
      </c>
      <c r="B341">
        <v>3</v>
      </c>
      <c r="C341">
        <v>8</v>
      </c>
      <c r="D341">
        <v>4</v>
      </c>
      <c r="E341" s="1" t="s">
        <v>31</v>
      </c>
      <c r="F341" s="1" t="s">
        <v>22</v>
      </c>
      <c r="G341" s="1" t="s">
        <v>23</v>
      </c>
      <c r="H341">
        <v>3</v>
      </c>
      <c r="I341">
        <v>3773</v>
      </c>
      <c r="J341" s="1" t="s">
        <v>44</v>
      </c>
      <c r="K341">
        <v>3</v>
      </c>
      <c r="L341" s="1" t="s">
        <v>34</v>
      </c>
    </row>
    <row r="342" spans="1:12" x14ac:dyDescent="0.25">
      <c r="A342">
        <v>13</v>
      </c>
      <c r="B342">
        <v>3</v>
      </c>
      <c r="C342">
        <v>8</v>
      </c>
      <c r="D342">
        <v>4</v>
      </c>
      <c r="E342" s="1" t="s">
        <v>31</v>
      </c>
      <c r="F342" s="1" t="s">
        <v>29</v>
      </c>
      <c r="G342" s="1" t="s">
        <v>24</v>
      </c>
      <c r="H342">
        <v>4</v>
      </c>
      <c r="I342">
        <v>1467</v>
      </c>
      <c r="J342" s="1" t="s">
        <v>26</v>
      </c>
      <c r="K342">
        <v>3</v>
      </c>
      <c r="L342" s="1" t="s">
        <v>51</v>
      </c>
    </row>
    <row r="343" spans="1:12" x14ac:dyDescent="0.25">
      <c r="A343">
        <v>7</v>
      </c>
      <c r="B343">
        <v>3</v>
      </c>
      <c r="C343">
        <v>8</v>
      </c>
      <c r="D343">
        <v>5</v>
      </c>
      <c r="E343" s="1" t="s">
        <v>21</v>
      </c>
      <c r="F343" s="1" t="s">
        <v>32</v>
      </c>
      <c r="G343" s="1" t="s">
        <v>23</v>
      </c>
      <c r="H343">
        <v>5</v>
      </c>
      <c r="I343">
        <v>2959</v>
      </c>
      <c r="J343" s="1" t="s">
        <v>26</v>
      </c>
      <c r="K343">
        <v>5</v>
      </c>
      <c r="L343" s="1" t="s">
        <v>53</v>
      </c>
    </row>
    <row r="344" spans="1:12" x14ac:dyDescent="0.25">
      <c r="A344">
        <v>4</v>
      </c>
      <c r="B344">
        <v>3</v>
      </c>
      <c r="C344">
        <v>8</v>
      </c>
      <c r="D344">
        <v>2</v>
      </c>
      <c r="E344" s="1" t="s">
        <v>21</v>
      </c>
      <c r="F344" s="1" t="s">
        <v>41</v>
      </c>
      <c r="G344" s="1" t="s">
        <v>23</v>
      </c>
      <c r="H344">
        <v>5</v>
      </c>
      <c r="I344">
        <v>2959</v>
      </c>
      <c r="J344" s="1" t="s">
        <v>26</v>
      </c>
      <c r="K344">
        <v>8</v>
      </c>
      <c r="L344" s="1" t="s">
        <v>40</v>
      </c>
    </row>
    <row r="345" spans="1:12" x14ac:dyDescent="0.25">
      <c r="A345">
        <v>3</v>
      </c>
      <c r="B345">
        <v>3</v>
      </c>
      <c r="C345">
        <v>8</v>
      </c>
      <c r="D345">
        <v>2</v>
      </c>
      <c r="E345" s="1" t="s">
        <v>21</v>
      </c>
      <c r="F345" s="1" t="s">
        <v>32</v>
      </c>
      <c r="G345" s="1" t="s">
        <v>23</v>
      </c>
      <c r="H345">
        <v>3</v>
      </c>
      <c r="I345">
        <v>315</v>
      </c>
      <c r="J345" s="1" t="s">
        <v>26</v>
      </c>
      <c r="K345">
        <v>1</v>
      </c>
      <c r="L345" s="1" t="s">
        <v>34</v>
      </c>
    </row>
    <row r="346" spans="1:12" x14ac:dyDescent="0.25">
      <c r="A346">
        <v>20</v>
      </c>
      <c r="B346">
        <v>0</v>
      </c>
      <c r="C346">
        <v>8</v>
      </c>
      <c r="D346">
        <v>5</v>
      </c>
      <c r="E346" s="1" t="s">
        <v>55</v>
      </c>
      <c r="F346" s="1" t="s">
        <v>41</v>
      </c>
      <c r="G346" s="1" t="s">
        <v>23</v>
      </c>
      <c r="H346">
        <v>5</v>
      </c>
      <c r="I346">
        <v>4027</v>
      </c>
      <c r="J346" s="1" t="s">
        <v>83</v>
      </c>
      <c r="K346">
        <v>2</v>
      </c>
      <c r="L346" s="1" t="s">
        <v>30</v>
      </c>
    </row>
    <row r="347" spans="1:12" x14ac:dyDescent="0.25">
      <c r="A347">
        <v>6</v>
      </c>
      <c r="B347">
        <v>0</v>
      </c>
      <c r="C347">
        <v>8</v>
      </c>
      <c r="D347">
        <v>5</v>
      </c>
      <c r="E347" s="1" t="s">
        <v>31</v>
      </c>
      <c r="F347" s="1" t="s">
        <v>41</v>
      </c>
      <c r="G347" s="1" t="s">
        <v>23</v>
      </c>
      <c r="H347">
        <v>3.5</v>
      </c>
      <c r="I347">
        <v>732</v>
      </c>
      <c r="J347" s="1" t="s">
        <v>26</v>
      </c>
      <c r="K347">
        <v>10</v>
      </c>
      <c r="L347" s="1" t="s">
        <v>51</v>
      </c>
    </row>
    <row r="348" spans="1:12" x14ac:dyDescent="0.25">
      <c r="A348">
        <v>3</v>
      </c>
      <c r="B348">
        <v>0</v>
      </c>
      <c r="C348">
        <v>8</v>
      </c>
      <c r="D348">
        <v>2</v>
      </c>
      <c r="E348" s="1" t="s">
        <v>31</v>
      </c>
      <c r="F348" s="1" t="s">
        <v>32</v>
      </c>
      <c r="G348" s="1" t="s">
        <v>23</v>
      </c>
      <c r="H348">
        <v>5</v>
      </c>
      <c r="I348">
        <v>3933</v>
      </c>
      <c r="J348" s="1" t="s">
        <v>36</v>
      </c>
      <c r="K348">
        <v>3</v>
      </c>
      <c r="L348" s="1" t="s">
        <v>40</v>
      </c>
    </row>
    <row r="349" spans="1:12" x14ac:dyDescent="0.25">
      <c r="A349">
        <v>15</v>
      </c>
      <c r="B349">
        <v>14</v>
      </c>
      <c r="C349">
        <v>7</v>
      </c>
      <c r="D349">
        <v>4</v>
      </c>
      <c r="E349" s="1" t="s">
        <v>31</v>
      </c>
      <c r="F349" s="1" t="s">
        <v>22</v>
      </c>
      <c r="G349" s="1" t="s">
        <v>24</v>
      </c>
      <c r="H349">
        <v>4</v>
      </c>
      <c r="I349">
        <v>2884</v>
      </c>
      <c r="J349" s="1" t="s">
        <v>26</v>
      </c>
      <c r="K349">
        <v>9</v>
      </c>
      <c r="L349" s="1" t="s">
        <v>40</v>
      </c>
    </row>
    <row r="350" spans="1:12" x14ac:dyDescent="0.25">
      <c r="A350">
        <v>23</v>
      </c>
      <c r="B350">
        <v>12</v>
      </c>
      <c r="C350">
        <v>7</v>
      </c>
      <c r="D350">
        <v>5</v>
      </c>
      <c r="E350" s="1" t="s">
        <v>46</v>
      </c>
      <c r="F350" s="1" t="s">
        <v>32</v>
      </c>
      <c r="G350" s="1" t="s">
        <v>24</v>
      </c>
      <c r="H350">
        <v>3.5</v>
      </c>
      <c r="I350">
        <v>787</v>
      </c>
      <c r="J350" s="1" t="s">
        <v>44</v>
      </c>
      <c r="K350">
        <v>7</v>
      </c>
      <c r="L350" s="1" t="s">
        <v>34</v>
      </c>
    </row>
    <row r="351" spans="1:12" x14ac:dyDescent="0.25">
      <c r="A351">
        <v>20</v>
      </c>
      <c r="B351">
        <v>12</v>
      </c>
      <c r="C351">
        <v>7</v>
      </c>
      <c r="D351">
        <v>5</v>
      </c>
      <c r="E351" s="1" t="s">
        <v>46</v>
      </c>
      <c r="F351" s="1" t="s">
        <v>32</v>
      </c>
      <c r="G351" s="1" t="s">
        <v>23</v>
      </c>
      <c r="H351">
        <v>3.5</v>
      </c>
      <c r="I351">
        <v>732</v>
      </c>
      <c r="J351" s="1" t="s">
        <v>44</v>
      </c>
      <c r="K351">
        <v>1</v>
      </c>
      <c r="L351" s="1" t="s">
        <v>51</v>
      </c>
    </row>
    <row r="352" spans="1:12" x14ac:dyDescent="0.25">
      <c r="A352">
        <v>34</v>
      </c>
      <c r="B352">
        <v>10</v>
      </c>
      <c r="C352">
        <v>7</v>
      </c>
      <c r="D352">
        <v>4</v>
      </c>
      <c r="E352" s="1" t="s">
        <v>55</v>
      </c>
      <c r="F352" s="1" t="s">
        <v>29</v>
      </c>
      <c r="G352" s="1" t="s">
        <v>23</v>
      </c>
      <c r="H352">
        <v>5</v>
      </c>
      <c r="I352">
        <v>2034</v>
      </c>
      <c r="J352" s="1" t="s">
        <v>36</v>
      </c>
      <c r="K352">
        <v>4</v>
      </c>
      <c r="L352" s="1" t="s">
        <v>28</v>
      </c>
    </row>
    <row r="353" spans="1:12" x14ac:dyDescent="0.25">
      <c r="A353">
        <v>56</v>
      </c>
      <c r="B353">
        <v>8</v>
      </c>
      <c r="C353">
        <v>7</v>
      </c>
      <c r="D353">
        <v>3</v>
      </c>
      <c r="E353" s="1" t="s">
        <v>31</v>
      </c>
      <c r="F353" s="1" t="s">
        <v>38</v>
      </c>
      <c r="G353" s="1" t="s">
        <v>23</v>
      </c>
      <c r="H353">
        <v>3</v>
      </c>
      <c r="I353">
        <v>3981</v>
      </c>
      <c r="J353" s="1" t="s">
        <v>26</v>
      </c>
      <c r="K353">
        <v>1</v>
      </c>
      <c r="L353" s="1" t="s">
        <v>40</v>
      </c>
    </row>
    <row r="354" spans="1:12" x14ac:dyDescent="0.25">
      <c r="A354">
        <v>10</v>
      </c>
      <c r="B354">
        <v>7</v>
      </c>
      <c r="C354">
        <v>7</v>
      </c>
      <c r="D354">
        <v>5</v>
      </c>
      <c r="E354" s="1" t="s">
        <v>55</v>
      </c>
      <c r="F354" s="1" t="s">
        <v>41</v>
      </c>
      <c r="G354" s="1" t="s">
        <v>23</v>
      </c>
      <c r="H354">
        <v>5</v>
      </c>
      <c r="I354">
        <v>3348</v>
      </c>
      <c r="J354" s="1" t="s">
        <v>26</v>
      </c>
      <c r="K354">
        <v>3</v>
      </c>
      <c r="L354" s="1" t="s">
        <v>40</v>
      </c>
    </row>
    <row r="355" spans="1:12" x14ac:dyDescent="0.25">
      <c r="A355">
        <v>9</v>
      </c>
      <c r="B355">
        <v>7</v>
      </c>
      <c r="C355">
        <v>7</v>
      </c>
      <c r="D355">
        <v>5</v>
      </c>
      <c r="E355" s="1" t="s">
        <v>55</v>
      </c>
      <c r="F355" s="1" t="s">
        <v>29</v>
      </c>
      <c r="G355" s="1" t="s">
        <v>23</v>
      </c>
      <c r="H355">
        <v>5</v>
      </c>
      <c r="I355">
        <v>2959</v>
      </c>
      <c r="J355" s="1" t="s">
        <v>64</v>
      </c>
      <c r="K355">
        <v>5</v>
      </c>
      <c r="L355" s="1" t="s">
        <v>51</v>
      </c>
    </row>
    <row r="356" spans="1:12" x14ac:dyDescent="0.25">
      <c r="A356">
        <v>11</v>
      </c>
      <c r="B356">
        <v>6</v>
      </c>
      <c r="C356">
        <v>7</v>
      </c>
      <c r="D356">
        <v>5</v>
      </c>
      <c r="E356" s="1" t="s">
        <v>46</v>
      </c>
      <c r="F356" s="1" t="s">
        <v>38</v>
      </c>
      <c r="G356" s="1" t="s">
        <v>23</v>
      </c>
      <c r="H356">
        <v>3.5</v>
      </c>
      <c r="I356">
        <v>1228</v>
      </c>
      <c r="J356" s="1" t="s">
        <v>26</v>
      </c>
      <c r="K356">
        <v>1</v>
      </c>
      <c r="L356" s="1" t="s">
        <v>58</v>
      </c>
    </row>
    <row r="357" spans="1:12" x14ac:dyDescent="0.25">
      <c r="A357">
        <v>6</v>
      </c>
      <c r="B357">
        <v>6</v>
      </c>
      <c r="C357">
        <v>7</v>
      </c>
      <c r="D357">
        <v>5</v>
      </c>
      <c r="E357" s="1" t="s">
        <v>55</v>
      </c>
      <c r="F357" s="1" t="s">
        <v>41</v>
      </c>
      <c r="G357" s="1" t="s">
        <v>23</v>
      </c>
      <c r="H357">
        <v>5</v>
      </c>
      <c r="I357">
        <v>2959</v>
      </c>
      <c r="J357" s="1" t="s">
        <v>36</v>
      </c>
      <c r="K357">
        <v>7</v>
      </c>
      <c r="L357" s="1" t="s">
        <v>40</v>
      </c>
    </row>
    <row r="358" spans="1:12" x14ac:dyDescent="0.25">
      <c r="A358">
        <v>7</v>
      </c>
      <c r="B358">
        <v>5</v>
      </c>
      <c r="C358">
        <v>7</v>
      </c>
      <c r="D358">
        <v>4</v>
      </c>
      <c r="E358" s="1" t="s">
        <v>46</v>
      </c>
      <c r="F358" s="1" t="s">
        <v>41</v>
      </c>
      <c r="G358" s="1" t="s">
        <v>23</v>
      </c>
      <c r="H358">
        <v>4</v>
      </c>
      <c r="I358">
        <v>3003</v>
      </c>
      <c r="J358" s="1" t="s">
        <v>36</v>
      </c>
      <c r="K358">
        <v>9</v>
      </c>
      <c r="L358" s="1" t="s">
        <v>40</v>
      </c>
    </row>
    <row r="359" spans="1:12" x14ac:dyDescent="0.25">
      <c r="A359">
        <v>16</v>
      </c>
      <c r="B359">
        <v>4</v>
      </c>
      <c r="C359">
        <v>7</v>
      </c>
      <c r="D359">
        <v>5</v>
      </c>
      <c r="E359" s="1" t="s">
        <v>31</v>
      </c>
      <c r="F359" s="1" t="s">
        <v>41</v>
      </c>
      <c r="G359" s="1" t="s">
        <v>24</v>
      </c>
      <c r="H359">
        <v>3.5</v>
      </c>
      <c r="I359">
        <v>787</v>
      </c>
      <c r="J359" s="1" t="s">
        <v>26</v>
      </c>
      <c r="K359">
        <v>4</v>
      </c>
      <c r="L359" s="1" t="s">
        <v>34</v>
      </c>
    </row>
    <row r="360" spans="1:12" x14ac:dyDescent="0.25">
      <c r="A360">
        <v>14</v>
      </c>
      <c r="B360">
        <v>3</v>
      </c>
      <c r="C360">
        <v>7</v>
      </c>
      <c r="D360">
        <v>4</v>
      </c>
      <c r="E360" s="1" t="s">
        <v>21</v>
      </c>
      <c r="F360" s="1" t="s">
        <v>41</v>
      </c>
      <c r="G360" s="1" t="s">
        <v>23</v>
      </c>
      <c r="H360">
        <v>4</v>
      </c>
      <c r="I360">
        <v>2916</v>
      </c>
      <c r="J360" s="1" t="s">
        <v>26</v>
      </c>
      <c r="K360">
        <v>7</v>
      </c>
      <c r="L360" s="1" t="s">
        <v>34</v>
      </c>
    </row>
    <row r="361" spans="1:12" x14ac:dyDescent="0.25">
      <c r="A361">
        <v>12</v>
      </c>
      <c r="B361">
        <v>3</v>
      </c>
      <c r="C361">
        <v>7</v>
      </c>
      <c r="D361">
        <v>4</v>
      </c>
      <c r="E361" s="1" t="s">
        <v>21</v>
      </c>
      <c r="F361" s="1" t="s">
        <v>22</v>
      </c>
      <c r="G361" s="1" t="s">
        <v>24</v>
      </c>
      <c r="H361">
        <v>4</v>
      </c>
      <c r="I361">
        <v>2884</v>
      </c>
      <c r="J361" s="1" t="s">
        <v>26</v>
      </c>
      <c r="K361">
        <v>4</v>
      </c>
      <c r="L361" s="1" t="s">
        <v>34</v>
      </c>
    </row>
    <row r="362" spans="1:12" x14ac:dyDescent="0.25">
      <c r="A362">
        <v>10</v>
      </c>
      <c r="B362">
        <v>3</v>
      </c>
      <c r="C362">
        <v>7</v>
      </c>
      <c r="D362">
        <v>5</v>
      </c>
      <c r="E362" s="1" t="s">
        <v>31</v>
      </c>
      <c r="F362" s="1" t="s">
        <v>32</v>
      </c>
      <c r="G362" s="1" t="s">
        <v>23</v>
      </c>
      <c r="H362">
        <v>5</v>
      </c>
      <c r="I362">
        <v>3025</v>
      </c>
      <c r="J362" s="1" t="s">
        <v>26</v>
      </c>
      <c r="K362">
        <v>6</v>
      </c>
      <c r="L362" s="1" t="s">
        <v>51</v>
      </c>
    </row>
    <row r="363" spans="1:12" x14ac:dyDescent="0.25">
      <c r="A363">
        <v>7</v>
      </c>
      <c r="B363">
        <v>3</v>
      </c>
      <c r="C363">
        <v>7</v>
      </c>
      <c r="D363">
        <v>4</v>
      </c>
      <c r="E363" s="1" t="s">
        <v>46</v>
      </c>
      <c r="F363" s="1" t="s">
        <v>29</v>
      </c>
      <c r="G363" s="1" t="s">
        <v>24</v>
      </c>
      <c r="H363">
        <v>3</v>
      </c>
      <c r="I363">
        <v>716</v>
      </c>
      <c r="J363" s="1" t="s">
        <v>26</v>
      </c>
      <c r="K363">
        <v>3</v>
      </c>
      <c r="L363" s="1" t="s">
        <v>30</v>
      </c>
    </row>
    <row r="364" spans="1:12" x14ac:dyDescent="0.25">
      <c r="A364">
        <v>6</v>
      </c>
      <c r="B364">
        <v>3</v>
      </c>
      <c r="C364">
        <v>7</v>
      </c>
      <c r="D364">
        <v>4</v>
      </c>
      <c r="E364" s="1" t="s">
        <v>46</v>
      </c>
      <c r="F364" s="1" t="s">
        <v>22</v>
      </c>
      <c r="G364" s="1" t="s">
        <v>23</v>
      </c>
      <c r="H364">
        <v>3</v>
      </c>
      <c r="I364">
        <v>3981</v>
      </c>
      <c r="J364" s="1" t="s">
        <v>64</v>
      </c>
      <c r="K364">
        <v>1</v>
      </c>
      <c r="L364" s="1" t="s">
        <v>28</v>
      </c>
    </row>
    <row r="365" spans="1:12" x14ac:dyDescent="0.25">
      <c r="A365">
        <v>21</v>
      </c>
      <c r="B365">
        <v>18</v>
      </c>
      <c r="C365">
        <v>6</v>
      </c>
      <c r="D365">
        <v>2</v>
      </c>
      <c r="E365" s="1" t="s">
        <v>21</v>
      </c>
      <c r="F365" s="1" t="s">
        <v>29</v>
      </c>
      <c r="G365" s="1" t="s">
        <v>23</v>
      </c>
      <c r="H365">
        <v>4</v>
      </c>
      <c r="I365">
        <v>3003</v>
      </c>
      <c r="J365" s="1" t="s">
        <v>36</v>
      </c>
      <c r="K365">
        <v>0</v>
      </c>
      <c r="L365" s="1" t="s">
        <v>53</v>
      </c>
    </row>
    <row r="366" spans="1:12" x14ac:dyDescent="0.25">
      <c r="A366">
        <v>12</v>
      </c>
      <c r="B366">
        <v>12</v>
      </c>
      <c r="C366">
        <v>6</v>
      </c>
      <c r="D366">
        <v>3</v>
      </c>
      <c r="E366" s="1" t="s">
        <v>21</v>
      </c>
      <c r="F366" s="1" t="s">
        <v>29</v>
      </c>
      <c r="G366" s="1" t="s">
        <v>24</v>
      </c>
      <c r="H366">
        <v>3</v>
      </c>
      <c r="I366">
        <v>716</v>
      </c>
      <c r="J366" s="1" t="s">
        <v>36</v>
      </c>
      <c r="K366">
        <v>4</v>
      </c>
      <c r="L366" s="1" t="s">
        <v>30</v>
      </c>
    </row>
    <row r="367" spans="1:12" x14ac:dyDescent="0.25">
      <c r="A367">
        <v>11</v>
      </c>
      <c r="B367">
        <v>10</v>
      </c>
      <c r="C367">
        <v>6</v>
      </c>
      <c r="D367">
        <v>5</v>
      </c>
      <c r="E367" s="1" t="s">
        <v>21</v>
      </c>
      <c r="F367" s="1" t="s">
        <v>29</v>
      </c>
      <c r="G367" s="1" t="s">
        <v>23</v>
      </c>
      <c r="H367">
        <v>5</v>
      </c>
      <c r="I367">
        <v>2034</v>
      </c>
      <c r="J367" s="1" t="s">
        <v>26</v>
      </c>
      <c r="K367">
        <v>7</v>
      </c>
      <c r="L367" s="1" t="s">
        <v>40</v>
      </c>
    </row>
    <row r="368" spans="1:12" x14ac:dyDescent="0.25">
      <c r="A368">
        <v>11</v>
      </c>
      <c r="B368">
        <v>9</v>
      </c>
      <c r="C368">
        <v>6</v>
      </c>
      <c r="D368">
        <v>3</v>
      </c>
      <c r="E368" s="1" t="s">
        <v>55</v>
      </c>
      <c r="F368" s="1" t="s">
        <v>41</v>
      </c>
      <c r="G368" s="1" t="s">
        <v>24</v>
      </c>
      <c r="H368">
        <v>4</v>
      </c>
      <c r="I368">
        <v>2884</v>
      </c>
      <c r="J368" s="1" t="s">
        <v>36</v>
      </c>
      <c r="K368">
        <v>0</v>
      </c>
      <c r="L368" s="1" t="s">
        <v>30</v>
      </c>
    </row>
    <row r="369" spans="1:12" x14ac:dyDescent="0.25">
      <c r="A369">
        <v>9</v>
      </c>
      <c r="B369">
        <v>9</v>
      </c>
      <c r="C369">
        <v>6</v>
      </c>
      <c r="D369">
        <v>2</v>
      </c>
      <c r="E369" s="1" t="s">
        <v>31</v>
      </c>
      <c r="F369" s="1" t="s">
        <v>38</v>
      </c>
      <c r="G369" s="1" t="s">
        <v>23</v>
      </c>
      <c r="H369">
        <v>4.5</v>
      </c>
      <c r="I369">
        <v>188</v>
      </c>
      <c r="J369" s="1" t="s">
        <v>26</v>
      </c>
      <c r="K369">
        <v>1</v>
      </c>
      <c r="L369" s="1" t="s">
        <v>51</v>
      </c>
    </row>
    <row r="370" spans="1:12" x14ac:dyDescent="0.25">
      <c r="A370">
        <v>24</v>
      </c>
      <c r="B370">
        <v>7</v>
      </c>
      <c r="C370">
        <v>6</v>
      </c>
      <c r="D370">
        <v>4</v>
      </c>
      <c r="E370" s="1" t="s">
        <v>21</v>
      </c>
      <c r="F370" s="1" t="s">
        <v>22</v>
      </c>
      <c r="G370" s="1" t="s">
        <v>23</v>
      </c>
      <c r="H370">
        <v>4</v>
      </c>
      <c r="I370">
        <v>2916</v>
      </c>
      <c r="J370" s="1" t="s">
        <v>26</v>
      </c>
      <c r="K370">
        <v>1</v>
      </c>
      <c r="L370" s="1" t="s">
        <v>28</v>
      </c>
    </row>
    <row r="371" spans="1:12" x14ac:dyDescent="0.25">
      <c r="A371">
        <v>16</v>
      </c>
      <c r="B371">
        <v>7</v>
      </c>
      <c r="C371">
        <v>6</v>
      </c>
      <c r="D371">
        <v>4</v>
      </c>
      <c r="E371" s="1" t="s">
        <v>31</v>
      </c>
      <c r="F371" s="1" t="s">
        <v>41</v>
      </c>
      <c r="G371" s="1" t="s">
        <v>23</v>
      </c>
      <c r="H371">
        <v>5</v>
      </c>
      <c r="I371">
        <v>1282</v>
      </c>
      <c r="J371" s="1" t="s">
        <v>44</v>
      </c>
      <c r="K371">
        <v>7</v>
      </c>
      <c r="L371" s="1" t="s">
        <v>58</v>
      </c>
    </row>
    <row r="372" spans="1:12" x14ac:dyDescent="0.25">
      <c r="A372">
        <v>14</v>
      </c>
      <c r="B372">
        <v>7</v>
      </c>
      <c r="C372">
        <v>6</v>
      </c>
      <c r="D372">
        <v>5</v>
      </c>
      <c r="E372" s="1" t="s">
        <v>31</v>
      </c>
      <c r="F372" s="1" t="s">
        <v>41</v>
      </c>
      <c r="G372" s="1" t="s">
        <v>23</v>
      </c>
      <c r="H372">
        <v>4</v>
      </c>
      <c r="I372">
        <v>2916</v>
      </c>
      <c r="J372" s="1" t="s">
        <v>26</v>
      </c>
      <c r="K372">
        <v>2</v>
      </c>
      <c r="L372" s="1" t="s">
        <v>30</v>
      </c>
    </row>
    <row r="373" spans="1:12" x14ac:dyDescent="0.25">
      <c r="A373">
        <v>22</v>
      </c>
      <c r="B373">
        <v>6</v>
      </c>
      <c r="C373">
        <v>6</v>
      </c>
      <c r="D373">
        <v>5</v>
      </c>
      <c r="E373" s="1" t="s">
        <v>55</v>
      </c>
      <c r="F373" s="1" t="s">
        <v>22</v>
      </c>
      <c r="G373" s="1" t="s">
        <v>24</v>
      </c>
      <c r="H373">
        <v>4</v>
      </c>
      <c r="I373">
        <v>1467</v>
      </c>
      <c r="J373" s="1" t="s">
        <v>36</v>
      </c>
      <c r="K373">
        <v>1</v>
      </c>
      <c r="L373" s="1" t="s">
        <v>40</v>
      </c>
    </row>
    <row r="374" spans="1:12" x14ac:dyDescent="0.25">
      <c r="A374">
        <v>7</v>
      </c>
      <c r="B374">
        <v>5</v>
      </c>
      <c r="C374">
        <v>6</v>
      </c>
      <c r="D374">
        <v>5</v>
      </c>
      <c r="E374" s="1" t="s">
        <v>46</v>
      </c>
      <c r="F374" s="1" t="s">
        <v>41</v>
      </c>
      <c r="G374" s="1" t="s">
        <v>23</v>
      </c>
      <c r="H374">
        <v>5</v>
      </c>
      <c r="I374">
        <v>4027</v>
      </c>
      <c r="J374" s="1" t="s">
        <v>26</v>
      </c>
      <c r="K374">
        <v>1</v>
      </c>
      <c r="L374" s="1" t="s">
        <v>58</v>
      </c>
    </row>
    <row r="375" spans="1:12" x14ac:dyDescent="0.25">
      <c r="A375">
        <v>6</v>
      </c>
      <c r="B375">
        <v>5</v>
      </c>
      <c r="C375">
        <v>6</v>
      </c>
      <c r="D375">
        <v>5</v>
      </c>
      <c r="E375" s="1" t="s">
        <v>46</v>
      </c>
      <c r="F375" s="1" t="s">
        <v>32</v>
      </c>
      <c r="G375" s="1" t="s">
        <v>23</v>
      </c>
      <c r="H375">
        <v>3.5</v>
      </c>
      <c r="I375">
        <v>732</v>
      </c>
      <c r="J375" s="1" t="s">
        <v>26</v>
      </c>
      <c r="K375">
        <v>4</v>
      </c>
      <c r="L375" s="1" t="s">
        <v>40</v>
      </c>
    </row>
    <row r="376" spans="1:12" x14ac:dyDescent="0.25">
      <c r="A376">
        <v>15</v>
      </c>
      <c r="B376">
        <v>4</v>
      </c>
      <c r="C376">
        <v>6</v>
      </c>
      <c r="D376">
        <v>5</v>
      </c>
      <c r="E376" s="1" t="s">
        <v>46</v>
      </c>
      <c r="F376" s="1" t="s">
        <v>41</v>
      </c>
      <c r="G376" s="1" t="s">
        <v>24</v>
      </c>
      <c r="H376">
        <v>4</v>
      </c>
      <c r="I376">
        <v>1467</v>
      </c>
      <c r="J376" s="1" t="s">
        <v>49</v>
      </c>
      <c r="K376">
        <v>0</v>
      </c>
      <c r="L376" s="1" t="s">
        <v>30</v>
      </c>
    </row>
    <row r="377" spans="1:12" x14ac:dyDescent="0.25">
      <c r="A377">
        <v>13</v>
      </c>
      <c r="B377">
        <v>4</v>
      </c>
      <c r="C377">
        <v>6</v>
      </c>
      <c r="D377">
        <v>5</v>
      </c>
      <c r="E377" s="1" t="s">
        <v>55</v>
      </c>
      <c r="F377" s="1" t="s">
        <v>41</v>
      </c>
      <c r="G377" s="1" t="s">
        <v>24</v>
      </c>
      <c r="H377">
        <v>3</v>
      </c>
      <c r="I377">
        <v>716</v>
      </c>
      <c r="J377" s="1" t="s">
        <v>26</v>
      </c>
      <c r="K377">
        <v>0</v>
      </c>
      <c r="L377" s="1" t="s">
        <v>51</v>
      </c>
    </row>
    <row r="378" spans="1:12" x14ac:dyDescent="0.25">
      <c r="A378">
        <v>12</v>
      </c>
      <c r="B378">
        <v>4</v>
      </c>
      <c r="C378">
        <v>6</v>
      </c>
      <c r="D378">
        <v>5</v>
      </c>
      <c r="E378" s="1" t="s">
        <v>46</v>
      </c>
      <c r="F378" s="1" t="s">
        <v>41</v>
      </c>
      <c r="G378" s="1" t="s">
        <v>24</v>
      </c>
      <c r="H378">
        <v>3.5</v>
      </c>
      <c r="I378">
        <v>787</v>
      </c>
      <c r="J378" s="1" t="s">
        <v>26</v>
      </c>
      <c r="K378">
        <v>2</v>
      </c>
      <c r="L378" s="1" t="s">
        <v>58</v>
      </c>
    </row>
    <row r="379" spans="1:12" x14ac:dyDescent="0.25">
      <c r="A379">
        <v>6</v>
      </c>
      <c r="B379">
        <v>4</v>
      </c>
      <c r="C379">
        <v>6</v>
      </c>
      <c r="D379">
        <v>5</v>
      </c>
      <c r="E379" s="1" t="s">
        <v>55</v>
      </c>
      <c r="F379" s="1" t="s">
        <v>41</v>
      </c>
      <c r="G379" s="1" t="s">
        <v>23</v>
      </c>
      <c r="H379">
        <v>4</v>
      </c>
      <c r="I379">
        <v>2916</v>
      </c>
      <c r="J379" s="1" t="s">
        <v>26</v>
      </c>
      <c r="K379">
        <v>0</v>
      </c>
      <c r="L379" s="1" t="s">
        <v>34</v>
      </c>
    </row>
    <row r="380" spans="1:12" x14ac:dyDescent="0.25">
      <c r="A380">
        <v>27</v>
      </c>
      <c r="B380">
        <v>11</v>
      </c>
      <c r="C380">
        <v>5</v>
      </c>
      <c r="D380">
        <v>3</v>
      </c>
      <c r="E380" s="1" t="s">
        <v>55</v>
      </c>
      <c r="F380" s="1" t="s">
        <v>41</v>
      </c>
      <c r="G380" s="1" t="s">
        <v>24</v>
      </c>
      <c r="H380">
        <v>4</v>
      </c>
      <c r="I380">
        <v>2884</v>
      </c>
      <c r="J380" s="1" t="s">
        <v>26</v>
      </c>
      <c r="K380">
        <v>2</v>
      </c>
      <c r="L380" s="1" t="s">
        <v>58</v>
      </c>
    </row>
    <row r="381" spans="1:12" x14ac:dyDescent="0.25">
      <c r="A381">
        <v>9</v>
      </c>
      <c r="B381">
        <v>8</v>
      </c>
      <c r="C381">
        <v>5</v>
      </c>
      <c r="D381">
        <v>5</v>
      </c>
      <c r="E381" s="1" t="s">
        <v>21</v>
      </c>
      <c r="F381" s="1" t="s">
        <v>32</v>
      </c>
      <c r="G381" s="1" t="s">
        <v>24</v>
      </c>
      <c r="H381">
        <v>3</v>
      </c>
      <c r="I381">
        <v>716</v>
      </c>
      <c r="J381" s="1" t="s">
        <v>26</v>
      </c>
      <c r="K381">
        <v>4</v>
      </c>
      <c r="L381" s="1" t="s">
        <v>53</v>
      </c>
    </row>
    <row r="382" spans="1:12" x14ac:dyDescent="0.25">
      <c r="A382">
        <v>19</v>
      </c>
      <c r="B382">
        <v>7</v>
      </c>
      <c r="C382">
        <v>5</v>
      </c>
      <c r="D382">
        <v>5</v>
      </c>
      <c r="E382" s="1" t="s">
        <v>31</v>
      </c>
      <c r="F382" s="1" t="s">
        <v>41</v>
      </c>
      <c r="G382" s="1" t="s">
        <v>23</v>
      </c>
      <c r="H382">
        <v>5</v>
      </c>
      <c r="I382">
        <v>4027</v>
      </c>
      <c r="J382" s="1" t="s">
        <v>26</v>
      </c>
      <c r="K382">
        <v>5</v>
      </c>
      <c r="L382" s="1" t="s">
        <v>51</v>
      </c>
    </row>
    <row r="383" spans="1:12" x14ac:dyDescent="0.25">
      <c r="A383">
        <v>9</v>
      </c>
      <c r="B383">
        <v>6</v>
      </c>
      <c r="C383">
        <v>5</v>
      </c>
      <c r="D383">
        <v>2</v>
      </c>
      <c r="E383" s="1" t="s">
        <v>21</v>
      </c>
      <c r="F383" s="1" t="s">
        <v>32</v>
      </c>
      <c r="G383" s="1" t="s">
        <v>23</v>
      </c>
      <c r="H383">
        <v>4</v>
      </c>
      <c r="I383">
        <v>826</v>
      </c>
      <c r="J383" s="1" t="s">
        <v>26</v>
      </c>
      <c r="K383">
        <v>9</v>
      </c>
      <c r="L383" s="1" t="s">
        <v>51</v>
      </c>
    </row>
    <row r="384" spans="1:12" x14ac:dyDescent="0.25">
      <c r="A384">
        <v>26</v>
      </c>
      <c r="B384">
        <v>5</v>
      </c>
      <c r="C384">
        <v>5</v>
      </c>
      <c r="D384">
        <v>4</v>
      </c>
      <c r="E384" s="1" t="s">
        <v>31</v>
      </c>
      <c r="F384" s="1" t="s">
        <v>32</v>
      </c>
      <c r="G384" s="1" t="s">
        <v>24</v>
      </c>
      <c r="H384">
        <v>3.5</v>
      </c>
      <c r="I384">
        <v>787</v>
      </c>
      <c r="J384" s="1" t="s">
        <v>49</v>
      </c>
      <c r="K384">
        <v>1</v>
      </c>
      <c r="L384" s="1" t="s">
        <v>28</v>
      </c>
    </row>
    <row r="385" spans="1:12" x14ac:dyDescent="0.25">
      <c r="A385">
        <v>19</v>
      </c>
      <c r="B385">
        <v>5</v>
      </c>
      <c r="C385">
        <v>5</v>
      </c>
      <c r="D385">
        <v>5</v>
      </c>
      <c r="E385" s="1" t="s">
        <v>31</v>
      </c>
      <c r="F385" s="1" t="s">
        <v>41</v>
      </c>
      <c r="G385" s="1" t="s">
        <v>24</v>
      </c>
      <c r="H385">
        <v>5</v>
      </c>
      <c r="I385">
        <v>2700</v>
      </c>
      <c r="J385" s="1" t="s">
        <v>36</v>
      </c>
      <c r="K385">
        <v>3</v>
      </c>
      <c r="L385" s="1" t="s">
        <v>58</v>
      </c>
    </row>
    <row r="386" spans="1:12" x14ac:dyDescent="0.25">
      <c r="A386">
        <v>7</v>
      </c>
      <c r="B386">
        <v>5</v>
      </c>
      <c r="C386">
        <v>5</v>
      </c>
      <c r="D386">
        <v>3</v>
      </c>
      <c r="E386" s="1" t="s">
        <v>31</v>
      </c>
      <c r="F386" s="1" t="s">
        <v>32</v>
      </c>
      <c r="G386" s="1" t="s">
        <v>23</v>
      </c>
      <c r="H386">
        <v>5</v>
      </c>
      <c r="I386">
        <v>2034</v>
      </c>
      <c r="J386" s="1" t="s">
        <v>36</v>
      </c>
      <c r="K386">
        <v>7</v>
      </c>
      <c r="L386" s="1" t="s">
        <v>58</v>
      </c>
    </row>
    <row r="387" spans="1:12" x14ac:dyDescent="0.25">
      <c r="A387">
        <v>6</v>
      </c>
      <c r="B387">
        <v>5</v>
      </c>
      <c r="C387">
        <v>5</v>
      </c>
      <c r="D387">
        <v>4</v>
      </c>
      <c r="E387" s="1" t="s">
        <v>46</v>
      </c>
      <c r="F387" s="1" t="s">
        <v>41</v>
      </c>
      <c r="G387" s="1" t="s">
        <v>24</v>
      </c>
      <c r="H387">
        <v>4</v>
      </c>
      <c r="I387">
        <v>2884</v>
      </c>
      <c r="J387" s="1" t="s">
        <v>26</v>
      </c>
      <c r="K387">
        <v>2</v>
      </c>
      <c r="L387" s="1" t="s">
        <v>40</v>
      </c>
    </row>
    <row r="388" spans="1:12" x14ac:dyDescent="0.25">
      <c r="A388">
        <v>24</v>
      </c>
      <c r="B388">
        <v>3</v>
      </c>
      <c r="C388">
        <v>5</v>
      </c>
      <c r="D388">
        <v>5</v>
      </c>
      <c r="E388" s="1" t="s">
        <v>55</v>
      </c>
      <c r="F388" s="1" t="s">
        <v>41</v>
      </c>
      <c r="G388" s="1" t="s">
        <v>23</v>
      </c>
      <c r="H388">
        <v>4</v>
      </c>
      <c r="I388">
        <v>2916</v>
      </c>
      <c r="J388" s="1" t="s">
        <v>26</v>
      </c>
      <c r="K388">
        <v>0</v>
      </c>
      <c r="L388" s="1" t="s">
        <v>53</v>
      </c>
    </row>
    <row r="389" spans="1:12" x14ac:dyDescent="0.25">
      <c r="A389">
        <v>6</v>
      </c>
      <c r="B389">
        <v>3</v>
      </c>
      <c r="C389">
        <v>5</v>
      </c>
      <c r="D389">
        <v>5</v>
      </c>
      <c r="E389" s="1" t="s">
        <v>55</v>
      </c>
      <c r="F389" s="1" t="s">
        <v>22</v>
      </c>
      <c r="G389" s="1" t="s">
        <v>23</v>
      </c>
      <c r="H389">
        <v>3.5</v>
      </c>
      <c r="I389">
        <v>732</v>
      </c>
      <c r="J389" s="1" t="s">
        <v>26</v>
      </c>
      <c r="K389">
        <v>0</v>
      </c>
      <c r="L389" s="1" t="s">
        <v>40</v>
      </c>
    </row>
    <row r="390" spans="1:12" x14ac:dyDescent="0.25">
      <c r="A390">
        <v>4</v>
      </c>
      <c r="B390">
        <v>3</v>
      </c>
      <c r="C390">
        <v>5</v>
      </c>
      <c r="D390">
        <v>5</v>
      </c>
      <c r="E390" s="1" t="s">
        <v>46</v>
      </c>
      <c r="F390" s="1" t="s">
        <v>22</v>
      </c>
      <c r="G390" s="1" t="s">
        <v>23</v>
      </c>
      <c r="H390">
        <v>5</v>
      </c>
      <c r="I390">
        <v>2034</v>
      </c>
      <c r="J390" s="1" t="s">
        <v>26</v>
      </c>
      <c r="K390">
        <v>3</v>
      </c>
      <c r="L390" s="1" t="s">
        <v>28</v>
      </c>
    </row>
    <row r="391" spans="1:12" x14ac:dyDescent="0.25">
      <c r="A391">
        <v>11</v>
      </c>
      <c r="B391">
        <v>0</v>
      </c>
      <c r="C391">
        <v>5</v>
      </c>
      <c r="D391">
        <v>5</v>
      </c>
      <c r="E391" s="1" t="s">
        <v>46</v>
      </c>
      <c r="F391" s="1" t="s">
        <v>32</v>
      </c>
      <c r="G391" s="1" t="s">
        <v>23</v>
      </c>
      <c r="H391">
        <v>3.5</v>
      </c>
      <c r="I391">
        <v>732</v>
      </c>
      <c r="J391" s="1" t="s">
        <v>49</v>
      </c>
      <c r="K391">
        <v>0</v>
      </c>
      <c r="L391" s="1" t="s">
        <v>28</v>
      </c>
    </row>
    <row r="392" spans="1:12" x14ac:dyDescent="0.25">
      <c r="A392">
        <v>10</v>
      </c>
      <c r="B392">
        <v>0</v>
      </c>
      <c r="C392">
        <v>5</v>
      </c>
      <c r="D392">
        <v>4</v>
      </c>
      <c r="E392" s="1" t="s">
        <v>31</v>
      </c>
      <c r="F392" s="1" t="s">
        <v>22</v>
      </c>
      <c r="G392" s="1" t="s">
        <v>24</v>
      </c>
      <c r="H392">
        <v>4</v>
      </c>
      <c r="I392">
        <v>2884</v>
      </c>
      <c r="J392" s="1" t="s">
        <v>36</v>
      </c>
      <c r="K392">
        <v>3</v>
      </c>
      <c r="L392" s="1" t="s">
        <v>53</v>
      </c>
    </row>
    <row r="393" spans="1:12" x14ac:dyDescent="0.25">
      <c r="A393">
        <v>5</v>
      </c>
      <c r="B393">
        <v>0</v>
      </c>
      <c r="C393">
        <v>5</v>
      </c>
      <c r="D393">
        <v>5</v>
      </c>
      <c r="E393" s="1" t="s">
        <v>46</v>
      </c>
      <c r="F393" s="1" t="s">
        <v>32</v>
      </c>
      <c r="G393" s="1" t="s">
        <v>23</v>
      </c>
      <c r="H393">
        <v>5</v>
      </c>
      <c r="I393">
        <v>3933</v>
      </c>
      <c r="J393" s="1" t="s">
        <v>36</v>
      </c>
      <c r="K393">
        <v>0</v>
      </c>
      <c r="L393" s="1" t="s">
        <v>51</v>
      </c>
    </row>
    <row r="394" spans="1:12" x14ac:dyDescent="0.25">
      <c r="A394">
        <v>14</v>
      </c>
      <c r="B394">
        <v>8</v>
      </c>
      <c r="C394">
        <v>4</v>
      </c>
      <c r="D394">
        <v>5</v>
      </c>
      <c r="E394" s="1" t="s">
        <v>46</v>
      </c>
      <c r="F394" s="1" t="s">
        <v>41</v>
      </c>
      <c r="G394" s="1" t="s">
        <v>23</v>
      </c>
      <c r="H394">
        <v>5</v>
      </c>
      <c r="I394">
        <v>3348</v>
      </c>
      <c r="J394" s="1" t="s">
        <v>26</v>
      </c>
      <c r="K394">
        <v>1</v>
      </c>
      <c r="L394" s="1" t="s">
        <v>58</v>
      </c>
    </row>
    <row r="395" spans="1:12" x14ac:dyDescent="0.25">
      <c r="A395">
        <v>20</v>
      </c>
      <c r="B395">
        <v>7</v>
      </c>
      <c r="C395">
        <v>4</v>
      </c>
      <c r="D395">
        <v>3</v>
      </c>
      <c r="E395" s="1" t="s">
        <v>46</v>
      </c>
      <c r="F395" s="1" t="s">
        <v>41</v>
      </c>
      <c r="G395" s="1" t="s">
        <v>23</v>
      </c>
      <c r="H395">
        <v>3</v>
      </c>
      <c r="I395">
        <v>3981</v>
      </c>
      <c r="J395" s="1" t="s">
        <v>36</v>
      </c>
      <c r="K395">
        <v>6</v>
      </c>
      <c r="L395" s="1" t="s">
        <v>34</v>
      </c>
    </row>
    <row r="396" spans="1:12" x14ac:dyDescent="0.25">
      <c r="A396">
        <v>12</v>
      </c>
      <c r="B396">
        <v>7</v>
      </c>
      <c r="C396">
        <v>4</v>
      </c>
      <c r="D396">
        <v>5</v>
      </c>
      <c r="E396" s="1" t="s">
        <v>55</v>
      </c>
      <c r="F396" s="1" t="s">
        <v>32</v>
      </c>
      <c r="G396" s="1" t="s">
        <v>24</v>
      </c>
      <c r="H396">
        <v>4</v>
      </c>
      <c r="I396">
        <v>2884</v>
      </c>
      <c r="J396" s="1" t="s">
        <v>49</v>
      </c>
      <c r="K396">
        <v>5</v>
      </c>
      <c r="L396" s="1" t="s">
        <v>58</v>
      </c>
    </row>
    <row r="397" spans="1:12" x14ac:dyDescent="0.25">
      <c r="A397">
        <v>9</v>
      </c>
      <c r="B397">
        <v>7</v>
      </c>
      <c r="C397">
        <v>4</v>
      </c>
      <c r="D397">
        <v>5</v>
      </c>
      <c r="E397" s="1" t="s">
        <v>31</v>
      </c>
      <c r="F397" s="1" t="s">
        <v>41</v>
      </c>
      <c r="G397" s="1" t="s">
        <v>23</v>
      </c>
      <c r="H397">
        <v>3</v>
      </c>
      <c r="I397">
        <v>315</v>
      </c>
      <c r="J397" s="1" t="s">
        <v>26</v>
      </c>
      <c r="K397">
        <v>2</v>
      </c>
      <c r="L397" s="1" t="s">
        <v>40</v>
      </c>
    </row>
    <row r="398" spans="1:12" x14ac:dyDescent="0.25">
      <c r="A398">
        <v>10</v>
      </c>
      <c r="B398">
        <v>5</v>
      </c>
      <c r="C398">
        <v>4</v>
      </c>
      <c r="D398">
        <v>4</v>
      </c>
      <c r="E398" s="1" t="s">
        <v>46</v>
      </c>
      <c r="F398" s="1" t="s">
        <v>32</v>
      </c>
      <c r="G398" s="1" t="s">
        <v>23</v>
      </c>
      <c r="H398">
        <v>4</v>
      </c>
      <c r="I398">
        <v>3003</v>
      </c>
      <c r="J398" s="1" t="s">
        <v>36</v>
      </c>
      <c r="K398">
        <v>1</v>
      </c>
      <c r="L398" s="1" t="s">
        <v>30</v>
      </c>
    </row>
    <row r="399" spans="1:12" x14ac:dyDescent="0.25">
      <c r="A399">
        <v>9</v>
      </c>
      <c r="B399">
        <v>5</v>
      </c>
      <c r="C399">
        <v>4</v>
      </c>
      <c r="D399">
        <v>5</v>
      </c>
      <c r="E399" s="1" t="s">
        <v>31</v>
      </c>
      <c r="F399" s="1" t="s">
        <v>22</v>
      </c>
      <c r="G399" s="1" t="s">
        <v>23</v>
      </c>
      <c r="H399">
        <v>4</v>
      </c>
      <c r="I399">
        <v>2916</v>
      </c>
      <c r="J399" s="1" t="s">
        <v>26</v>
      </c>
      <c r="K399">
        <v>6</v>
      </c>
      <c r="L399" s="1" t="s">
        <v>28</v>
      </c>
    </row>
    <row r="400" spans="1:12" x14ac:dyDescent="0.25">
      <c r="A400">
        <v>5</v>
      </c>
      <c r="B400">
        <v>5</v>
      </c>
      <c r="C400">
        <v>4</v>
      </c>
      <c r="D400">
        <v>5</v>
      </c>
      <c r="E400" s="1" t="s">
        <v>31</v>
      </c>
      <c r="F400" s="1" t="s">
        <v>41</v>
      </c>
      <c r="G400" s="1" t="s">
        <v>23</v>
      </c>
      <c r="H400">
        <v>5</v>
      </c>
      <c r="I400">
        <v>3348</v>
      </c>
      <c r="J400" s="1" t="s">
        <v>26</v>
      </c>
      <c r="K400">
        <v>3</v>
      </c>
      <c r="L400" s="1" t="s">
        <v>28</v>
      </c>
    </row>
    <row r="401" spans="1:12" x14ac:dyDescent="0.25">
      <c r="A401">
        <v>17</v>
      </c>
      <c r="B401">
        <v>4</v>
      </c>
      <c r="C401">
        <v>4</v>
      </c>
      <c r="D401">
        <v>4</v>
      </c>
      <c r="E401" s="1" t="s">
        <v>46</v>
      </c>
      <c r="F401" s="1" t="s">
        <v>32</v>
      </c>
      <c r="G401" s="1" t="s">
        <v>23</v>
      </c>
      <c r="H401">
        <v>3</v>
      </c>
      <c r="I401">
        <v>315</v>
      </c>
      <c r="J401" s="1" t="s">
        <v>26</v>
      </c>
      <c r="K401">
        <v>0</v>
      </c>
      <c r="L401" s="1" t="s">
        <v>53</v>
      </c>
    </row>
    <row r="402" spans="1:12" x14ac:dyDescent="0.25">
      <c r="A402">
        <v>13</v>
      </c>
      <c r="B402">
        <v>4</v>
      </c>
      <c r="C402">
        <v>4</v>
      </c>
      <c r="D402">
        <v>5</v>
      </c>
      <c r="E402" s="1" t="s">
        <v>21</v>
      </c>
      <c r="F402" s="1" t="s">
        <v>22</v>
      </c>
      <c r="G402" s="1" t="s">
        <v>24</v>
      </c>
      <c r="H402">
        <v>3</v>
      </c>
      <c r="I402">
        <v>716</v>
      </c>
      <c r="J402" s="1" t="s">
        <v>26</v>
      </c>
      <c r="K402">
        <v>5</v>
      </c>
      <c r="L402" s="1" t="s">
        <v>40</v>
      </c>
    </row>
    <row r="403" spans="1:12" x14ac:dyDescent="0.25">
      <c r="A403">
        <v>7</v>
      </c>
      <c r="B403">
        <v>4</v>
      </c>
      <c r="C403">
        <v>4</v>
      </c>
      <c r="D403">
        <v>5</v>
      </c>
      <c r="E403" s="1" t="s">
        <v>21</v>
      </c>
      <c r="F403" s="1" t="s">
        <v>41</v>
      </c>
      <c r="G403" s="1" t="s">
        <v>23</v>
      </c>
      <c r="H403">
        <v>3.5</v>
      </c>
      <c r="I403">
        <v>1228</v>
      </c>
      <c r="J403" s="1" t="s">
        <v>26</v>
      </c>
      <c r="K403">
        <v>1</v>
      </c>
      <c r="L403" s="1" t="s">
        <v>30</v>
      </c>
    </row>
    <row r="404" spans="1:12" x14ac:dyDescent="0.25">
      <c r="A404">
        <v>6</v>
      </c>
      <c r="B404">
        <v>4</v>
      </c>
      <c r="C404">
        <v>4</v>
      </c>
      <c r="D404">
        <v>5</v>
      </c>
      <c r="E404" s="1" t="s">
        <v>21</v>
      </c>
      <c r="F404" s="1" t="s">
        <v>41</v>
      </c>
      <c r="G404" s="1" t="s">
        <v>23</v>
      </c>
      <c r="H404">
        <v>5</v>
      </c>
      <c r="I404">
        <v>3025</v>
      </c>
      <c r="J404" s="1" t="s">
        <v>26</v>
      </c>
      <c r="K404">
        <v>7</v>
      </c>
      <c r="L404" s="1" t="s">
        <v>28</v>
      </c>
    </row>
    <row r="405" spans="1:12" x14ac:dyDescent="0.25">
      <c r="A405">
        <v>15</v>
      </c>
      <c r="B405">
        <v>3</v>
      </c>
      <c r="C405">
        <v>4</v>
      </c>
      <c r="D405">
        <v>3</v>
      </c>
      <c r="E405" s="1" t="s">
        <v>21</v>
      </c>
      <c r="F405" s="1" t="s">
        <v>32</v>
      </c>
      <c r="G405" s="1" t="s">
        <v>23</v>
      </c>
      <c r="H405">
        <v>4</v>
      </c>
      <c r="I405">
        <v>826</v>
      </c>
      <c r="J405" s="1" t="s">
        <v>26</v>
      </c>
      <c r="K405">
        <v>7</v>
      </c>
      <c r="L405" s="1" t="s">
        <v>40</v>
      </c>
    </row>
    <row r="406" spans="1:12" x14ac:dyDescent="0.25">
      <c r="A406">
        <v>9</v>
      </c>
      <c r="B406">
        <v>3</v>
      </c>
      <c r="C406">
        <v>4</v>
      </c>
      <c r="D406">
        <v>5</v>
      </c>
      <c r="E406" s="1" t="s">
        <v>46</v>
      </c>
      <c r="F406" s="1" t="s">
        <v>22</v>
      </c>
      <c r="G406" s="1" t="s">
        <v>23</v>
      </c>
      <c r="H406">
        <v>3.5</v>
      </c>
      <c r="I406">
        <v>1228</v>
      </c>
      <c r="J406" s="1" t="s">
        <v>26</v>
      </c>
      <c r="K406">
        <v>1</v>
      </c>
      <c r="L406" s="1" t="s">
        <v>58</v>
      </c>
    </row>
    <row r="407" spans="1:12" x14ac:dyDescent="0.25">
      <c r="A407">
        <v>9</v>
      </c>
      <c r="B407">
        <v>3</v>
      </c>
      <c r="C407">
        <v>4</v>
      </c>
      <c r="D407">
        <v>5</v>
      </c>
      <c r="E407" s="1" t="s">
        <v>46</v>
      </c>
      <c r="F407" s="1" t="s">
        <v>32</v>
      </c>
      <c r="G407" s="1" t="s">
        <v>23</v>
      </c>
      <c r="H407">
        <v>5</v>
      </c>
      <c r="I407">
        <v>2034</v>
      </c>
      <c r="J407" s="1" t="s">
        <v>36</v>
      </c>
      <c r="K407">
        <v>1</v>
      </c>
      <c r="L407" s="1" t="s">
        <v>28</v>
      </c>
    </row>
    <row r="408" spans="1:12" x14ac:dyDescent="0.25">
      <c r="A408">
        <v>7</v>
      </c>
      <c r="B408">
        <v>3</v>
      </c>
      <c r="C408">
        <v>4</v>
      </c>
      <c r="D408">
        <v>4</v>
      </c>
      <c r="E408" s="1" t="s">
        <v>46</v>
      </c>
      <c r="F408" s="1" t="s">
        <v>41</v>
      </c>
      <c r="G408" s="1" t="s">
        <v>24</v>
      </c>
      <c r="H408">
        <v>4</v>
      </c>
      <c r="I408">
        <v>2884</v>
      </c>
      <c r="J408" s="1" t="s">
        <v>36</v>
      </c>
      <c r="K408">
        <v>5</v>
      </c>
      <c r="L408" s="1" t="s">
        <v>30</v>
      </c>
    </row>
    <row r="409" spans="1:12" x14ac:dyDescent="0.25">
      <c r="A409">
        <v>4</v>
      </c>
      <c r="B409">
        <v>3</v>
      </c>
      <c r="C409">
        <v>4</v>
      </c>
      <c r="D409">
        <v>5</v>
      </c>
      <c r="E409" s="1" t="s">
        <v>55</v>
      </c>
      <c r="F409" s="1" t="s">
        <v>41</v>
      </c>
      <c r="G409" s="1" t="s">
        <v>23</v>
      </c>
      <c r="H409">
        <v>5</v>
      </c>
      <c r="I409">
        <v>3348</v>
      </c>
      <c r="J409" s="1" t="s">
        <v>26</v>
      </c>
      <c r="K409">
        <v>3</v>
      </c>
      <c r="L409" s="1" t="s">
        <v>58</v>
      </c>
    </row>
    <row r="410" spans="1:12" x14ac:dyDescent="0.25">
      <c r="A410">
        <v>2</v>
      </c>
      <c r="B410">
        <v>1</v>
      </c>
      <c r="C410">
        <v>4</v>
      </c>
      <c r="D410">
        <v>4</v>
      </c>
      <c r="E410" s="1" t="s">
        <v>31</v>
      </c>
      <c r="F410" s="1" t="s">
        <v>32</v>
      </c>
      <c r="G410" s="1" t="s">
        <v>23</v>
      </c>
      <c r="H410">
        <v>3</v>
      </c>
      <c r="I410">
        <v>3773</v>
      </c>
      <c r="J410" s="1" t="s">
        <v>26</v>
      </c>
      <c r="K410">
        <v>0</v>
      </c>
      <c r="L410" s="1" t="s">
        <v>40</v>
      </c>
    </row>
    <row r="411" spans="1:12" x14ac:dyDescent="0.25">
      <c r="A411">
        <v>14</v>
      </c>
      <c r="B411">
        <v>0</v>
      </c>
      <c r="C411">
        <v>4</v>
      </c>
      <c r="D411">
        <v>2</v>
      </c>
      <c r="E411" s="1" t="s">
        <v>31</v>
      </c>
      <c r="F411" s="1" t="s">
        <v>32</v>
      </c>
      <c r="G411" s="1" t="s">
        <v>23</v>
      </c>
      <c r="H411">
        <v>4.5</v>
      </c>
      <c r="I411">
        <v>188</v>
      </c>
      <c r="J411" s="1" t="s">
        <v>26</v>
      </c>
      <c r="K411">
        <v>4</v>
      </c>
      <c r="L411" s="1" t="s">
        <v>40</v>
      </c>
    </row>
    <row r="412" spans="1:12" x14ac:dyDescent="0.25">
      <c r="A412">
        <v>6</v>
      </c>
      <c r="B412">
        <v>0</v>
      </c>
      <c r="C412">
        <v>4</v>
      </c>
      <c r="D412">
        <v>4</v>
      </c>
      <c r="E412" s="1" t="s">
        <v>55</v>
      </c>
      <c r="F412" s="1" t="s">
        <v>22</v>
      </c>
      <c r="G412" s="1" t="s">
        <v>23</v>
      </c>
      <c r="H412">
        <v>3</v>
      </c>
      <c r="I412">
        <v>3981</v>
      </c>
      <c r="J412" s="1" t="s">
        <v>36</v>
      </c>
      <c r="K412">
        <v>1</v>
      </c>
      <c r="L412" s="1" t="s">
        <v>53</v>
      </c>
    </row>
    <row r="413" spans="1:12" x14ac:dyDescent="0.25">
      <c r="A413">
        <v>4</v>
      </c>
      <c r="B413">
        <v>0</v>
      </c>
      <c r="C413">
        <v>4</v>
      </c>
      <c r="D413">
        <v>5</v>
      </c>
      <c r="E413" s="1" t="s">
        <v>21</v>
      </c>
      <c r="F413" s="1" t="s">
        <v>41</v>
      </c>
      <c r="G413" s="1" t="s">
        <v>23</v>
      </c>
      <c r="H413">
        <v>5</v>
      </c>
      <c r="I413">
        <v>3025</v>
      </c>
      <c r="J413" s="1" t="s">
        <v>26</v>
      </c>
      <c r="K413">
        <v>9</v>
      </c>
      <c r="L413" s="1" t="s">
        <v>30</v>
      </c>
    </row>
    <row r="414" spans="1:12" x14ac:dyDescent="0.25">
      <c r="A414">
        <v>35</v>
      </c>
      <c r="B414">
        <v>12</v>
      </c>
      <c r="C414">
        <v>3</v>
      </c>
      <c r="D414">
        <v>5</v>
      </c>
      <c r="E414" s="1" t="s">
        <v>31</v>
      </c>
      <c r="F414" s="1" t="s">
        <v>29</v>
      </c>
      <c r="G414" s="1" t="s">
        <v>23</v>
      </c>
      <c r="H414">
        <v>5</v>
      </c>
      <c r="I414">
        <v>2034</v>
      </c>
      <c r="J414" s="1" t="s">
        <v>26</v>
      </c>
      <c r="K414">
        <v>2</v>
      </c>
      <c r="L414" s="1" t="s">
        <v>30</v>
      </c>
    </row>
    <row r="415" spans="1:12" x14ac:dyDescent="0.25">
      <c r="A415">
        <v>15</v>
      </c>
      <c r="B415">
        <v>9</v>
      </c>
      <c r="C415">
        <v>3</v>
      </c>
      <c r="D415">
        <v>5</v>
      </c>
      <c r="E415" s="1" t="s">
        <v>55</v>
      </c>
      <c r="F415" s="1" t="s">
        <v>29</v>
      </c>
      <c r="G415" s="1" t="s">
        <v>24</v>
      </c>
      <c r="H415">
        <v>5</v>
      </c>
      <c r="I415">
        <v>2700</v>
      </c>
      <c r="J415" s="1" t="s">
        <v>26</v>
      </c>
      <c r="K415">
        <v>2</v>
      </c>
      <c r="L415" s="1" t="s">
        <v>58</v>
      </c>
    </row>
    <row r="416" spans="1:12" x14ac:dyDescent="0.25">
      <c r="A416">
        <v>12</v>
      </c>
      <c r="B416">
        <v>8</v>
      </c>
      <c r="C416">
        <v>3</v>
      </c>
      <c r="D416">
        <v>4</v>
      </c>
      <c r="E416" s="1" t="s">
        <v>31</v>
      </c>
      <c r="F416" s="1" t="s">
        <v>22</v>
      </c>
      <c r="G416" s="1" t="s">
        <v>24</v>
      </c>
      <c r="H416">
        <v>4</v>
      </c>
      <c r="I416">
        <v>2884</v>
      </c>
      <c r="J416" s="1" t="s">
        <v>26</v>
      </c>
      <c r="K416">
        <v>2</v>
      </c>
      <c r="L416" s="1" t="s">
        <v>34</v>
      </c>
    </row>
    <row r="417" spans="1:12" x14ac:dyDescent="0.25">
      <c r="A417">
        <v>8</v>
      </c>
      <c r="B417">
        <v>7</v>
      </c>
      <c r="C417">
        <v>3</v>
      </c>
      <c r="D417">
        <v>5</v>
      </c>
      <c r="E417" s="1" t="s">
        <v>46</v>
      </c>
      <c r="F417" s="1" t="s">
        <v>22</v>
      </c>
      <c r="G417" s="1" t="s">
        <v>24</v>
      </c>
      <c r="H417">
        <v>4</v>
      </c>
      <c r="I417">
        <v>1467</v>
      </c>
      <c r="J417" s="1" t="s">
        <v>49</v>
      </c>
      <c r="K417">
        <v>1</v>
      </c>
      <c r="L417" s="1" t="s">
        <v>34</v>
      </c>
    </row>
    <row r="418" spans="1:12" x14ac:dyDescent="0.25">
      <c r="A418">
        <v>21</v>
      </c>
      <c r="B418">
        <v>6</v>
      </c>
      <c r="C418">
        <v>3</v>
      </c>
      <c r="D418">
        <v>4</v>
      </c>
      <c r="E418" s="1" t="s">
        <v>46</v>
      </c>
      <c r="F418" s="1" t="s">
        <v>41</v>
      </c>
      <c r="G418" s="1" t="s">
        <v>23</v>
      </c>
      <c r="H418">
        <v>4</v>
      </c>
      <c r="I418">
        <v>826</v>
      </c>
      <c r="J418" s="1" t="s">
        <v>26</v>
      </c>
      <c r="K418">
        <v>5</v>
      </c>
      <c r="L418" s="1" t="s">
        <v>40</v>
      </c>
    </row>
    <row r="419" spans="1:12" x14ac:dyDescent="0.25">
      <c r="A419">
        <v>16</v>
      </c>
      <c r="B419">
        <v>6</v>
      </c>
      <c r="C419">
        <v>3</v>
      </c>
      <c r="D419">
        <v>4</v>
      </c>
      <c r="E419" s="1" t="s">
        <v>21</v>
      </c>
      <c r="F419" s="1" t="s">
        <v>38</v>
      </c>
      <c r="G419" s="1" t="s">
        <v>23</v>
      </c>
      <c r="H419">
        <v>5</v>
      </c>
      <c r="I419">
        <v>3933</v>
      </c>
      <c r="J419" s="1" t="s">
        <v>49</v>
      </c>
      <c r="K419">
        <v>3</v>
      </c>
      <c r="L419" s="1" t="s">
        <v>34</v>
      </c>
    </row>
    <row r="420" spans="1:12" x14ac:dyDescent="0.25">
      <c r="A420">
        <v>12</v>
      </c>
      <c r="B420">
        <v>6</v>
      </c>
      <c r="C420">
        <v>3</v>
      </c>
      <c r="D420">
        <v>5</v>
      </c>
      <c r="E420" s="1" t="s">
        <v>21</v>
      </c>
      <c r="F420" s="1" t="s">
        <v>22</v>
      </c>
      <c r="G420" s="1" t="s">
        <v>23</v>
      </c>
      <c r="H420">
        <v>5</v>
      </c>
      <c r="I420">
        <v>2959</v>
      </c>
      <c r="J420" s="1" t="s">
        <v>49</v>
      </c>
      <c r="K420">
        <v>1</v>
      </c>
      <c r="L420" s="1" t="s">
        <v>28</v>
      </c>
    </row>
    <row r="421" spans="1:12" x14ac:dyDescent="0.25">
      <c r="A421">
        <v>9</v>
      </c>
      <c r="B421">
        <v>6</v>
      </c>
      <c r="C421">
        <v>3</v>
      </c>
      <c r="D421">
        <v>5</v>
      </c>
      <c r="E421" s="1" t="s">
        <v>55</v>
      </c>
      <c r="F421" s="1" t="s">
        <v>22</v>
      </c>
      <c r="G421" s="1" t="s">
        <v>23</v>
      </c>
      <c r="H421">
        <v>5</v>
      </c>
      <c r="I421">
        <v>4027</v>
      </c>
      <c r="J421" s="1" t="s">
        <v>36</v>
      </c>
      <c r="K421">
        <v>5</v>
      </c>
      <c r="L421" s="1" t="s">
        <v>34</v>
      </c>
    </row>
    <row r="422" spans="1:12" x14ac:dyDescent="0.25">
      <c r="A422">
        <v>5</v>
      </c>
      <c r="B422">
        <v>4</v>
      </c>
      <c r="C422">
        <v>3</v>
      </c>
      <c r="D422">
        <v>5</v>
      </c>
      <c r="E422" s="1" t="s">
        <v>31</v>
      </c>
      <c r="F422" s="1" t="s">
        <v>22</v>
      </c>
      <c r="G422" s="1" t="s">
        <v>24</v>
      </c>
      <c r="H422">
        <v>3</v>
      </c>
      <c r="I422">
        <v>716</v>
      </c>
      <c r="J422" s="1" t="s">
        <v>26</v>
      </c>
      <c r="K422">
        <v>8</v>
      </c>
      <c r="L422" s="1" t="s">
        <v>53</v>
      </c>
    </row>
    <row r="423" spans="1:12" x14ac:dyDescent="0.25">
      <c r="A423">
        <v>4</v>
      </c>
      <c r="B423">
        <v>4</v>
      </c>
      <c r="C423">
        <v>3</v>
      </c>
      <c r="D423">
        <v>2</v>
      </c>
      <c r="E423" s="1" t="s">
        <v>21</v>
      </c>
      <c r="F423" s="1" t="s">
        <v>41</v>
      </c>
      <c r="G423" s="1" t="s">
        <v>23</v>
      </c>
      <c r="H423">
        <v>3</v>
      </c>
      <c r="I423">
        <v>3773</v>
      </c>
      <c r="J423" s="1" t="s">
        <v>26</v>
      </c>
      <c r="K423">
        <v>5</v>
      </c>
      <c r="L423" s="1" t="s">
        <v>53</v>
      </c>
    </row>
    <row r="424" spans="1:12" x14ac:dyDescent="0.25">
      <c r="A424">
        <v>13</v>
      </c>
      <c r="B424">
        <v>3</v>
      </c>
      <c r="C424">
        <v>3</v>
      </c>
      <c r="D424">
        <v>2</v>
      </c>
      <c r="E424" s="1" t="s">
        <v>55</v>
      </c>
      <c r="F424" s="1" t="s">
        <v>41</v>
      </c>
      <c r="G424" s="1" t="s">
        <v>23</v>
      </c>
      <c r="H424">
        <v>4</v>
      </c>
      <c r="I424">
        <v>3003</v>
      </c>
      <c r="J424" s="1" t="s">
        <v>26</v>
      </c>
      <c r="K424">
        <v>1</v>
      </c>
      <c r="L424" s="1" t="s">
        <v>53</v>
      </c>
    </row>
    <row r="425" spans="1:12" x14ac:dyDescent="0.25">
      <c r="A425">
        <v>12</v>
      </c>
      <c r="B425">
        <v>3</v>
      </c>
      <c r="C425">
        <v>3</v>
      </c>
      <c r="D425">
        <v>5</v>
      </c>
      <c r="E425" s="1" t="s">
        <v>21</v>
      </c>
      <c r="F425" s="1" t="s">
        <v>32</v>
      </c>
      <c r="G425" s="1" t="s">
        <v>24</v>
      </c>
      <c r="H425">
        <v>4</v>
      </c>
      <c r="I425">
        <v>1467</v>
      </c>
      <c r="J425" s="1" t="s">
        <v>36</v>
      </c>
      <c r="K425">
        <v>4</v>
      </c>
      <c r="L425" s="1" t="s">
        <v>28</v>
      </c>
    </row>
    <row r="426" spans="1:12" x14ac:dyDescent="0.25">
      <c r="A426">
        <v>8</v>
      </c>
      <c r="B426">
        <v>3</v>
      </c>
      <c r="C426">
        <v>3</v>
      </c>
      <c r="D426">
        <v>5</v>
      </c>
      <c r="E426" s="1" t="s">
        <v>21</v>
      </c>
      <c r="F426" s="1" t="s">
        <v>41</v>
      </c>
      <c r="G426" s="1" t="s">
        <v>23</v>
      </c>
      <c r="H426">
        <v>3</v>
      </c>
      <c r="I426">
        <v>315</v>
      </c>
      <c r="J426" s="1" t="s">
        <v>26</v>
      </c>
      <c r="K426">
        <v>3</v>
      </c>
      <c r="L426" s="1" t="s">
        <v>28</v>
      </c>
    </row>
    <row r="427" spans="1:12" x14ac:dyDescent="0.25">
      <c r="A427">
        <v>4</v>
      </c>
      <c r="B427">
        <v>3</v>
      </c>
      <c r="C427">
        <v>3</v>
      </c>
      <c r="D427">
        <v>1</v>
      </c>
      <c r="E427" s="1" t="s">
        <v>55</v>
      </c>
      <c r="F427" s="1" t="s">
        <v>41</v>
      </c>
      <c r="G427" s="1" t="s">
        <v>23</v>
      </c>
      <c r="H427">
        <v>3</v>
      </c>
      <c r="I427">
        <v>3773</v>
      </c>
      <c r="J427" s="1" t="s">
        <v>49</v>
      </c>
      <c r="K427">
        <v>3</v>
      </c>
      <c r="L427" s="1" t="s">
        <v>58</v>
      </c>
    </row>
    <row r="428" spans="1:12" x14ac:dyDescent="0.25">
      <c r="A428">
        <v>3</v>
      </c>
      <c r="B428">
        <v>3</v>
      </c>
      <c r="C428">
        <v>3</v>
      </c>
      <c r="D428">
        <v>3</v>
      </c>
      <c r="E428" s="1" t="s">
        <v>55</v>
      </c>
      <c r="F428" s="1" t="s">
        <v>32</v>
      </c>
      <c r="G428" s="1" t="s">
        <v>23</v>
      </c>
      <c r="H428">
        <v>3</v>
      </c>
      <c r="I428">
        <v>3981</v>
      </c>
      <c r="J428" s="1" t="s">
        <v>36</v>
      </c>
      <c r="K428">
        <v>4</v>
      </c>
      <c r="L428" s="1" t="s">
        <v>34</v>
      </c>
    </row>
    <row r="429" spans="1:12" x14ac:dyDescent="0.25">
      <c r="A429">
        <v>3</v>
      </c>
      <c r="B429">
        <v>3</v>
      </c>
      <c r="C429">
        <v>3</v>
      </c>
      <c r="D429">
        <v>5</v>
      </c>
      <c r="E429" s="1" t="s">
        <v>21</v>
      </c>
      <c r="F429" s="1" t="s">
        <v>32</v>
      </c>
      <c r="G429" s="1" t="s">
        <v>23</v>
      </c>
      <c r="H429">
        <v>3</v>
      </c>
      <c r="I429">
        <v>315</v>
      </c>
      <c r="J429" s="1" t="s">
        <v>26</v>
      </c>
      <c r="K429">
        <v>2</v>
      </c>
      <c r="L429" s="1" t="s">
        <v>51</v>
      </c>
    </row>
    <row r="430" spans="1:12" x14ac:dyDescent="0.25">
      <c r="A430">
        <v>1</v>
      </c>
      <c r="B430">
        <v>0</v>
      </c>
      <c r="C430">
        <v>3</v>
      </c>
      <c r="D430">
        <v>2</v>
      </c>
      <c r="E430" s="1" t="s">
        <v>31</v>
      </c>
      <c r="F430" s="1" t="s">
        <v>32</v>
      </c>
      <c r="G430" s="1" t="s">
        <v>24</v>
      </c>
      <c r="H430">
        <v>3</v>
      </c>
      <c r="I430">
        <v>716</v>
      </c>
      <c r="J430" s="1" t="s">
        <v>44</v>
      </c>
      <c r="K430">
        <v>0</v>
      </c>
      <c r="L430" s="1" t="s">
        <v>28</v>
      </c>
    </row>
    <row r="431" spans="1:12" x14ac:dyDescent="0.25">
      <c r="A431">
        <v>11</v>
      </c>
      <c r="B431">
        <v>8</v>
      </c>
      <c r="C431">
        <v>2</v>
      </c>
      <c r="D431">
        <v>4</v>
      </c>
      <c r="E431" s="1" t="s">
        <v>46</v>
      </c>
      <c r="F431" s="1" t="s">
        <v>38</v>
      </c>
      <c r="G431" s="1" t="s">
        <v>23</v>
      </c>
      <c r="H431">
        <v>5</v>
      </c>
      <c r="I431">
        <v>3933</v>
      </c>
      <c r="J431" s="1" t="s">
        <v>26</v>
      </c>
      <c r="K431">
        <v>0</v>
      </c>
      <c r="L431" s="1" t="s">
        <v>58</v>
      </c>
    </row>
    <row r="432" spans="1:12" x14ac:dyDescent="0.25">
      <c r="A432">
        <v>23</v>
      </c>
      <c r="B432">
        <v>7</v>
      </c>
      <c r="C432">
        <v>2</v>
      </c>
      <c r="D432">
        <v>4</v>
      </c>
      <c r="E432" s="1" t="s">
        <v>21</v>
      </c>
      <c r="F432" s="1" t="s">
        <v>32</v>
      </c>
      <c r="G432" s="1" t="s">
        <v>23</v>
      </c>
      <c r="H432">
        <v>5</v>
      </c>
      <c r="I432">
        <v>3348</v>
      </c>
      <c r="J432" s="1" t="s">
        <v>26</v>
      </c>
      <c r="K432">
        <v>3</v>
      </c>
      <c r="L432" s="1" t="s">
        <v>30</v>
      </c>
    </row>
    <row r="433" spans="1:12" x14ac:dyDescent="0.25">
      <c r="A433">
        <v>10</v>
      </c>
      <c r="B433">
        <v>5</v>
      </c>
      <c r="C433">
        <v>2</v>
      </c>
      <c r="D433">
        <v>4</v>
      </c>
      <c r="E433" s="1" t="s">
        <v>55</v>
      </c>
      <c r="F433" s="1" t="s">
        <v>41</v>
      </c>
      <c r="G433" s="1" t="s">
        <v>23</v>
      </c>
      <c r="H433">
        <v>3</v>
      </c>
      <c r="I433">
        <v>3773</v>
      </c>
      <c r="J433" s="1" t="s">
        <v>36</v>
      </c>
      <c r="K433">
        <v>7</v>
      </c>
      <c r="L433" s="1" t="s">
        <v>34</v>
      </c>
    </row>
    <row r="434" spans="1:12" x14ac:dyDescent="0.25">
      <c r="A434">
        <v>5</v>
      </c>
      <c r="B434">
        <v>5</v>
      </c>
      <c r="C434">
        <v>2</v>
      </c>
      <c r="D434">
        <v>4</v>
      </c>
      <c r="E434" s="1" t="s">
        <v>31</v>
      </c>
      <c r="F434" s="1" t="s">
        <v>38</v>
      </c>
      <c r="G434" s="1" t="s">
        <v>23</v>
      </c>
      <c r="H434">
        <v>3</v>
      </c>
      <c r="I434">
        <v>3773</v>
      </c>
      <c r="J434" s="1" t="s">
        <v>26</v>
      </c>
      <c r="K434">
        <v>7</v>
      </c>
      <c r="L434" s="1" t="s">
        <v>40</v>
      </c>
    </row>
    <row r="435" spans="1:12" x14ac:dyDescent="0.25">
      <c r="A435">
        <v>4</v>
      </c>
      <c r="B435">
        <v>4</v>
      </c>
      <c r="C435">
        <v>2</v>
      </c>
      <c r="D435">
        <v>2</v>
      </c>
      <c r="E435" s="1" t="s">
        <v>21</v>
      </c>
      <c r="F435" s="1" t="s">
        <v>41</v>
      </c>
      <c r="G435" s="1" t="s">
        <v>23</v>
      </c>
      <c r="H435">
        <v>4</v>
      </c>
      <c r="I435">
        <v>2916</v>
      </c>
      <c r="J435" s="1" t="s">
        <v>26</v>
      </c>
      <c r="K435">
        <v>1</v>
      </c>
      <c r="L435" s="1" t="s">
        <v>51</v>
      </c>
    </row>
    <row r="436" spans="1:12" x14ac:dyDescent="0.25">
      <c r="A436">
        <v>13</v>
      </c>
      <c r="B436">
        <v>3</v>
      </c>
      <c r="C436">
        <v>2</v>
      </c>
      <c r="D436">
        <v>5</v>
      </c>
      <c r="E436" s="1" t="s">
        <v>55</v>
      </c>
      <c r="F436" s="1" t="s">
        <v>41</v>
      </c>
      <c r="G436" s="1" t="s">
        <v>23</v>
      </c>
      <c r="H436">
        <v>5</v>
      </c>
      <c r="I436">
        <v>3933</v>
      </c>
      <c r="J436" s="1" t="s">
        <v>36</v>
      </c>
      <c r="K436">
        <v>6</v>
      </c>
      <c r="L436" s="1" t="s">
        <v>40</v>
      </c>
    </row>
    <row r="437" spans="1:12" x14ac:dyDescent="0.25">
      <c r="A437">
        <v>5</v>
      </c>
      <c r="B437">
        <v>3</v>
      </c>
      <c r="C437">
        <v>2</v>
      </c>
      <c r="D437">
        <v>5</v>
      </c>
      <c r="E437" s="1" t="s">
        <v>55</v>
      </c>
      <c r="F437" s="1" t="s">
        <v>41</v>
      </c>
      <c r="G437" s="1" t="s">
        <v>24</v>
      </c>
      <c r="H437">
        <v>4</v>
      </c>
      <c r="I437">
        <v>1467</v>
      </c>
      <c r="J437" s="1" t="s">
        <v>49</v>
      </c>
      <c r="K437">
        <v>5</v>
      </c>
      <c r="L437" s="1" t="s">
        <v>51</v>
      </c>
    </row>
    <row r="438" spans="1:12" x14ac:dyDescent="0.25">
      <c r="A438">
        <v>4</v>
      </c>
      <c r="B438">
        <v>3</v>
      </c>
      <c r="C438">
        <v>2</v>
      </c>
      <c r="D438">
        <v>5</v>
      </c>
      <c r="E438" s="1" t="s">
        <v>21</v>
      </c>
      <c r="F438" s="1" t="s">
        <v>41</v>
      </c>
      <c r="G438" s="1" t="s">
        <v>23</v>
      </c>
      <c r="H438">
        <v>3.5</v>
      </c>
      <c r="I438">
        <v>1228</v>
      </c>
      <c r="J438" s="1" t="s">
        <v>26</v>
      </c>
      <c r="K438">
        <v>6</v>
      </c>
      <c r="L438" s="1" t="s">
        <v>30</v>
      </c>
    </row>
    <row r="439" spans="1:12" x14ac:dyDescent="0.25">
      <c r="A439">
        <v>4</v>
      </c>
      <c r="B439">
        <v>3</v>
      </c>
      <c r="C439">
        <v>2</v>
      </c>
      <c r="D439">
        <v>3</v>
      </c>
      <c r="E439" s="1" t="s">
        <v>31</v>
      </c>
      <c r="F439" s="1" t="s">
        <v>41</v>
      </c>
      <c r="G439" s="1" t="s">
        <v>23</v>
      </c>
      <c r="H439">
        <v>3</v>
      </c>
      <c r="I439">
        <v>3981</v>
      </c>
      <c r="J439" s="1" t="s">
        <v>49</v>
      </c>
      <c r="K439">
        <v>0</v>
      </c>
      <c r="L439" s="1" t="s">
        <v>30</v>
      </c>
    </row>
    <row r="440" spans="1:12" x14ac:dyDescent="0.25">
      <c r="A440">
        <v>3</v>
      </c>
      <c r="B440">
        <v>3</v>
      </c>
      <c r="C440">
        <v>2</v>
      </c>
      <c r="D440">
        <v>4</v>
      </c>
      <c r="E440" s="1" t="s">
        <v>46</v>
      </c>
      <c r="F440" s="1" t="s">
        <v>41</v>
      </c>
      <c r="G440" s="1" t="s">
        <v>23</v>
      </c>
      <c r="H440">
        <v>5</v>
      </c>
      <c r="I440">
        <v>1282</v>
      </c>
      <c r="J440" s="1" t="s">
        <v>44</v>
      </c>
      <c r="K440">
        <v>4</v>
      </c>
      <c r="L440" s="1" t="s">
        <v>53</v>
      </c>
    </row>
    <row r="441" spans="1:12" x14ac:dyDescent="0.25">
      <c r="A441">
        <v>3</v>
      </c>
      <c r="B441">
        <v>3</v>
      </c>
      <c r="C441">
        <v>2</v>
      </c>
      <c r="D441">
        <v>3</v>
      </c>
      <c r="E441" s="1" t="s">
        <v>46</v>
      </c>
      <c r="F441" s="1" t="s">
        <v>29</v>
      </c>
      <c r="G441" s="1" t="s">
        <v>24</v>
      </c>
      <c r="H441">
        <v>3</v>
      </c>
      <c r="I441">
        <v>716</v>
      </c>
      <c r="J441" s="1" t="s">
        <v>26</v>
      </c>
      <c r="K441">
        <v>0</v>
      </c>
      <c r="L441" s="1" t="s">
        <v>51</v>
      </c>
    </row>
    <row r="442" spans="1:12" x14ac:dyDescent="0.25">
      <c r="A442">
        <v>2</v>
      </c>
      <c r="B442">
        <v>0</v>
      </c>
      <c r="C442">
        <v>2</v>
      </c>
      <c r="D442">
        <v>4</v>
      </c>
      <c r="E442" s="1" t="s">
        <v>21</v>
      </c>
      <c r="F442" s="1" t="s">
        <v>29</v>
      </c>
      <c r="G442" s="1" t="s">
        <v>23</v>
      </c>
      <c r="H442">
        <v>4.5</v>
      </c>
      <c r="I442">
        <v>188</v>
      </c>
      <c r="J442" s="1" t="s">
        <v>26</v>
      </c>
      <c r="K442">
        <v>1</v>
      </c>
      <c r="L442" s="1" t="s">
        <v>34</v>
      </c>
    </row>
    <row r="443" spans="1:12" x14ac:dyDescent="0.25">
      <c r="A443">
        <v>2</v>
      </c>
      <c r="B443">
        <v>0</v>
      </c>
      <c r="C443">
        <v>2</v>
      </c>
      <c r="D443">
        <v>5</v>
      </c>
      <c r="E443" s="1" t="s">
        <v>46</v>
      </c>
      <c r="F443" s="1" t="s">
        <v>22</v>
      </c>
      <c r="G443" s="1" t="s">
        <v>23</v>
      </c>
      <c r="H443">
        <v>4.5</v>
      </c>
      <c r="I443">
        <v>188</v>
      </c>
      <c r="J443" s="1" t="s">
        <v>26</v>
      </c>
      <c r="K443">
        <v>0</v>
      </c>
      <c r="L443" s="1" t="s">
        <v>51</v>
      </c>
    </row>
    <row r="444" spans="1:12" x14ac:dyDescent="0.25">
      <c r="A444">
        <v>1</v>
      </c>
      <c r="B444">
        <v>0</v>
      </c>
      <c r="C444">
        <v>2</v>
      </c>
      <c r="D444">
        <v>5</v>
      </c>
      <c r="E444" s="1" t="s">
        <v>21</v>
      </c>
      <c r="F444" s="1" t="s">
        <v>32</v>
      </c>
      <c r="G444" s="1" t="s">
        <v>23</v>
      </c>
      <c r="H444">
        <v>5</v>
      </c>
      <c r="I444">
        <v>1282</v>
      </c>
      <c r="J444" s="1" t="s">
        <v>26</v>
      </c>
      <c r="K444">
        <v>0</v>
      </c>
      <c r="L444" s="1" t="s">
        <v>40</v>
      </c>
    </row>
    <row r="445" spans="1:12" x14ac:dyDescent="0.25">
      <c r="A445">
        <v>1</v>
      </c>
      <c r="B445">
        <v>0</v>
      </c>
      <c r="C445">
        <v>2</v>
      </c>
      <c r="D445">
        <v>5</v>
      </c>
      <c r="E445" s="1" t="s">
        <v>21</v>
      </c>
      <c r="F445" s="1" t="s">
        <v>41</v>
      </c>
      <c r="G445" s="1" t="s">
        <v>23</v>
      </c>
      <c r="H445">
        <v>5</v>
      </c>
      <c r="I445">
        <v>4027</v>
      </c>
      <c r="J445" s="1" t="s">
        <v>26</v>
      </c>
      <c r="K445">
        <v>0</v>
      </c>
      <c r="L445" s="1" t="s">
        <v>53</v>
      </c>
    </row>
    <row r="446" spans="1:12" x14ac:dyDescent="0.25">
      <c r="A446">
        <v>1</v>
      </c>
      <c r="B446">
        <v>0</v>
      </c>
      <c r="C446">
        <v>2</v>
      </c>
      <c r="D446">
        <v>1</v>
      </c>
      <c r="E446" s="1" t="s">
        <v>55</v>
      </c>
      <c r="F446" s="1" t="s">
        <v>29</v>
      </c>
      <c r="G446" s="1" t="s">
        <v>23</v>
      </c>
      <c r="H446">
        <v>4</v>
      </c>
      <c r="I446">
        <v>3003</v>
      </c>
      <c r="J446" s="1" t="s">
        <v>44</v>
      </c>
      <c r="K446">
        <v>0</v>
      </c>
      <c r="L446" s="1" t="s">
        <v>51</v>
      </c>
    </row>
    <row r="447" spans="1:12" x14ac:dyDescent="0.25">
      <c r="A447">
        <v>26</v>
      </c>
      <c r="B447">
        <v>8</v>
      </c>
      <c r="C447">
        <v>1</v>
      </c>
      <c r="D447">
        <v>4</v>
      </c>
      <c r="E447" s="1" t="s">
        <v>46</v>
      </c>
      <c r="F447" s="1" t="s">
        <v>32</v>
      </c>
      <c r="G447" s="1" t="s">
        <v>23</v>
      </c>
      <c r="H447">
        <v>5</v>
      </c>
      <c r="I447">
        <v>1282</v>
      </c>
      <c r="J447" s="1" t="s">
        <v>26</v>
      </c>
      <c r="K447">
        <v>6</v>
      </c>
      <c r="L447" s="1" t="s">
        <v>58</v>
      </c>
    </row>
    <row r="448" spans="1:12" x14ac:dyDescent="0.25">
      <c r="A448">
        <v>9</v>
      </c>
      <c r="B448">
        <v>8</v>
      </c>
      <c r="C448">
        <v>1</v>
      </c>
      <c r="D448">
        <v>5</v>
      </c>
      <c r="E448" s="1" t="s">
        <v>46</v>
      </c>
      <c r="F448" s="1" t="s">
        <v>41</v>
      </c>
      <c r="G448" s="1" t="s">
        <v>23</v>
      </c>
      <c r="H448">
        <v>4</v>
      </c>
      <c r="I448">
        <v>826</v>
      </c>
      <c r="J448" s="1" t="s">
        <v>26</v>
      </c>
      <c r="K448">
        <v>6</v>
      </c>
      <c r="L448" s="1" t="s">
        <v>58</v>
      </c>
    </row>
    <row r="449" spans="1:12" x14ac:dyDescent="0.25">
      <c r="A449">
        <v>13</v>
      </c>
      <c r="B449">
        <v>7</v>
      </c>
      <c r="C449">
        <v>1</v>
      </c>
      <c r="D449">
        <v>5</v>
      </c>
      <c r="E449" s="1" t="s">
        <v>55</v>
      </c>
      <c r="F449" s="1" t="s">
        <v>29</v>
      </c>
      <c r="G449" s="1" t="s">
        <v>23</v>
      </c>
      <c r="H449">
        <v>3</v>
      </c>
      <c r="I449">
        <v>315</v>
      </c>
      <c r="J449" s="1" t="s">
        <v>26</v>
      </c>
      <c r="K449">
        <v>4</v>
      </c>
      <c r="L449" s="1" t="s">
        <v>53</v>
      </c>
    </row>
    <row r="450" spans="1:12" x14ac:dyDescent="0.25">
      <c r="A450">
        <v>12</v>
      </c>
      <c r="B450">
        <v>6</v>
      </c>
      <c r="C450">
        <v>1</v>
      </c>
      <c r="D450">
        <v>5</v>
      </c>
      <c r="E450" s="1" t="s">
        <v>21</v>
      </c>
      <c r="F450" s="1" t="s">
        <v>22</v>
      </c>
      <c r="G450" s="1" t="s">
        <v>24</v>
      </c>
      <c r="H450">
        <v>4</v>
      </c>
      <c r="I450">
        <v>1467</v>
      </c>
      <c r="J450" s="1" t="s">
        <v>26</v>
      </c>
      <c r="K450">
        <v>2</v>
      </c>
      <c r="L450" s="1" t="s">
        <v>53</v>
      </c>
    </row>
    <row r="451" spans="1:12" x14ac:dyDescent="0.25">
      <c r="A451">
        <v>12</v>
      </c>
      <c r="B451">
        <v>5</v>
      </c>
      <c r="C451">
        <v>1</v>
      </c>
      <c r="D451">
        <v>5</v>
      </c>
      <c r="E451" s="1" t="s">
        <v>55</v>
      </c>
      <c r="F451" s="1" t="s">
        <v>41</v>
      </c>
      <c r="G451" s="1" t="s">
        <v>23</v>
      </c>
      <c r="H451">
        <v>5</v>
      </c>
      <c r="I451">
        <v>2034</v>
      </c>
      <c r="J451" s="1" t="s">
        <v>26</v>
      </c>
      <c r="K451">
        <v>5</v>
      </c>
      <c r="L451" s="1" t="s">
        <v>30</v>
      </c>
    </row>
    <row r="452" spans="1:12" x14ac:dyDescent="0.25">
      <c r="A452">
        <v>12</v>
      </c>
      <c r="B452">
        <v>5</v>
      </c>
      <c r="C452">
        <v>1</v>
      </c>
      <c r="D452">
        <v>5</v>
      </c>
      <c r="E452" s="1" t="s">
        <v>31</v>
      </c>
      <c r="F452" s="1" t="s">
        <v>41</v>
      </c>
      <c r="G452" s="1" t="s">
        <v>23</v>
      </c>
      <c r="H452">
        <v>5</v>
      </c>
      <c r="I452">
        <v>2959</v>
      </c>
      <c r="J452" s="1" t="s">
        <v>26</v>
      </c>
      <c r="K452">
        <v>1</v>
      </c>
      <c r="L452" s="1" t="s">
        <v>58</v>
      </c>
    </row>
    <row r="453" spans="1:12" x14ac:dyDescent="0.25">
      <c r="A453">
        <v>13</v>
      </c>
      <c r="B453">
        <v>4</v>
      </c>
      <c r="C453">
        <v>1</v>
      </c>
      <c r="D453">
        <v>4</v>
      </c>
      <c r="E453" s="1" t="s">
        <v>21</v>
      </c>
      <c r="F453" s="1" t="s">
        <v>41</v>
      </c>
      <c r="G453" s="1" t="s">
        <v>23</v>
      </c>
      <c r="H453">
        <v>4.5</v>
      </c>
      <c r="I453">
        <v>188</v>
      </c>
      <c r="J453" s="1" t="s">
        <v>26</v>
      </c>
      <c r="K453">
        <v>2</v>
      </c>
      <c r="L453" s="1" t="s">
        <v>51</v>
      </c>
    </row>
    <row r="454" spans="1:12" x14ac:dyDescent="0.25">
      <c r="A454">
        <v>4</v>
      </c>
      <c r="B454">
        <v>4</v>
      </c>
      <c r="C454">
        <v>1</v>
      </c>
      <c r="D454">
        <v>3</v>
      </c>
      <c r="E454" s="1" t="s">
        <v>55</v>
      </c>
      <c r="F454" s="1" t="s">
        <v>32</v>
      </c>
      <c r="G454" s="1" t="s">
        <v>23</v>
      </c>
      <c r="H454">
        <v>3.5</v>
      </c>
      <c r="I454">
        <v>1228</v>
      </c>
      <c r="J454" s="1" t="s">
        <v>26</v>
      </c>
      <c r="K454">
        <v>0</v>
      </c>
      <c r="L454" s="1" t="s">
        <v>51</v>
      </c>
    </row>
    <row r="455" spans="1:12" x14ac:dyDescent="0.25">
      <c r="A455">
        <v>4</v>
      </c>
      <c r="B455">
        <v>4</v>
      </c>
      <c r="C455">
        <v>1</v>
      </c>
      <c r="D455">
        <v>4</v>
      </c>
      <c r="E455" s="1" t="s">
        <v>21</v>
      </c>
      <c r="F455" s="1" t="s">
        <v>29</v>
      </c>
      <c r="G455" s="1" t="s">
        <v>23</v>
      </c>
      <c r="H455">
        <v>5</v>
      </c>
      <c r="I455">
        <v>3933</v>
      </c>
      <c r="J455" s="1" t="s">
        <v>44</v>
      </c>
      <c r="K455">
        <v>1</v>
      </c>
      <c r="L455" s="1" t="s">
        <v>58</v>
      </c>
    </row>
    <row r="456" spans="1:12" x14ac:dyDescent="0.25">
      <c r="A456">
        <v>10</v>
      </c>
      <c r="B456">
        <v>3</v>
      </c>
      <c r="C456">
        <v>1</v>
      </c>
      <c r="D456">
        <v>5</v>
      </c>
      <c r="E456" s="1" t="s">
        <v>21</v>
      </c>
      <c r="F456" s="1" t="s">
        <v>29</v>
      </c>
      <c r="G456" s="1" t="s">
        <v>23</v>
      </c>
      <c r="H456">
        <v>3.5</v>
      </c>
      <c r="I456">
        <v>1228</v>
      </c>
      <c r="J456" s="1" t="s">
        <v>26</v>
      </c>
      <c r="K456">
        <v>4</v>
      </c>
      <c r="L456" s="1" t="s">
        <v>40</v>
      </c>
    </row>
    <row r="457" spans="1:12" x14ac:dyDescent="0.25">
      <c r="A457">
        <v>9</v>
      </c>
      <c r="B457">
        <v>3</v>
      </c>
      <c r="C457">
        <v>1</v>
      </c>
      <c r="D457">
        <v>4</v>
      </c>
      <c r="E457" s="1" t="s">
        <v>55</v>
      </c>
      <c r="F457" s="1" t="s">
        <v>32</v>
      </c>
      <c r="G457" s="1" t="s">
        <v>23</v>
      </c>
      <c r="H457">
        <v>3</v>
      </c>
      <c r="I457">
        <v>3773</v>
      </c>
      <c r="J457" s="1" t="s">
        <v>26</v>
      </c>
      <c r="K457">
        <v>2</v>
      </c>
      <c r="L457" s="1" t="s">
        <v>34</v>
      </c>
    </row>
    <row r="458" spans="1:12" x14ac:dyDescent="0.25">
      <c r="A458">
        <v>4</v>
      </c>
      <c r="B458">
        <v>3</v>
      </c>
      <c r="C458">
        <v>1</v>
      </c>
      <c r="D458">
        <v>5</v>
      </c>
      <c r="E458" s="1" t="s">
        <v>55</v>
      </c>
      <c r="F458" s="1" t="s">
        <v>41</v>
      </c>
      <c r="G458" s="1" t="s">
        <v>24</v>
      </c>
      <c r="H458">
        <v>4</v>
      </c>
      <c r="I458">
        <v>2884</v>
      </c>
      <c r="J458" s="1" t="s">
        <v>44</v>
      </c>
      <c r="K458">
        <v>7</v>
      </c>
      <c r="L458" s="1" t="s">
        <v>30</v>
      </c>
    </row>
    <row r="459" spans="1:12" x14ac:dyDescent="0.25">
      <c r="A459">
        <v>2</v>
      </c>
      <c r="B459">
        <v>1</v>
      </c>
      <c r="C459">
        <v>1</v>
      </c>
      <c r="D459">
        <v>3</v>
      </c>
      <c r="E459" s="1" t="s">
        <v>31</v>
      </c>
      <c r="F459" s="1" t="s">
        <v>32</v>
      </c>
      <c r="G459" s="1" t="s">
        <v>23</v>
      </c>
      <c r="H459">
        <v>3</v>
      </c>
      <c r="I459">
        <v>315</v>
      </c>
      <c r="J459" s="1" t="s">
        <v>26</v>
      </c>
      <c r="K459">
        <v>3</v>
      </c>
      <c r="L459" s="1" t="s">
        <v>40</v>
      </c>
    </row>
    <row r="460" spans="1:12" x14ac:dyDescent="0.25">
      <c r="A460">
        <v>3</v>
      </c>
      <c r="B460">
        <v>0</v>
      </c>
      <c r="C460">
        <v>1</v>
      </c>
      <c r="D460">
        <v>5</v>
      </c>
      <c r="E460" s="1" t="s">
        <v>31</v>
      </c>
      <c r="F460" s="1" t="s">
        <v>41</v>
      </c>
      <c r="G460" s="1" t="s">
        <v>23</v>
      </c>
      <c r="H460">
        <v>4.5</v>
      </c>
      <c r="I460">
        <v>188</v>
      </c>
      <c r="J460" s="1" t="s">
        <v>26</v>
      </c>
      <c r="K460">
        <v>1</v>
      </c>
      <c r="L460" s="1" t="s">
        <v>40</v>
      </c>
    </row>
    <row r="461" spans="1:12" x14ac:dyDescent="0.25">
      <c r="A461">
        <v>2</v>
      </c>
      <c r="B461">
        <v>0</v>
      </c>
      <c r="C461">
        <v>1</v>
      </c>
      <c r="D461">
        <v>5</v>
      </c>
      <c r="E461" s="1" t="s">
        <v>46</v>
      </c>
      <c r="F461" s="1" t="s">
        <v>41</v>
      </c>
      <c r="G461" s="1" t="s">
        <v>23</v>
      </c>
      <c r="H461">
        <v>4.5</v>
      </c>
      <c r="I461">
        <v>188</v>
      </c>
      <c r="J461" s="1" t="s">
        <v>26</v>
      </c>
      <c r="K461">
        <v>0</v>
      </c>
      <c r="L461" s="1" t="s">
        <v>51</v>
      </c>
    </row>
    <row r="462" spans="1:12" x14ac:dyDescent="0.25">
      <c r="A462">
        <v>1</v>
      </c>
      <c r="B462">
        <v>0</v>
      </c>
      <c r="C462">
        <v>1</v>
      </c>
      <c r="D462">
        <v>5</v>
      </c>
      <c r="E462" s="1" t="s">
        <v>31</v>
      </c>
      <c r="F462" s="1" t="s">
        <v>41</v>
      </c>
      <c r="G462" s="1" t="s">
        <v>23</v>
      </c>
      <c r="H462">
        <v>5</v>
      </c>
      <c r="I462">
        <v>1282</v>
      </c>
      <c r="J462" s="1" t="s">
        <v>26</v>
      </c>
      <c r="K462">
        <v>0</v>
      </c>
      <c r="L462" s="1" t="s">
        <v>51</v>
      </c>
    </row>
    <row r="463" spans="1:12" x14ac:dyDescent="0.25">
      <c r="A463">
        <v>1</v>
      </c>
      <c r="B463">
        <v>0</v>
      </c>
      <c r="C463">
        <v>1</v>
      </c>
      <c r="D463">
        <v>2</v>
      </c>
      <c r="E463" s="1" t="s">
        <v>55</v>
      </c>
      <c r="F463" s="1" t="s">
        <v>41</v>
      </c>
      <c r="G463" s="1" t="s">
        <v>23</v>
      </c>
      <c r="H463">
        <v>5</v>
      </c>
      <c r="I463">
        <v>1282</v>
      </c>
      <c r="J463" s="1" t="s">
        <v>36</v>
      </c>
      <c r="K463">
        <v>0</v>
      </c>
      <c r="L463" s="1" t="s">
        <v>51</v>
      </c>
    </row>
    <row r="464" spans="1:12" x14ac:dyDescent="0.25">
      <c r="A464">
        <v>8</v>
      </c>
      <c r="B464">
        <v>4</v>
      </c>
      <c r="C464">
        <v>0</v>
      </c>
      <c r="D464">
        <v>4</v>
      </c>
      <c r="E464" s="1" t="s">
        <v>31</v>
      </c>
      <c r="F464" s="1" t="s">
        <v>41</v>
      </c>
      <c r="G464" s="1" t="s">
        <v>24</v>
      </c>
      <c r="H464">
        <v>4</v>
      </c>
      <c r="I464">
        <v>1467</v>
      </c>
      <c r="J464" s="1" t="s">
        <v>49</v>
      </c>
      <c r="K464">
        <v>1</v>
      </c>
      <c r="L464" s="1" t="s">
        <v>40</v>
      </c>
    </row>
    <row r="465" spans="1:12" x14ac:dyDescent="0.25">
      <c r="A465">
        <v>4</v>
      </c>
      <c r="B465">
        <v>4</v>
      </c>
      <c r="C465">
        <v>0</v>
      </c>
      <c r="D465">
        <v>5</v>
      </c>
      <c r="E465" s="1" t="s">
        <v>21</v>
      </c>
      <c r="F465" s="1" t="s">
        <v>41</v>
      </c>
      <c r="G465" s="1" t="s">
        <v>23</v>
      </c>
      <c r="H465">
        <v>4.5</v>
      </c>
      <c r="I465">
        <v>188</v>
      </c>
      <c r="J465" s="1" t="s">
        <v>26</v>
      </c>
      <c r="K465">
        <v>2</v>
      </c>
      <c r="L465" s="1" t="s">
        <v>58</v>
      </c>
    </row>
    <row r="466" spans="1:12" x14ac:dyDescent="0.25">
      <c r="A466">
        <v>3</v>
      </c>
      <c r="B466">
        <v>3</v>
      </c>
      <c r="C466">
        <v>0</v>
      </c>
      <c r="D466">
        <v>4</v>
      </c>
      <c r="E466" s="1" t="s">
        <v>46</v>
      </c>
      <c r="F466" s="1" t="s">
        <v>22</v>
      </c>
      <c r="G466" s="1" t="s">
        <v>23</v>
      </c>
      <c r="H466">
        <v>5</v>
      </c>
      <c r="I466">
        <v>2959</v>
      </c>
      <c r="J466" s="1" t="s">
        <v>49</v>
      </c>
      <c r="K466">
        <v>7</v>
      </c>
      <c r="L466" s="1" t="s">
        <v>40</v>
      </c>
    </row>
    <row r="467" spans="1:12" x14ac:dyDescent="0.25">
      <c r="A467">
        <v>3</v>
      </c>
      <c r="B467">
        <v>3</v>
      </c>
      <c r="C467">
        <v>0</v>
      </c>
      <c r="D467">
        <v>3</v>
      </c>
      <c r="E467" s="1" t="s">
        <v>46</v>
      </c>
      <c r="F467" s="1" t="s">
        <v>22</v>
      </c>
      <c r="G467" s="1" t="s">
        <v>23</v>
      </c>
      <c r="H467">
        <v>3</v>
      </c>
      <c r="I467">
        <v>3773</v>
      </c>
      <c r="J467" s="1" t="s">
        <v>36</v>
      </c>
      <c r="K467">
        <v>1</v>
      </c>
      <c r="L467" s="1" t="s">
        <v>53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3DFE1-22FF-4CA9-8929-2B8DBD614482}">
  <sheetPr codeName="Sheet3">
    <tabColor theme="1" tint="0.34998626667073579"/>
  </sheetPr>
  <dimension ref="A1:AA27"/>
  <sheetViews>
    <sheetView zoomScale="70" zoomScaleNormal="70" workbookViewId="0">
      <selection activeCell="F29" sqref="F29"/>
    </sheetView>
  </sheetViews>
  <sheetFormatPr defaultColWidth="8.85546875" defaultRowHeight="15" x14ac:dyDescent="0.25"/>
  <cols>
    <col min="1" max="1" width="21.85546875" customWidth="1"/>
    <col min="26" max="26" width="31.42578125" bestFit="1" customWidth="1"/>
  </cols>
  <sheetData>
    <row r="1" spans="1:27" x14ac:dyDescent="0.25">
      <c r="A1" s="4"/>
      <c r="B1" s="4" t="s">
        <v>1</v>
      </c>
      <c r="C1" s="4" t="s">
        <v>2</v>
      </c>
      <c r="D1" s="4" t="s">
        <v>3</v>
      </c>
      <c r="E1" s="4" t="s">
        <v>4</v>
      </c>
      <c r="F1" s="4" t="s">
        <v>15</v>
      </c>
      <c r="G1" s="4" t="s">
        <v>17</v>
      </c>
      <c r="H1" s="4" t="s">
        <v>125</v>
      </c>
      <c r="I1" s="4" t="s">
        <v>126</v>
      </c>
      <c r="J1" s="4" t="s">
        <v>127</v>
      </c>
      <c r="K1" s="4" t="s">
        <v>128</v>
      </c>
      <c r="L1" s="4" t="s">
        <v>129</v>
      </c>
      <c r="M1" s="4" t="s">
        <v>130</v>
      </c>
      <c r="N1" s="4" t="s">
        <v>131</v>
      </c>
      <c r="O1" s="4" t="s">
        <v>132</v>
      </c>
      <c r="P1" s="4" t="s">
        <v>133</v>
      </c>
      <c r="Q1" s="4" t="s">
        <v>134</v>
      </c>
      <c r="R1" s="4" t="s">
        <v>135</v>
      </c>
      <c r="S1" s="4" t="s">
        <v>136</v>
      </c>
      <c r="T1" s="4" t="s">
        <v>137</v>
      </c>
      <c r="U1" s="4" t="s">
        <v>138</v>
      </c>
      <c r="V1" s="4" t="s">
        <v>139</v>
      </c>
      <c r="W1" s="4" t="s">
        <v>140</v>
      </c>
      <c r="X1" s="4" t="s">
        <v>141</v>
      </c>
      <c r="Y1" s="4" t="s">
        <v>142</v>
      </c>
      <c r="Z1" s="4" t="s">
        <v>144</v>
      </c>
      <c r="AA1" s="4" t="s">
        <v>143</v>
      </c>
    </row>
    <row r="2" spans="1:27" x14ac:dyDescent="0.25">
      <c r="A2" s="2" t="s">
        <v>1</v>
      </c>
      <c r="B2" s="2">
        <v>1</v>
      </c>
      <c r="C2" s="2"/>
      <c r="D2" s="2"/>
      <c r="E2" s="2"/>
      <c r="F2" s="2"/>
      <c r="G2" s="2"/>
      <c r="H2" s="2"/>
      <c r="I2" s="2"/>
      <c r="J2" s="2"/>
      <c r="K2" s="2"/>
      <c r="L2" s="2"/>
      <c r="M2" s="2"/>
      <c r="N2" s="2"/>
      <c r="O2" s="2"/>
      <c r="P2" s="2"/>
      <c r="Q2" s="2"/>
      <c r="R2" s="2"/>
      <c r="S2" s="2"/>
      <c r="T2" s="2"/>
      <c r="U2" s="2"/>
      <c r="V2" s="2"/>
      <c r="W2" s="2"/>
      <c r="X2" s="2"/>
      <c r="Y2" s="2"/>
      <c r="Z2" s="2"/>
      <c r="AA2" s="2"/>
    </row>
    <row r="3" spans="1:27" x14ac:dyDescent="0.25">
      <c r="A3" s="2" t="s">
        <v>2</v>
      </c>
      <c r="B3" s="2">
        <v>0.71131611027532493</v>
      </c>
      <c r="C3" s="2">
        <v>1</v>
      </c>
      <c r="D3" s="2"/>
      <c r="E3" s="2"/>
      <c r="F3" s="2"/>
      <c r="G3" s="2"/>
      <c r="H3" s="2"/>
      <c r="I3" s="2"/>
      <c r="J3" s="2"/>
      <c r="K3" s="2"/>
      <c r="L3" s="2"/>
      <c r="M3" s="2"/>
      <c r="N3" s="2"/>
      <c r="O3" s="2"/>
      <c r="P3" s="2"/>
      <c r="Q3" s="2"/>
      <c r="R3" s="2"/>
      <c r="S3" s="2"/>
      <c r="T3" s="2"/>
      <c r="U3" s="2"/>
      <c r="V3" s="2"/>
      <c r="W3" s="2"/>
      <c r="X3" s="2"/>
      <c r="Y3" s="2"/>
      <c r="Z3" s="2"/>
      <c r="AA3" s="2"/>
    </row>
    <row r="4" spans="1:27" x14ac:dyDescent="0.25">
      <c r="A4" s="2" t="s">
        <v>3</v>
      </c>
      <c r="B4" s="2">
        <v>0.69594365874519781</v>
      </c>
      <c r="C4" s="2">
        <v>0.67258551955553636</v>
      </c>
      <c r="D4" s="2">
        <v>1</v>
      </c>
      <c r="E4" s="2"/>
      <c r="F4" s="2"/>
      <c r="G4" s="2"/>
      <c r="H4" s="2"/>
      <c r="I4" s="2"/>
      <c r="J4" s="2"/>
      <c r="K4" s="2"/>
      <c r="L4" s="2"/>
      <c r="M4" s="2"/>
      <c r="N4" s="2"/>
      <c r="O4" s="2"/>
      <c r="P4" s="2"/>
      <c r="Q4" s="2"/>
      <c r="R4" s="2"/>
      <c r="S4" s="2"/>
      <c r="T4" s="2"/>
      <c r="U4" s="2"/>
      <c r="V4" s="2"/>
      <c r="W4" s="2"/>
      <c r="X4" s="2"/>
      <c r="Y4" s="2"/>
      <c r="Z4" s="2"/>
      <c r="AA4" s="2"/>
    </row>
    <row r="5" spans="1:27" x14ac:dyDescent="0.25">
      <c r="A5" s="2" t="s">
        <v>4</v>
      </c>
      <c r="B5" s="2">
        <v>4.9670620267944721E-2</v>
      </c>
      <c r="C5" s="2">
        <v>2.0698402277160122E-2</v>
      </c>
      <c r="D5" s="2">
        <v>3.2504506312438008E-2</v>
      </c>
      <c r="E5" s="2">
        <v>1</v>
      </c>
      <c r="F5" s="2"/>
      <c r="G5" s="2"/>
      <c r="H5" s="2"/>
      <c r="I5" s="2"/>
      <c r="J5" s="2"/>
      <c r="K5" s="2"/>
      <c r="L5" s="2"/>
      <c r="M5" s="2"/>
      <c r="N5" s="2"/>
      <c r="O5" s="2"/>
      <c r="P5" s="2"/>
      <c r="Q5" s="2"/>
      <c r="R5" s="2"/>
      <c r="S5" s="2"/>
      <c r="T5" s="2"/>
      <c r="U5" s="2"/>
      <c r="V5" s="2"/>
      <c r="W5" s="2"/>
      <c r="X5" s="2"/>
      <c r="Y5" s="2"/>
      <c r="Z5" s="2"/>
      <c r="AA5" s="2"/>
    </row>
    <row r="6" spans="1:27" x14ac:dyDescent="0.25">
      <c r="A6" s="2" t="s">
        <v>15</v>
      </c>
      <c r="B6" s="2">
        <v>-8.4973760441948529E-2</v>
      </c>
      <c r="C6" s="2">
        <v>-9.4533786578549106E-2</v>
      </c>
      <c r="D6" s="2">
        <v>-1.6736849214634097E-2</v>
      </c>
      <c r="E6" s="2">
        <v>-7.7356053268805111E-2</v>
      </c>
      <c r="F6" s="2">
        <v>1</v>
      </c>
      <c r="G6" s="2"/>
      <c r="H6" s="2"/>
      <c r="I6" s="2"/>
      <c r="J6" s="2"/>
      <c r="K6" s="2"/>
      <c r="L6" s="2"/>
      <c r="M6" s="2"/>
      <c r="N6" s="2"/>
      <c r="O6" s="2"/>
      <c r="P6" s="2"/>
      <c r="Q6" s="2"/>
      <c r="R6" s="2"/>
      <c r="S6" s="2"/>
      <c r="T6" s="2"/>
      <c r="U6" s="2"/>
      <c r="V6" s="2"/>
      <c r="W6" s="2"/>
      <c r="X6" s="2"/>
      <c r="Y6" s="2"/>
      <c r="Z6" s="2"/>
      <c r="AA6" s="2"/>
    </row>
    <row r="7" spans="1:27" x14ac:dyDescent="0.25">
      <c r="A7" s="2" t="s">
        <v>17</v>
      </c>
      <c r="B7" s="2">
        <v>0.12981746835546634</v>
      </c>
      <c r="C7" s="2">
        <v>0.28869652812225927</v>
      </c>
      <c r="D7" s="2">
        <v>0.29065173945846884</v>
      </c>
      <c r="E7" s="2">
        <v>5.1771410135776318E-2</v>
      </c>
      <c r="F7" s="2">
        <v>6.2404653771004756E-3</v>
      </c>
      <c r="G7" s="2">
        <v>1</v>
      </c>
      <c r="H7" s="2"/>
      <c r="I7" s="2"/>
      <c r="J7" s="2"/>
      <c r="K7" s="2"/>
      <c r="L7" s="2"/>
      <c r="M7" s="2"/>
      <c r="N7" s="2"/>
      <c r="O7" s="2"/>
      <c r="P7" s="2"/>
      <c r="Q7" s="2"/>
      <c r="R7" s="2"/>
      <c r="S7" s="2"/>
      <c r="T7" s="2"/>
      <c r="U7" s="2"/>
      <c r="V7" s="2"/>
      <c r="W7" s="2"/>
      <c r="X7" s="2"/>
      <c r="Y7" s="2"/>
      <c r="Z7" s="2"/>
      <c r="AA7" s="2"/>
    </row>
    <row r="8" spans="1:27" x14ac:dyDescent="0.25">
      <c r="A8" s="2" t="s">
        <v>125</v>
      </c>
      <c r="B8" s="2">
        <v>2.0022479318369188E-2</v>
      </c>
      <c r="C8" s="2">
        <v>1.8155937734108889E-2</v>
      </c>
      <c r="D8" s="2">
        <v>4.2713775642428564E-2</v>
      </c>
      <c r="E8" s="2">
        <v>4.2662244421804156E-2</v>
      </c>
      <c r="F8" s="2">
        <v>-1.85439684811105E-2</v>
      </c>
      <c r="G8" s="2">
        <v>7.4719668131026401E-2</v>
      </c>
      <c r="H8" s="2">
        <v>1</v>
      </c>
      <c r="I8" s="2"/>
      <c r="J8" s="2"/>
      <c r="K8" s="2"/>
      <c r="L8" s="2"/>
      <c r="M8" s="2"/>
      <c r="N8" s="2"/>
      <c r="O8" s="2"/>
      <c r="P8" s="2"/>
      <c r="Q8" s="2"/>
      <c r="R8" s="2"/>
      <c r="S8" s="2"/>
      <c r="T8" s="2"/>
      <c r="U8" s="2"/>
      <c r="V8" s="2"/>
      <c r="W8" s="2"/>
      <c r="X8" s="2"/>
      <c r="Y8" s="2"/>
      <c r="Z8" s="2"/>
      <c r="AA8" s="2"/>
    </row>
    <row r="9" spans="1:27" x14ac:dyDescent="0.25">
      <c r="A9" s="2" t="s">
        <v>126</v>
      </c>
      <c r="B9" s="2">
        <v>-5.7922360980158438E-3</v>
      </c>
      <c r="C9" s="2">
        <v>1.9450229398505756E-2</v>
      </c>
      <c r="D9" s="2">
        <v>-4.0183078966676868E-2</v>
      </c>
      <c r="E9" s="2">
        <v>1.3626983420479558E-2</v>
      </c>
      <c r="F9" s="2">
        <v>5.5461308116357133E-3</v>
      </c>
      <c r="G9" s="2">
        <v>-4.4698511201961477E-3</v>
      </c>
      <c r="H9" s="2">
        <v>-0.31810765000357333</v>
      </c>
      <c r="I9" s="2">
        <v>1</v>
      </c>
      <c r="J9" s="2"/>
      <c r="K9" s="2"/>
      <c r="L9" s="2"/>
      <c r="M9" s="2"/>
      <c r="N9" s="2"/>
      <c r="O9" s="2"/>
      <c r="P9" s="2"/>
      <c r="Q9" s="2"/>
      <c r="R9" s="2"/>
      <c r="S9" s="2"/>
      <c r="T9" s="2"/>
      <c r="U9" s="2"/>
      <c r="V9" s="2"/>
      <c r="W9" s="2"/>
      <c r="X9" s="2"/>
      <c r="Y9" s="2"/>
      <c r="Z9" s="2"/>
      <c r="AA9" s="2"/>
    </row>
    <row r="10" spans="1:27" x14ac:dyDescent="0.25">
      <c r="A10" s="2" t="s">
        <v>127</v>
      </c>
      <c r="B10" s="2">
        <v>4.5630547980890545E-3</v>
      </c>
      <c r="C10" s="2">
        <v>-5.5898363792507757E-3</v>
      </c>
      <c r="D10" s="2">
        <v>4.8825455381701563E-2</v>
      </c>
      <c r="E10" s="2">
        <v>-4.2381506855001111E-2</v>
      </c>
      <c r="F10" s="2">
        <v>1.2538059288773679E-2</v>
      </c>
      <c r="G10" s="2">
        <v>2.687028875024795E-2</v>
      </c>
      <c r="H10" s="2">
        <v>-0.3290635926731037</v>
      </c>
      <c r="I10" s="2">
        <v>-0.3428432998312837</v>
      </c>
      <c r="J10" s="2">
        <v>1</v>
      </c>
      <c r="K10" s="2"/>
      <c r="L10" s="2"/>
      <c r="M10" s="2"/>
      <c r="N10" s="2"/>
      <c r="O10" s="2"/>
      <c r="P10" s="2"/>
      <c r="Q10" s="2"/>
      <c r="R10" s="2"/>
      <c r="S10" s="2"/>
      <c r="T10" s="2"/>
      <c r="U10" s="2"/>
      <c r="V10" s="2"/>
      <c r="W10" s="2"/>
      <c r="X10" s="2"/>
      <c r="Y10" s="2"/>
      <c r="Z10" s="2"/>
      <c r="AA10" s="2"/>
    </row>
    <row r="11" spans="1:27" x14ac:dyDescent="0.25">
      <c r="A11" s="2" t="s">
        <v>128</v>
      </c>
      <c r="B11" s="2">
        <v>-1.8293672158605993E-2</v>
      </c>
      <c r="C11" s="2">
        <v>-3.1275935601976911E-2</v>
      </c>
      <c r="D11" s="2">
        <v>-5.0843000657105057E-2</v>
      </c>
      <c r="E11" s="2">
        <v>-1.2200192405359295E-2</v>
      </c>
      <c r="F11" s="2">
        <v>-1.3788658045061771E-4</v>
      </c>
      <c r="G11" s="2">
        <v>-9.5191241019633138E-2</v>
      </c>
      <c r="H11" s="2">
        <v>-0.32358462956079226</v>
      </c>
      <c r="I11" s="2">
        <v>-0.33713490232118182</v>
      </c>
      <c r="J11" s="2">
        <v>-0.34874616241407275</v>
      </c>
      <c r="K11" s="2">
        <v>1</v>
      </c>
      <c r="L11" s="2"/>
      <c r="M11" s="2"/>
      <c r="N11" s="2"/>
      <c r="O11" s="2"/>
      <c r="P11" s="2"/>
      <c r="Q11" s="2"/>
      <c r="R11" s="2"/>
      <c r="S11" s="2"/>
      <c r="T11" s="2"/>
      <c r="U11" s="2"/>
      <c r="V11" s="2"/>
      <c r="W11" s="2"/>
      <c r="X11" s="2"/>
      <c r="Y11" s="2"/>
      <c r="Z11" s="2"/>
      <c r="AA11" s="2"/>
    </row>
    <row r="12" spans="1:27" x14ac:dyDescent="0.25">
      <c r="A12" s="2" t="s">
        <v>129</v>
      </c>
      <c r="B12" s="2">
        <v>-6.0753884602780452E-2</v>
      </c>
      <c r="C12" s="2">
        <v>-5.8822011093019932E-2</v>
      </c>
      <c r="D12" s="2">
        <v>-8.6459781356763729E-2</v>
      </c>
      <c r="E12" s="2">
        <v>4.4074330780413874E-2</v>
      </c>
      <c r="F12" s="2">
        <v>-0.219950910762721</v>
      </c>
      <c r="G12" s="2">
        <v>-1.0564444983475418E-2</v>
      </c>
      <c r="H12" s="2">
        <v>-2.4442483931474388E-2</v>
      </c>
      <c r="I12" s="2">
        <v>-7.4953096809224845E-3</v>
      </c>
      <c r="J12" s="2">
        <v>2.3062837390679772E-2</v>
      </c>
      <c r="K12" s="2">
        <v>7.9092121085115926E-3</v>
      </c>
      <c r="L12" s="2">
        <v>1</v>
      </c>
      <c r="M12" s="2"/>
      <c r="N12" s="2"/>
      <c r="O12" s="2"/>
      <c r="P12" s="2"/>
      <c r="Q12" s="2"/>
      <c r="R12" s="2"/>
      <c r="S12" s="2"/>
      <c r="T12" s="2"/>
      <c r="U12" s="2"/>
      <c r="V12" s="2"/>
      <c r="W12" s="2"/>
      <c r="X12" s="2"/>
      <c r="Y12" s="2"/>
      <c r="Z12" s="2"/>
      <c r="AA12" s="2"/>
    </row>
    <row r="13" spans="1:27" x14ac:dyDescent="0.25">
      <c r="A13" s="2" t="s">
        <v>130</v>
      </c>
      <c r="B13" s="2">
        <v>-4.4916188634002284E-2</v>
      </c>
      <c r="C13" s="2">
        <v>2.4350417407456495E-3</v>
      </c>
      <c r="D13" s="2">
        <v>1.5219329147087646E-3</v>
      </c>
      <c r="E13" s="2">
        <v>4.2948234670245597E-2</v>
      </c>
      <c r="F13" s="2">
        <v>0.14901727081317553</v>
      </c>
      <c r="G13" s="2">
        <v>7.9093473286410299E-3</v>
      </c>
      <c r="H13" s="2">
        <v>-2.2421473779472879E-2</v>
      </c>
      <c r="I13" s="2">
        <v>-3.5560143958767478E-2</v>
      </c>
      <c r="J13" s="2">
        <v>9.7278311791343913E-2</v>
      </c>
      <c r="K13" s="2">
        <v>-4.104395339580743E-2</v>
      </c>
      <c r="L13" s="2">
        <v>-1.8569356028361121E-2</v>
      </c>
      <c r="M13" s="2">
        <v>1</v>
      </c>
      <c r="N13" s="2"/>
      <c r="O13" s="2"/>
      <c r="P13" s="2"/>
      <c r="Q13" s="2"/>
      <c r="R13" s="2"/>
      <c r="S13" s="2"/>
      <c r="T13" s="2"/>
      <c r="U13" s="2"/>
      <c r="V13" s="2"/>
      <c r="W13" s="2"/>
      <c r="X13" s="2"/>
      <c r="Y13" s="2"/>
      <c r="Z13" s="2"/>
      <c r="AA13" s="2"/>
    </row>
    <row r="14" spans="1:27" x14ac:dyDescent="0.25">
      <c r="A14" s="2" t="s">
        <v>131</v>
      </c>
      <c r="B14" s="2">
        <v>-4.5206467770106742E-2</v>
      </c>
      <c r="C14" s="2">
        <v>-0.11703831708690293</v>
      </c>
      <c r="D14" s="2">
        <v>-1.9584895000643671E-2</v>
      </c>
      <c r="E14" s="2">
        <v>-1.7013565566400483E-3</v>
      </c>
      <c r="F14" s="2">
        <v>-3.1909648511939954E-2</v>
      </c>
      <c r="G14" s="2">
        <v>-1.5480633390381235E-2</v>
      </c>
      <c r="H14" s="2">
        <v>-8.792386182806676E-2</v>
      </c>
      <c r="I14" s="2">
        <v>9.9011114250066676E-4</v>
      </c>
      <c r="J14" s="2">
        <v>3.1832411063266973E-2</v>
      </c>
      <c r="K14" s="2">
        <v>5.2279130857286832E-2</v>
      </c>
      <c r="L14" s="2">
        <v>4.8986746254713248E-2</v>
      </c>
      <c r="M14" s="2">
        <v>-0.15630832983454862</v>
      </c>
      <c r="N14" s="2">
        <v>1</v>
      </c>
      <c r="O14" s="2"/>
      <c r="P14" s="2"/>
      <c r="Q14" s="2"/>
      <c r="R14" s="2"/>
      <c r="S14" s="2"/>
      <c r="T14" s="2"/>
      <c r="U14" s="2"/>
      <c r="V14" s="2"/>
      <c r="W14" s="2"/>
      <c r="X14" s="2"/>
      <c r="Y14" s="2"/>
      <c r="Z14" s="2"/>
      <c r="AA14" s="2"/>
    </row>
    <row r="15" spans="1:27" x14ac:dyDescent="0.25">
      <c r="A15" s="2" t="s">
        <v>132</v>
      </c>
      <c r="B15" s="2">
        <v>6.2361000123325488E-2</v>
      </c>
      <c r="C15" s="2">
        <v>6.6869952839689384E-2</v>
      </c>
      <c r="D15" s="2">
        <v>5.8921987291556469E-2</v>
      </c>
      <c r="E15" s="2">
        <v>8.6601921241673707E-2</v>
      </c>
      <c r="F15" s="2">
        <v>0.12720456613900546</v>
      </c>
      <c r="G15" s="2">
        <v>1.8892369612440063E-2</v>
      </c>
      <c r="H15" s="2">
        <v>4.1269070725011382E-2</v>
      </c>
      <c r="I15" s="2">
        <v>1.2286542895029486E-2</v>
      </c>
      <c r="J15" s="2">
        <v>-0.10313501701982798</v>
      </c>
      <c r="K15" s="2">
        <v>5.1729435218200018E-2</v>
      </c>
      <c r="L15" s="2">
        <v>1.4202040116913058E-2</v>
      </c>
      <c r="M15" s="2">
        <v>-0.14624496942406748</v>
      </c>
      <c r="N15" s="2">
        <v>-0.14895419346164038</v>
      </c>
      <c r="O15" s="2">
        <v>1</v>
      </c>
      <c r="P15" s="2"/>
      <c r="Q15" s="2"/>
      <c r="R15" s="2"/>
      <c r="S15" s="2"/>
      <c r="T15" s="2"/>
      <c r="U15" s="2"/>
      <c r="V15" s="2"/>
      <c r="W15" s="2"/>
      <c r="X15" s="2"/>
      <c r="Y15" s="2"/>
      <c r="Z15" s="2"/>
      <c r="AA15" s="2"/>
    </row>
    <row r="16" spans="1:27" x14ac:dyDescent="0.25">
      <c r="A16" s="2" t="s">
        <v>133</v>
      </c>
      <c r="B16" s="2">
        <v>5.462127208951742E-2</v>
      </c>
      <c r="C16" s="2">
        <v>6.4571918205633558E-2</v>
      </c>
      <c r="D16" s="2">
        <v>2.2547452911670218E-2</v>
      </c>
      <c r="E16" s="2">
        <v>7.5285444616928314E-3</v>
      </c>
      <c r="F16" s="2">
        <v>-8.747280674364323E-2</v>
      </c>
      <c r="G16" s="2">
        <v>-6.9773672431067838E-3</v>
      </c>
      <c r="H16" s="2">
        <v>-4.1722979543825672E-2</v>
      </c>
      <c r="I16" s="2">
        <v>7.1316244137223983E-2</v>
      </c>
      <c r="J16" s="2">
        <v>-8.0232727874062632E-2</v>
      </c>
      <c r="K16" s="2">
        <v>5.0673300900631005E-2</v>
      </c>
      <c r="L16" s="2">
        <v>2.0035372092899618E-2</v>
      </c>
      <c r="M16" s="2">
        <v>-0.16192655730513925</v>
      </c>
      <c r="N16" s="2">
        <v>-0.16492628661617284</v>
      </c>
      <c r="O16" s="2">
        <v>-0.1543080894597095</v>
      </c>
      <c r="P16" s="2">
        <v>1</v>
      </c>
      <c r="Q16" s="2"/>
      <c r="R16" s="2"/>
      <c r="S16" s="2"/>
      <c r="T16" s="2"/>
      <c r="U16" s="2"/>
      <c r="V16" s="2"/>
      <c r="W16" s="2"/>
      <c r="X16" s="2"/>
      <c r="Y16" s="2"/>
      <c r="Z16" s="2"/>
      <c r="AA16" s="2"/>
    </row>
    <row r="17" spans="1:27" x14ac:dyDescent="0.25">
      <c r="A17" s="2" t="s">
        <v>134</v>
      </c>
      <c r="B17" s="2">
        <v>1.0143940096604584E-2</v>
      </c>
      <c r="C17" s="2">
        <v>2.0133966907209477E-2</v>
      </c>
      <c r="D17" s="2">
        <v>-1.4932711136132064E-2</v>
      </c>
      <c r="E17" s="2">
        <v>7.3704994281131343E-3</v>
      </c>
      <c r="F17" s="2">
        <v>-5.3043039452977052E-2</v>
      </c>
      <c r="G17" s="2">
        <v>1.0794565894489867E-2</v>
      </c>
      <c r="H17" s="2">
        <v>7.5158370494312204E-2</v>
      </c>
      <c r="I17" s="2">
        <v>-2.868169932905603E-2</v>
      </c>
      <c r="J17" s="2">
        <v>-2.489518105619588E-2</v>
      </c>
      <c r="K17" s="2">
        <v>-1.9422442844174513E-2</v>
      </c>
      <c r="L17" s="2">
        <v>1.8633614250294358E-2</v>
      </c>
      <c r="M17" s="2">
        <v>-0.15059750284205958</v>
      </c>
      <c r="N17" s="2">
        <v>-0.15338735863200628</v>
      </c>
      <c r="O17" s="2">
        <v>-0.14351205464814595</v>
      </c>
      <c r="P17" s="2">
        <v>-0.15890059694003378</v>
      </c>
      <c r="Q17" s="2">
        <v>1</v>
      </c>
      <c r="R17" s="2"/>
      <c r="S17" s="2"/>
      <c r="T17" s="2"/>
      <c r="U17" s="2"/>
      <c r="V17" s="2"/>
      <c r="W17" s="2"/>
      <c r="X17" s="2"/>
      <c r="Y17" s="2"/>
      <c r="Z17" s="2"/>
      <c r="AA17" s="2"/>
    </row>
    <row r="18" spans="1:27" x14ac:dyDescent="0.25">
      <c r="A18" s="2" t="s">
        <v>135</v>
      </c>
      <c r="B18" s="2">
        <v>9.6193871663737742E-3</v>
      </c>
      <c r="C18" s="2">
        <v>-4.4720319026779587E-2</v>
      </c>
      <c r="D18" s="2">
        <v>4.8253509015978007E-3</v>
      </c>
      <c r="E18" s="2">
        <v>-6.6456296869141382E-2</v>
      </c>
      <c r="F18" s="2">
        <v>-3.676328336330914E-2</v>
      </c>
      <c r="G18" s="2">
        <v>4.8882873063697561E-2</v>
      </c>
      <c r="H18" s="2">
        <v>9.540040936835345E-2</v>
      </c>
      <c r="I18" s="2">
        <v>-0.10914041577498797</v>
      </c>
      <c r="J18" s="2">
        <v>8.9916421161476315E-2</v>
      </c>
      <c r="K18" s="2">
        <v>-7.5037958303604976E-2</v>
      </c>
      <c r="L18" s="2">
        <v>1.8130752914842115E-2</v>
      </c>
      <c r="M18" s="2">
        <v>-0.17429130597870993</v>
      </c>
      <c r="N18" s="2">
        <v>-0.17752009530088042</v>
      </c>
      <c r="O18" s="2">
        <v>-0.16609109019919127</v>
      </c>
      <c r="P18" s="2">
        <v>-0.1839007423019525</v>
      </c>
      <c r="Q18" s="2">
        <v>-0.17103428259322248</v>
      </c>
      <c r="R18" s="2">
        <v>1</v>
      </c>
      <c r="S18" s="2"/>
      <c r="T18" s="2"/>
      <c r="U18" s="2"/>
      <c r="V18" s="2"/>
      <c r="W18" s="2"/>
      <c r="X18" s="2"/>
      <c r="Y18" s="2"/>
      <c r="Z18" s="2"/>
      <c r="AA18" s="2"/>
    </row>
    <row r="19" spans="1:27" x14ac:dyDescent="0.25">
      <c r="A19" s="2" t="s">
        <v>136</v>
      </c>
      <c r="B19" s="2">
        <v>-4.2512701439096336E-2</v>
      </c>
      <c r="C19" s="2">
        <v>1.236943282323971E-2</v>
      </c>
      <c r="D19" s="2">
        <v>-4.7766961415243218E-2</v>
      </c>
      <c r="E19" s="2">
        <v>-6.1130369607910746E-2</v>
      </c>
      <c r="F19" s="2">
        <v>-5.0910674530892368E-2</v>
      </c>
      <c r="G19" s="2">
        <v>-6.1221008692715351E-2</v>
      </c>
      <c r="H19" s="2">
        <v>-5.7638910895149248E-2</v>
      </c>
      <c r="I19" s="2">
        <v>8.7524406466735136E-2</v>
      </c>
      <c r="J19" s="2">
        <v>-1.8575293675032304E-2</v>
      </c>
      <c r="K19" s="2">
        <v>-1.2107162926844344E-2</v>
      </c>
      <c r="L19" s="2">
        <v>-9.443948158926331E-2</v>
      </c>
      <c r="M19" s="2">
        <v>-0.17564532730587953</v>
      </c>
      <c r="N19" s="2">
        <v>-0.17889920020624983</v>
      </c>
      <c r="O19" s="2">
        <v>-0.16738140630026888</v>
      </c>
      <c r="P19" s="2">
        <v>-0.18532941670289577</v>
      </c>
      <c r="Q19" s="2">
        <v>-0.17236300099950222</v>
      </c>
      <c r="R19" s="2">
        <v>-0.19948121303258948</v>
      </c>
      <c r="S19" s="2">
        <v>1</v>
      </c>
      <c r="T19" s="2"/>
      <c r="U19" s="2"/>
      <c r="V19" s="2"/>
      <c r="W19" s="2"/>
      <c r="X19" s="2"/>
      <c r="Y19" s="2"/>
      <c r="Z19" s="2"/>
      <c r="AA19" s="2"/>
    </row>
    <row r="20" spans="1:27" x14ac:dyDescent="0.25">
      <c r="A20" s="2" t="s">
        <v>137</v>
      </c>
      <c r="B20" s="2">
        <v>6.2320639629434189E-2</v>
      </c>
      <c r="C20" s="2">
        <v>2.0884580414735388E-2</v>
      </c>
      <c r="D20" s="2">
        <v>4.6501914263980225E-2</v>
      </c>
      <c r="E20" s="2">
        <v>-5.5191954026757382E-2</v>
      </c>
      <c r="F20" s="2">
        <v>-8.6909274458015807E-3</v>
      </c>
      <c r="G20" s="2">
        <v>-4.4062129894860309E-2</v>
      </c>
      <c r="H20" s="2">
        <v>9.2839316779035255E-3</v>
      </c>
      <c r="I20" s="2">
        <v>-3.7204619205303519E-2</v>
      </c>
      <c r="J20" s="2">
        <v>4.42808832230712E-2</v>
      </c>
      <c r="K20" s="2">
        <v>-1.6762644897763659E-2</v>
      </c>
      <c r="L20" s="2">
        <v>5.9623534841144271E-2</v>
      </c>
      <c r="M20" s="2">
        <v>-7.534322921975542E-2</v>
      </c>
      <c r="N20" s="2">
        <v>-1.8122344752899113E-2</v>
      </c>
      <c r="O20" s="2">
        <v>8.5464114967637877E-4</v>
      </c>
      <c r="P20" s="2">
        <v>-3.5502879925674018E-2</v>
      </c>
      <c r="Q20" s="2">
        <v>5.3912298517870987E-2</v>
      </c>
      <c r="R20" s="2">
        <v>4.9269021214300303E-2</v>
      </c>
      <c r="S20" s="2">
        <v>2.0692440086156456E-2</v>
      </c>
      <c r="T20" s="2">
        <v>1</v>
      </c>
      <c r="U20" s="2"/>
      <c r="V20" s="2"/>
      <c r="W20" s="2"/>
      <c r="X20" s="2"/>
      <c r="Y20" s="2"/>
      <c r="Z20" s="2"/>
      <c r="AA20" s="2"/>
    </row>
    <row r="21" spans="1:27" x14ac:dyDescent="0.25">
      <c r="A21" s="2" t="s">
        <v>138</v>
      </c>
      <c r="B21" s="2">
        <v>7.5213356492698025E-3</v>
      </c>
      <c r="C21" s="2">
        <v>3.8566732686929422E-2</v>
      </c>
      <c r="D21" s="2">
        <v>-1.488776478531653E-2</v>
      </c>
      <c r="E21" s="2">
        <v>-5.5363899505926531E-2</v>
      </c>
      <c r="F21" s="2">
        <v>-6.424465396290506E-2</v>
      </c>
      <c r="G21" s="2">
        <v>3.0887400790653146E-2</v>
      </c>
      <c r="H21" s="2">
        <v>2.4912636598591483E-3</v>
      </c>
      <c r="I21" s="2">
        <v>0.10197886365699724</v>
      </c>
      <c r="J21" s="2">
        <v>-4.3679545290357676E-2</v>
      </c>
      <c r="K21" s="2">
        <v>-5.9502812267173369E-2</v>
      </c>
      <c r="L21" s="2">
        <v>-7.7155554151890501E-2</v>
      </c>
      <c r="M21" s="2">
        <v>5.8738808652609963E-2</v>
      </c>
      <c r="N21" s="2">
        <v>-9.7531780671610752E-2</v>
      </c>
      <c r="O21" s="2">
        <v>-1.5087220892930197E-2</v>
      </c>
      <c r="P21" s="2">
        <v>6.5719422496439278E-2</v>
      </c>
      <c r="Q21" s="2">
        <v>3.5947420271312272E-2</v>
      </c>
      <c r="R21" s="2">
        <v>-4.8449528077069114E-2</v>
      </c>
      <c r="S21" s="2">
        <v>3.5311315635575685E-3</v>
      </c>
      <c r="T21" s="2">
        <v>-0.39799184214919348</v>
      </c>
      <c r="U21" s="2">
        <v>1</v>
      </c>
      <c r="V21" s="2"/>
      <c r="W21" s="2"/>
      <c r="X21" s="2"/>
      <c r="Y21" s="2"/>
      <c r="Z21" s="2"/>
      <c r="AA21" s="2"/>
    </row>
    <row r="22" spans="1:27" x14ac:dyDescent="0.25">
      <c r="A22" s="2" t="s">
        <v>139</v>
      </c>
      <c r="B22" s="2">
        <v>-6.6546633669941041E-2</v>
      </c>
      <c r="C22" s="2">
        <v>-5.2889026643206917E-2</v>
      </c>
      <c r="D22" s="2">
        <v>-3.2259278456526083E-2</v>
      </c>
      <c r="E22" s="2">
        <v>0.10026306598377796</v>
      </c>
      <c r="F22" s="2">
        <v>6.2907190572798324E-2</v>
      </c>
      <c r="G22" s="2">
        <v>1.6326880422583925E-2</v>
      </c>
      <c r="H22" s="2">
        <v>-1.107672503209409E-2</v>
      </c>
      <c r="I22" s="2">
        <v>-5.0620429150500829E-2</v>
      </c>
      <c r="J22" s="2">
        <v>-5.6828527664863886E-3</v>
      </c>
      <c r="K22" s="2">
        <v>6.6675749086015257E-2</v>
      </c>
      <c r="L22" s="2">
        <v>7.9126116275401431E-3</v>
      </c>
      <c r="M22" s="2">
        <v>2.2891290155747809E-2</v>
      </c>
      <c r="N22" s="2">
        <v>0.10025917988868106</v>
      </c>
      <c r="O22" s="2">
        <v>1.1977709090416783E-2</v>
      </c>
      <c r="P22" s="2">
        <v>-2.1494094770812933E-2</v>
      </c>
      <c r="Q22" s="2">
        <v>-8.2551173558296664E-2</v>
      </c>
      <c r="R22" s="2">
        <v>-6.4506533933483753E-3</v>
      </c>
      <c r="S22" s="2">
        <v>-2.2972878206409905E-2</v>
      </c>
      <c r="T22" s="2">
        <v>-0.62766723860298768</v>
      </c>
      <c r="U22" s="2">
        <v>-0.46436411954683604</v>
      </c>
      <c r="V22" s="2">
        <v>1</v>
      </c>
      <c r="W22" s="2"/>
      <c r="X22" s="2"/>
      <c r="Y22" s="2"/>
      <c r="Z22" s="2"/>
      <c r="AA22" s="2"/>
    </row>
    <row r="23" spans="1:27" x14ac:dyDescent="0.25">
      <c r="A23" s="2" t="s">
        <v>140</v>
      </c>
      <c r="B23" s="2">
        <v>3.1744623818485904E-2</v>
      </c>
      <c r="C23" s="2">
        <v>1.674545686623204E-2</v>
      </c>
      <c r="D23" s="2">
        <v>-4.3124129379060322E-2</v>
      </c>
      <c r="E23" s="2">
        <v>-8.7090802576935147E-2</v>
      </c>
      <c r="F23" s="2">
        <v>-0.30190031648583943</v>
      </c>
      <c r="G23" s="2">
        <v>3.5485369973349296E-3</v>
      </c>
      <c r="H23" s="2">
        <v>-2.1785417554333011E-2</v>
      </c>
      <c r="I23" s="2">
        <v>7.0187701371750462E-3</v>
      </c>
      <c r="J23" s="2">
        <v>1.745899612698364E-2</v>
      </c>
      <c r="K23" s="2">
        <v>-3.4124611239177813E-3</v>
      </c>
      <c r="L23" s="2">
        <v>6.1171423977437869E-2</v>
      </c>
      <c r="M23" s="2">
        <v>-3.3437500394951782E-2</v>
      </c>
      <c r="N23" s="2">
        <v>-4.1752778795402276E-2</v>
      </c>
      <c r="O23" s="2">
        <v>2.2707893724623891E-3</v>
      </c>
      <c r="P23" s="2">
        <v>-6.1008315099294764E-3</v>
      </c>
      <c r="Q23" s="2">
        <v>4.3201431205870278E-2</v>
      </c>
      <c r="R23" s="2">
        <v>6.8008294729296256E-3</v>
      </c>
      <c r="S23" s="2">
        <v>2.716807915149283E-2</v>
      </c>
      <c r="T23" s="2">
        <v>1.2727377205129528E-3</v>
      </c>
      <c r="U23" s="2">
        <v>0.11938479134157599</v>
      </c>
      <c r="V23" s="2">
        <v>-0.10253674195513995</v>
      </c>
      <c r="W23" s="2">
        <v>1</v>
      </c>
      <c r="X23" s="2"/>
      <c r="Y23" s="2"/>
      <c r="Z23" s="2"/>
      <c r="AA23" s="2"/>
    </row>
    <row r="24" spans="1:27" x14ac:dyDescent="0.25">
      <c r="A24" s="2" t="s">
        <v>141</v>
      </c>
      <c r="B24" s="2">
        <v>-1.8211622181313246E-2</v>
      </c>
      <c r="C24" s="2">
        <v>-5.1773475004615231E-2</v>
      </c>
      <c r="D24" s="2">
        <v>-5.2078904835762663E-2</v>
      </c>
      <c r="E24" s="2">
        <v>-0.13451916372371875</v>
      </c>
      <c r="F24" s="2">
        <v>-0.15491037212015005</v>
      </c>
      <c r="G24" s="2">
        <v>-0.11019580490695124</v>
      </c>
      <c r="H24" s="2">
        <v>-1.3299342288902716E-2</v>
      </c>
      <c r="I24" s="2">
        <v>-1.2377431207930959E-3</v>
      </c>
      <c r="J24" s="2">
        <v>2.481629385404444E-3</v>
      </c>
      <c r="K24" s="2">
        <v>1.163587094008766E-2</v>
      </c>
      <c r="L24" s="2">
        <v>0.1639799309570831</v>
      </c>
      <c r="M24" s="2">
        <v>-2.3031236734296873E-3</v>
      </c>
      <c r="N24" s="2">
        <v>3.946945340512909E-3</v>
      </c>
      <c r="O24" s="2">
        <v>-2.6040279605516053E-2</v>
      </c>
      <c r="P24" s="2">
        <v>-1.1195034244794452E-2</v>
      </c>
      <c r="Q24" s="2">
        <v>-8.7270987962489791E-3</v>
      </c>
      <c r="R24" s="2">
        <v>8.8401719840882492E-3</v>
      </c>
      <c r="S24" s="2">
        <v>3.0932846552514093E-2</v>
      </c>
      <c r="T24" s="2">
        <v>8.8267004032145588E-3</v>
      </c>
      <c r="U24" s="2">
        <v>-0.10689919532477046</v>
      </c>
      <c r="V24" s="2">
        <v>8.2191697288265364E-2</v>
      </c>
      <c r="W24" s="2">
        <v>-0.4346733038471291</v>
      </c>
      <c r="X24" s="2">
        <v>1</v>
      </c>
      <c r="Y24" s="2"/>
      <c r="Z24" s="2"/>
      <c r="AA24" s="2"/>
    </row>
    <row r="25" spans="1:27" x14ac:dyDescent="0.25">
      <c r="A25" s="2" t="s">
        <v>142</v>
      </c>
      <c r="B25" s="2">
        <v>-1.3891074835133445E-2</v>
      </c>
      <c r="C25" s="2">
        <v>3.1305626356187208E-2</v>
      </c>
      <c r="D25" s="2">
        <v>8.925216857620813E-2</v>
      </c>
      <c r="E25" s="2">
        <v>0.20713300085693603</v>
      </c>
      <c r="F25" s="2">
        <v>0.43272113563804315</v>
      </c>
      <c r="G25" s="2">
        <v>9.754360220424893E-2</v>
      </c>
      <c r="H25" s="2">
        <v>3.3168709760538075E-2</v>
      </c>
      <c r="I25" s="2">
        <v>-5.626494861086892E-3</v>
      </c>
      <c r="J25" s="2">
        <v>-1.9090271608248225E-2</v>
      </c>
      <c r="K25" s="2">
        <v>-7.3739026246293048E-3</v>
      </c>
      <c r="L25" s="2">
        <v>-0.20915931811979888</v>
      </c>
      <c r="M25" s="2">
        <v>3.4317305492758528E-2</v>
      </c>
      <c r="N25" s="2">
        <v>3.6600303101949332E-2</v>
      </c>
      <c r="O25" s="2">
        <v>2.1670909163394574E-2</v>
      </c>
      <c r="P25" s="2">
        <v>1.6133261885248221E-2</v>
      </c>
      <c r="Q25" s="2">
        <v>-3.3616068666726465E-2</v>
      </c>
      <c r="R25" s="2">
        <v>-1.4649975125035481E-2</v>
      </c>
      <c r="S25" s="2">
        <v>-5.4509163023106016E-2</v>
      </c>
      <c r="T25" s="2">
        <v>-9.3129447839328285E-3</v>
      </c>
      <c r="U25" s="2">
        <v>-1.7050858879091545E-2</v>
      </c>
      <c r="V25" s="2">
        <v>2.3459776331328893E-2</v>
      </c>
      <c r="W25" s="2">
        <v>-0.56495699538304367</v>
      </c>
      <c r="X25" s="2">
        <v>-0.49752193375964193</v>
      </c>
      <c r="Y25" s="2">
        <v>1</v>
      </c>
      <c r="Z25" s="2"/>
      <c r="AA25" s="2"/>
    </row>
    <row r="26" spans="1:27" x14ac:dyDescent="0.25">
      <c r="A26" s="2" t="s">
        <v>144</v>
      </c>
      <c r="B26" s="2">
        <v>-6.9270516152700148E-2</v>
      </c>
      <c r="C26" s="2">
        <v>6.0608625312698367E-2</v>
      </c>
      <c r="D26" s="2">
        <v>-3.5864433645873238E-2</v>
      </c>
      <c r="E26" s="2">
        <v>-3.9512360806326176E-2</v>
      </c>
      <c r="F26" s="2">
        <v>0.15237477019602166</v>
      </c>
      <c r="G26" s="2">
        <v>-2.1793309540779349E-2</v>
      </c>
      <c r="H26" s="2">
        <v>-0.14217953316795814</v>
      </c>
      <c r="I26" s="2">
        <v>4.2327836258522385E-2</v>
      </c>
      <c r="J26" s="2">
        <v>-3.2762591104434163E-2</v>
      </c>
      <c r="K26" s="2">
        <v>0.12907946894967551</v>
      </c>
      <c r="L26" s="2">
        <v>7.230503974510076E-2</v>
      </c>
      <c r="M26" s="2">
        <v>3.7409393091792899E-2</v>
      </c>
      <c r="N26" s="2">
        <v>-4.9486625692315461E-2</v>
      </c>
      <c r="O26" s="2">
        <v>9.321153833068252E-2</v>
      </c>
      <c r="P26" s="2">
        <v>4.9148134043457128E-3</v>
      </c>
      <c r="Q26" s="2">
        <v>6.1830735796935196E-2</v>
      </c>
      <c r="R26" s="2">
        <v>-0.12156688277540861</v>
      </c>
      <c r="S26" s="2">
        <v>-9.3953889350797924E-3</v>
      </c>
      <c r="T26" s="2">
        <v>-4.1546025008994618E-2</v>
      </c>
      <c r="U26" s="2">
        <v>3.5426558306132221E-2</v>
      </c>
      <c r="V26" s="2">
        <v>1.0045983521675895E-2</v>
      </c>
      <c r="W26" s="2">
        <v>-5.3346349363295284E-2</v>
      </c>
      <c r="X26" s="2">
        <v>-2.5018514687955092E-3</v>
      </c>
      <c r="Y26" s="2">
        <v>5.3675690436072822E-2</v>
      </c>
      <c r="Z26" s="2">
        <v>1</v>
      </c>
      <c r="AA26" s="2"/>
    </row>
    <row r="27" spans="1:27" ht="15.75" thickBot="1" x14ac:dyDescent="0.3">
      <c r="A27" s="3" t="s">
        <v>143</v>
      </c>
      <c r="B27" s="3">
        <v>6.9270516152700232E-2</v>
      </c>
      <c r="C27" s="3">
        <v>-6.0608625312698429E-2</v>
      </c>
      <c r="D27" s="3">
        <v>3.586443364587312E-2</v>
      </c>
      <c r="E27" s="3">
        <v>3.9512360806326141E-2</v>
      </c>
      <c r="F27" s="3">
        <v>-0.15237477019602172</v>
      </c>
      <c r="G27" s="3">
        <v>2.1793309540779529E-2</v>
      </c>
      <c r="H27" s="3">
        <v>0.14217953316795801</v>
      </c>
      <c r="I27" s="3">
        <v>-4.2327836258522503E-2</v>
      </c>
      <c r="J27" s="3">
        <v>3.2762591104434205E-2</v>
      </c>
      <c r="K27" s="3">
        <v>-0.12907946894967534</v>
      </c>
      <c r="L27" s="3">
        <v>-7.2305039745100788E-2</v>
      </c>
      <c r="M27" s="3">
        <v>-3.7409393091792857E-2</v>
      </c>
      <c r="N27" s="3">
        <v>4.9486625692315454E-2</v>
      </c>
      <c r="O27" s="3">
        <v>-9.3211538330682492E-2</v>
      </c>
      <c r="P27" s="3">
        <v>-4.9148134043457336E-3</v>
      </c>
      <c r="Q27" s="3">
        <v>-6.1830735796935272E-2</v>
      </c>
      <c r="R27" s="3">
        <v>0.12156688277540853</v>
      </c>
      <c r="S27" s="3">
        <v>9.3953889350800058E-3</v>
      </c>
      <c r="T27" s="3">
        <v>4.1546025008994618E-2</v>
      </c>
      <c r="U27" s="3">
        <v>-3.5426558306132248E-2</v>
      </c>
      <c r="V27" s="3">
        <v>-1.0045983521675933E-2</v>
      </c>
      <c r="W27" s="3">
        <v>5.3346349363295277E-2</v>
      </c>
      <c r="X27" s="3">
        <v>2.5018514687954753E-3</v>
      </c>
      <c r="Y27" s="3">
        <v>-5.3675690436072884E-2</v>
      </c>
      <c r="Z27" s="3">
        <v>-1</v>
      </c>
      <c r="AA27" s="3">
        <v>1</v>
      </c>
    </row>
  </sheetData>
  <conditionalFormatting sqref="A1:AA27">
    <cfRule type="colorScale" priority="1">
      <colorScale>
        <cfvo type="num" val="-1"/>
        <cfvo type="num" val="0"/>
        <cfvo type="num" val="1"/>
        <color rgb="FF002060"/>
        <color theme="0"/>
        <color rgb="FFFF0000"/>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06032-C260-49EA-A461-3C16B73CC973}">
  <sheetPr codeName="Sheet4">
    <tabColor theme="1" tint="0.34998626667073579"/>
  </sheetPr>
  <dimension ref="A1:AB28"/>
  <sheetViews>
    <sheetView workbookViewId="0">
      <selection activeCell="F29" sqref="F29"/>
    </sheetView>
  </sheetViews>
  <sheetFormatPr defaultColWidth="8.85546875" defaultRowHeight="15" x14ac:dyDescent="0.25"/>
  <cols>
    <col min="1" max="1" width="28" bestFit="1" customWidth="1"/>
  </cols>
  <sheetData>
    <row r="1" spans="1:28" x14ac:dyDescent="0.25">
      <c r="A1" s="4"/>
      <c r="B1" s="4" t="s">
        <v>1</v>
      </c>
      <c r="C1" s="4" t="s">
        <v>2</v>
      </c>
      <c r="D1" s="4" t="s">
        <v>3</v>
      </c>
      <c r="E1" s="4" t="s">
        <v>4</v>
      </c>
      <c r="F1" s="4" t="s">
        <v>15</v>
      </c>
      <c r="G1" s="4" t="s">
        <v>17</v>
      </c>
      <c r="H1" s="4" t="s">
        <v>125</v>
      </c>
      <c r="I1" s="4" t="s">
        <v>126</v>
      </c>
      <c r="J1" s="4" t="s">
        <v>127</v>
      </c>
      <c r="K1" s="4" t="s">
        <v>128</v>
      </c>
      <c r="L1" s="4" t="s">
        <v>137</v>
      </c>
      <c r="M1" s="4" t="s">
        <v>138</v>
      </c>
      <c r="N1" s="4" t="s">
        <v>139</v>
      </c>
      <c r="O1" s="4" t="s">
        <v>129</v>
      </c>
      <c r="P1" s="4" t="s">
        <v>140</v>
      </c>
      <c r="Q1" s="4" t="s">
        <v>141</v>
      </c>
      <c r="R1" s="4" t="s">
        <v>142</v>
      </c>
      <c r="S1" s="4" t="s">
        <v>143</v>
      </c>
      <c r="T1" s="4" t="s">
        <v>145</v>
      </c>
      <c r="U1" s="4" t="s">
        <v>144</v>
      </c>
      <c r="V1" s="4" t="s">
        <v>130</v>
      </c>
      <c r="W1" s="4" t="s">
        <v>131</v>
      </c>
      <c r="X1" s="4" t="s">
        <v>132</v>
      </c>
      <c r="Y1" s="4" t="s">
        <v>133</v>
      </c>
      <c r="Z1" s="4" t="s">
        <v>134</v>
      </c>
      <c r="AA1" s="4" t="s">
        <v>135</v>
      </c>
      <c r="AB1" s="4" t="s">
        <v>136</v>
      </c>
    </row>
    <row r="2" spans="1:28" x14ac:dyDescent="0.25">
      <c r="A2" s="2" t="s">
        <v>1</v>
      </c>
      <c r="B2" s="2">
        <v>1</v>
      </c>
      <c r="C2" s="2"/>
      <c r="D2" s="2"/>
      <c r="E2" s="2"/>
      <c r="F2" s="2"/>
      <c r="G2" s="2"/>
      <c r="H2" s="2"/>
      <c r="I2" s="2"/>
      <c r="J2" s="2"/>
      <c r="K2" s="2"/>
      <c r="L2" s="2"/>
      <c r="M2" s="2"/>
      <c r="N2" s="2"/>
      <c r="O2" s="2"/>
      <c r="P2" s="2"/>
      <c r="Q2" s="2"/>
      <c r="R2" s="2"/>
      <c r="S2" s="2"/>
      <c r="T2" s="2"/>
      <c r="U2" s="2"/>
      <c r="V2" s="2"/>
      <c r="W2" s="2"/>
      <c r="X2" s="2"/>
      <c r="Y2" s="2"/>
      <c r="Z2" s="2"/>
      <c r="AA2" s="2"/>
      <c r="AB2" s="2"/>
    </row>
    <row r="3" spans="1:28" x14ac:dyDescent="0.25">
      <c r="A3" s="2" t="s">
        <v>2</v>
      </c>
      <c r="B3" s="2">
        <v>0.71131611027532493</v>
      </c>
      <c r="C3" s="2">
        <v>1</v>
      </c>
      <c r="D3" s="2"/>
      <c r="E3" s="2"/>
      <c r="F3" s="2"/>
      <c r="G3" s="2"/>
      <c r="H3" s="2"/>
      <c r="I3" s="2"/>
      <c r="J3" s="2"/>
      <c r="K3" s="2"/>
      <c r="L3" s="2"/>
      <c r="M3" s="2"/>
      <c r="N3" s="2"/>
      <c r="O3" s="2"/>
      <c r="P3" s="2"/>
      <c r="Q3" s="2"/>
      <c r="R3" s="2"/>
      <c r="S3" s="2"/>
      <c r="T3" s="2"/>
      <c r="U3" s="2"/>
      <c r="V3" s="2"/>
      <c r="W3" s="2"/>
      <c r="X3" s="2"/>
      <c r="Y3" s="2"/>
      <c r="Z3" s="2"/>
      <c r="AA3" s="2"/>
      <c r="AB3" s="2"/>
    </row>
    <row r="4" spans="1:28" x14ac:dyDescent="0.25">
      <c r="A4" s="2" t="s">
        <v>3</v>
      </c>
      <c r="B4" s="2">
        <v>0.69594365874519781</v>
      </c>
      <c r="C4" s="2">
        <v>0.67258551955553636</v>
      </c>
      <c r="D4" s="2">
        <v>1</v>
      </c>
      <c r="E4" s="2"/>
      <c r="F4" s="2"/>
      <c r="G4" s="2"/>
      <c r="H4" s="2"/>
      <c r="I4" s="2"/>
      <c r="J4" s="2"/>
      <c r="K4" s="2"/>
      <c r="L4" s="2"/>
      <c r="M4" s="2"/>
      <c r="N4" s="2"/>
      <c r="O4" s="2"/>
      <c r="P4" s="2"/>
      <c r="Q4" s="2"/>
      <c r="R4" s="2"/>
      <c r="S4" s="2"/>
      <c r="T4" s="2"/>
      <c r="U4" s="2"/>
      <c r="V4" s="2"/>
      <c r="W4" s="2"/>
      <c r="X4" s="2"/>
      <c r="Y4" s="2"/>
      <c r="Z4" s="2"/>
      <c r="AA4" s="2"/>
      <c r="AB4" s="2"/>
    </row>
    <row r="5" spans="1:28" x14ac:dyDescent="0.25">
      <c r="A5" s="2" t="s">
        <v>4</v>
      </c>
      <c r="B5" s="2">
        <v>4.9670620267944721E-2</v>
      </c>
      <c r="C5" s="2">
        <v>2.0698402277160122E-2</v>
      </c>
      <c r="D5" s="2">
        <v>3.2504506312438008E-2</v>
      </c>
      <c r="E5" s="2">
        <v>1</v>
      </c>
      <c r="F5" s="2"/>
      <c r="G5" s="2"/>
      <c r="H5" s="2"/>
      <c r="I5" s="2"/>
      <c r="J5" s="2"/>
      <c r="K5" s="2"/>
      <c r="L5" s="2"/>
      <c r="M5" s="2"/>
      <c r="N5" s="2"/>
      <c r="O5" s="2"/>
      <c r="P5" s="2"/>
      <c r="Q5" s="2"/>
      <c r="R5" s="2"/>
      <c r="S5" s="2"/>
      <c r="T5" s="2"/>
      <c r="U5" s="2"/>
      <c r="V5" s="2"/>
      <c r="W5" s="2"/>
      <c r="X5" s="2"/>
      <c r="Y5" s="2"/>
      <c r="Z5" s="2"/>
      <c r="AA5" s="2"/>
      <c r="AB5" s="2"/>
    </row>
    <row r="6" spans="1:28" x14ac:dyDescent="0.25">
      <c r="A6" s="2" t="s">
        <v>15</v>
      </c>
      <c r="B6" s="2">
        <v>-8.4973760441948529E-2</v>
      </c>
      <c r="C6" s="2">
        <v>-9.4533786578549106E-2</v>
      </c>
      <c r="D6" s="2">
        <v>-1.6736849214634097E-2</v>
      </c>
      <c r="E6" s="2">
        <v>-7.7356053268805111E-2</v>
      </c>
      <c r="F6" s="2">
        <v>1</v>
      </c>
      <c r="G6" s="2"/>
      <c r="H6" s="2"/>
      <c r="I6" s="2"/>
      <c r="J6" s="2"/>
      <c r="K6" s="2"/>
      <c r="L6" s="2"/>
      <c r="M6" s="2"/>
      <c r="N6" s="2"/>
      <c r="O6" s="2"/>
      <c r="P6" s="2"/>
      <c r="Q6" s="2"/>
      <c r="R6" s="2"/>
      <c r="S6" s="2"/>
      <c r="T6" s="2"/>
      <c r="U6" s="2"/>
      <c r="V6" s="2"/>
      <c r="W6" s="2"/>
      <c r="X6" s="2"/>
      <c r="Y6" s="2"/>
      <c r="Z6" s="2"/>
      <c r="AA6" s="2"/>
      <c r="AB6" s="2"/>
    </row>
    <row r="7" spans="1:28" x14ac:dyDescent="0.25">
      <c r="A7" s="2" t="s">
        <v>17</v>
      </c>
      <c r="B7" s="2">
        <v>0.12981746835546634</v>
      </c>
      <c r="C7" s="2">
        <v>0.28869652812225927</v>
      </c>
      <c r="D7" s="2">
        <v>0.29065173945846884</v>
      </c>
      <c r="E7" s="2">
        <v>5.1771410135776318E-2</v>
      </c>
      <c r="F7" s="2">
        <v>6.2404653771004756E-3</v>
      </c>
      <c r="G7" s="2">
        <v>1</v>
      </c>
      <c r="H7" s="2"/>
      <c r="I7" s="2"/>
      <c r="J7" s="2"/>
      <c r="K7" s="2"/>
      <c r="L7" s="2"/>
      <c r="M7" s="2"/>
      <c r="N7" s="2"/>
      <c r="O7" s="2"/>
      <c r="P7" s="2"/>
      <c r="Q7" s="2"/>
      <c r="R7" s="2"/>
      <c r="S7" s="2"/>
      <c r="T7" s="2"/>
      <c r="U7" s="2"/>
      <c r="V7" s="2"/>
      <c r="W7" s="2"/>
      <c r="X7" s="2"/>
      <c r="Y7" s="2"/>
      <c r="Z7" s="2"/>
      <c r="AA7" s="2"/>
      <c r="AB7" s="2"/>
    </row>
    <row r="8" spans="1:28" x14ac:dyDescent="0.25">
      <c r="A8" s="2" t="s">
        <v>125</v>
      </c>
      <c r="B8" s="2">
        <v>2.0022479318369188E-2</v>
      </c>
      <c r="C8" s="2">
        <v>1.8155937734108889E-2</v>
      </c>
      <c r="D8" s="2">
        <v>4.2713775642428564E-2</v>
      </c>
      <c r="E8" s="2">
        <v>4.2662244421804156E-2</v>
      </c>
      <c r="F8" s="2">
        <v>-1.85439684811105E-2</v>
      </c>
      <c r="G8" s="2">
        <v>7.4719668131026401E-2</v>
      </c>
      <c r="H8" s="2">
        <v>1</v>
      </c>
      <c r="I8" s="2"/>
      <c r="J8" s="2"/>
      <c r="K8" s="2"/>
      <c r="L8" s="2"/>
      <c r="M8" s="2"/>
      <c r="N8" s="2"/>
      <c r="O8" s="2"/>
      <c r="P8" s="2"/>
      <c r="Q8" s="2"/>
      <c r="R8" s="2"/>
      <c r="S8" s="2"/>
      <c r="T8" s="2"/>
      <c r="U8" s="2"/>
      <c r="V8" s="2"/>
      <c r="W8" s="2"/>
      <c r="X8" s="2"/>
      <c r="Y8" s="2"/>
      <c r="Z8" s="2"/>
      <c r="AA8" s="2"/>
      <c r="AB8" s="2"/>
    </row>
    <row r="9" spans="1:28" x14ac:dyDescent="0.25">
      <c r="A9" s="2" t="s">
        <v>126</v>
      </c>
      <c r="B9" s="2">
        <v>-5.7922360980158438E-3</v>
      </c>
      <c r="C9" s="2">
        <v>1.9450229398505756E-2</v>
      </c>
      <c r="D9" s="2">
        <v>-4.0183078966676868E-2</v>
      </c>
      <c r="E9" s="2">
        <v>1.3626983420479558E-2</v>
      </c>
      <c r="F9" s="2">
        <v>5.5461308116357133E-3</v>
      </c>
      <c r="G9" s="2">
        <v>-4.4698511201961477E-3</v>
      </c>
      <c r="H9" s="2">
        <v>-0.31810765000357333</v>
      </c>
      <c r="I9" s="2">
        <v>1</v>
      </c>
      <c r="J9" s="2"/>
      <c r="K9" s="2"/>
      <c r="L9" s="2"/>
      <c r="M9" s="2"/>
      <c r="N9" s="2"/>
      <c r="O9" s="2"/>
      <c r="P9" s="2"/>
      <c r="Q9" s="2"/>
      <c r="R9" s="2"/>
      <c r="S9" s="2"/>
      <c r="T9" s="2"/>
      <c r="U9" s="2"/>
      <c r="V9" s="2"/>
      <c r="W9" s="2"/>
      <c r="X9" s="2"/>
      <c r="Y9" s="2"/>
      <c r="Z9" s="2"/>
      <c r="AA9" s="2"/>
      <c r="AB9" s="2"/>
    </row>
    <row r="10" spans="1:28" x14ac:dyDescent="0.25">
      <c r="A10" s="2" t="s">
        <v>127</v>
      </c>
      <c r="B10" s="2">
        <v>4.5630547980890545E-3</v>
      </c>
      <c r="C10" s="2">
        <v>-5.5898363792507757E-3</v>
      </c>
      <c r="D10" s="2">
        <v>4.8825455381701563E-2</v>
      </c>
      <c r="E10" s="2">
        <v>-4.2381506855001111E-2</v>
      </c>
      <c r="F10" s="2">
        <v>1.2538059288773679E-2</v>
      </c>
      <c r="G10" s="2">
        <v>2.687028875024795E-2</v>
      </c>
      <c r="H10" s="2">
        <v>-0.3290635926731037</v>
      </c>
      <c r="I10" s="2">
        <v>-0.3428432998312837</v>
      </c>
      <c r="J10" s="2">
        <v>1</v>
      </c>
      <c r="K10" s="2"/>
      <c r="L10" s="2"/>
      <c r="M10" s="2"/>
      <c r="N10" s="2"/>
      <c r="O10" s="2"/>
      <c r="P10" s="2"/>
      <c r="Q10" s="2"/>
      <c r="R10" s="2"/>
      <c r="S10" s="2"/>
      <c r="T10" s="2"/>
      <c r="U10" s="2"/>
      <c r="V10" s="2"/>
      <c r="W10" s="2"/>
      <c r="X10" s="2"/>
      <c r="Y10" s="2"/>
      <c r="Z10" s="2"/>
      <c r="AA10" s="2"/>
      <c r="AB10" s="2"/>
    </row>
    <row r="11" spans="1:28" x14ac:dyDescent="0.25">
      <c r="A11" s="2" t="s">
        <v>128</v>
      </c>
      <c r="B11" s="2">
        <v>-1.8293672158605993E-2</v>
      </c>
      <c r="C11" s="2">
        <v>-3.1275935601976911E-2</v>
      </c>
      <c r="D11" s="2">
        <v>-5.0843000657105057E-2</v>
      </c>
      <c r="E11" s="2">
        <v>-1.2200192405359295E-2</v>
      </c>
      <c r="F11" s="2">
        <v>-1.3788658045061771E-4</v>
      </c>
      <c r="G11" s="2">
        <v>-9.5191241019633138E-2</v>
      </c>
      <c r="H11" s="2">
        <v>-0.32358462956079226</v>
      </c>
      <c r="I11" s="2">
        <v>-0.33713490232118182</v>
      </c>
      <c r="J11" s="2">
        <v>-0.34874616241407275</v>
      </c>
      <c r="K11" s="2">
        <v>1</v>
      </c>
      <c r="L11" s="2"/>
      <c r="M11" s="2"/>
      <c r="N11" s="2"/>
      <c r="O11" s="2"/>
      <c r="P11" s="2"/>
      <c r="Q11" s="2"/>
      <c r="R11" s="2"/>
      <c r="S11" s="2"/>
      <c r="T11" s="2"/>
      <c r="U11" s="2"/>
      <c r="V11" s="2"/>
      <c r="W11" s="2"/>
      <c r="X11" s="2"/>
      <c r="Y11" s="2"/>
      <c r="Z11" s="2"/>
      <c r="AA11" s="2"/>
      <c r="AB11" s="2"/>
    </row>
    <row r="12" spans="1:28" x14ac:dyDescent="0.25">
      <c r="A12" s="2" t="s">
        <v>137</v>
      </c>
      <c r="B12" s="2">
        <v>6.2320639629434189E-2</v>
      </c>
      <c r="C12" s="2">
        <v>2.0884580414735388E-2</v>
      </c>
      <c r="D12" s="2">
        <v>4.6501914263980225E-2</v>
      </c>
      <c r="E12" s="2">
        <v>-5.5191954026757382E-2</v>
      </c>
      <c r="F12" s="2">
        <v>-8.6909274458015807E-3</v>
      </c>
      <c r="G12" s="2">
        <v>-4.4062129894860309E-2</v>
      </c>
      <c r="H12" s="2">
        <v>9.2839316779035255E-3</v>
      </c>
      <c r="I12" s="2">
        <v>-3.7204619205303519E-2</v>
      </c>
      <c r="J12" s="2">
        <v>4.42808832230712E-2</v>
      </c>
      <c r="K12" s="2">
        <v>-1.6762644897763659E-2</v>
      </c>
      <c r="L12" s="2">
        <v>1</v>
      </c>
      <c r="M12" s="2"/>
      <c r="N12" s="2"/>
      <c r="O12" s="2"/>
      <c r="P12" s="2"/>
      <c r="Q12" s="2"/>
      <c r="R12" s="2"/>
      <c r="S12" s="2"/>
      <c r="T12" s="2"/>
      <c r="U12" s="2"/>
      <c r="V12" s="2"/>
      <c r="W12" s="2"/>
      <c r="X12" s="2"/>
      <c r="Y12" s="2"/>
      <c r="Z12" s="2"/>
      <c r="AA12" s="2"/>
      <c r="AB12" s="2"/>
    </row>
    <row r="13" spans="1:28" x14ac:dyDescent="0.25">
      <c r="A13" s="2" t="s">
        <v>138</v>
      </c>
      <c r="B13" s="2">
        <v>7.5213356492698025E-3</v>
      </c>
      <c r="C13" s="2">
        <v>3.8566732686929422E-2</v>
      </c>
      <c r="D13" s="2">
        <v>-1.488776478531653E-2</v>
      </c>
      <c r="E13" s="2">
        <v>-5.5363899505926531E-2</v>
      </c>
      <c r="F13" s="2">
        <v>-6.424465396290506E-2</v>
      </c>
      <c r="G13" s="2">
        <v>3.0887400790653146E-2</v>
      </c>
      <c r="H13" s="2">
        <v>2.4912636598591483E-3</v>
      </c>
      <c r="I13" s="2">
        <v>0.10197886365699724</v>
      </c>
      <c r="J13" s="2">
        <v>-4.3679545290357676E-2</v>
      </c>
      <c r="K13" s="2">
        <v>-5.9502812267173369E-2</v>
      </c>
      <c r="L13" s="2">
        <v>-0.39799184214919348</v>
      </c>
      <c r="M13" s="2">
        <v>1</v>
      </c>
      <c r="N13" s="2"/>
      <c r="O13" s="2"/>
      <c r="P13" s="2"/>
      <c r="Q13" s="2"/>
      <c r="R13" s="2"/>
      <c r="S13" s="2"/>
      <c r="T13" s="2"/>
      <c r="U13" s="2"/>
      <c r="V13" s="2"/>
      <c r="W13" s="2"/>
      <c r="X13" s="2"/>
      <c r="Y13" s="2"/>
      <c r="Z13" s="2"/>
      <c r="AA13" s="2"/>
      <c r="AB13" s="2"/>
    </row>
    <row r="14" spans="1:28" x14ac:dyDescent="0.25">
      <c r="A14" s="2" t="s">
        <v>139</v>
      </c>
      <c r="B14" s="2">
        <v>-6.6546633669941041E-2</v>
      </c>
      <c r="C14" s="2">
        <v>-5.2889026643206917E-2</v>
      </c>
      <c r="D14" s="2">
        <v>-3.2259278456526083E-2</v>
      </c>
      <c r="E14" s="2">
        <v>0.10026306598377796</v>
      </c>
      <c r="F14" s="2">
        <v>6.2907190572798324E-2</v>
      </c>
      <c r="G14" s="2">
        <v>1.6326880422583925E-2</v>
      </c>
      <c r="H14" s="2">
        <v>-1.107672503209409E-2</v>
      </c>
      <c r="I14" s="2">
        <v>-5.0620429150500829E-2</v>
      </c>
      <c r="J14" s="2">
        <v>-5.6828527664863886E-3</v>
      </c>
      <c r="K14" s="2">
        <v>6.6675749086015257E-2</v>
      </c>
      <c r="L14" s="2">
        <v>-0.62766723860298768</v>
      </c>
      <c r="M14" s="2">
        <v>-0.46436411954683604</v>
      </c>
      <c r="N14" s="2">
        <v>1</v>
      </c>
      <c r="O14" s="2"/>
      <c r="P14" s="2"/>
      <c r="Q14" s="2"/>
      <c r="R14" s="2"/>
      <c r="S14" s="2"/>
      <c r="T14" s="2"/>
      <c r="U14" s="2"/>
      <c r="V14" s="2"/>
      <c r="W14" s="2"/>
      <c r="X14" s="2"/>
      <c r="Y14" s="2"/>
      <c r="Z14" s="2"/>
      <c r="AA14" s="2"/>
      <c r="AB14" s="2"/>
    </row>
    <row r="15" spans="1:28" x14ac:dyDescent="0.25">
      <c r="A15" s="2" t="s">
        <v>129</v>
      </c>
      <c r="B15" s="2">
        <v>-6.0753884602780452E-2</v>
      </c>
      <c r="C15" s="2">
        <v>-5.8822011093019932E-2</v>
      </c>
      <c r="D15" s="2">
        <v>-8.6459781356763729E-2</v>
      </c>
      <c r="E15" s="2">
        <v>4.4074330780413874E-2</v>
      </c>
      <c r="F15" s="2">
        <v>-0.219950910762721</v>
      </c>
      <c r="G15" s="2">
        <v>-1.0564444983475418E-2</v>
      </c>
      <c r="H15" s="2">
        <v>-2.4442483931474388E-2</v>
      </c>
      <c r="I15" s="2">
        <v>-7.4953096809224845E-3</v>
      </c>
      <c r="J15" s="2">
        <v>2.3062837390679772E-2</v>
      </c>
      <c r="K15" s="2">
        <v>7.9092121085115926E-3</v>
      </c>
      <c r="L15" s="2">
        <v>5.9623534841144271E-2</v>
      </c>
      <c r="M15" s="2">
        <v>-7.7155554151890501E-2</v>
      </c>
      <c r="N15" s="2">
        <v>7.9126116275401431E-3</v>
      </c>
      <c r="O15" s="2">
        <v>1</v>
      </c>
      <c r="P15" s="2"/>
      <c r="Q15" s="2"/>
      <c r="R15" s="2"/>
      <c r="S15" s="2"/>
      <c r="T15" s="2"/>
      <c r="U15" s="2"/>
      <c r="V15" s="2"/>
      <c r="W15" s="2"/>
      <c r="X15" s="2"/>
      <c r="Y15" s="2"/>
      <c r="Z15" s="2"/>
      <c r="AA15" s="2"/>
      <c r="AB15" s="2"/>
    </row>
    <row r="16" spans="1:28" x14ac:dyDescent="0.25">
      <c r="A16" s="2" t="s">
        <v>140</v>
      </c>
      <c r="B16" s="2">
        <v>3.1744623818485904E-2</v>
      </c>
      <c r="C16" s="2">
        <v>1.674545686623204E-2</v>
      </c>
      <c r="D16" s="2">
        <v>-4.3124129379060322E-2</v>
      </c>
      <c r="E16" s="2">
        <v>-8.7090802576935147E-2</v>
      </c>
      <c r="F16" s="2">
        <v>-0.30190031648583943</v>
      </c>
      <c r="G16" s="2">
        <v>3.5485369973349296E-3</v>
      </c>
      <c r="H16" s="2">
        <v>-2.1785417554333011E-2</v>
      </c>
      <c r="I16" s="2">
        <v>7.0187701371750462E-3</v>
      </c>
      <c r="J16" s="2">
        <v>1.745899612698364E-2</v>
      </c>
      <c r="K16" s="2">
        <v>-3.4124611239177813E-3</v>
      </c>
      <c r="L16" s="2">
        <v>1.2727377205129528E-3</v>
      </c>
      <c r="M16" s="2">
        <v>0.11938479134157599</v>
      </c>
      <c r="N16" s="2">
        <v>-0.10253674195513995</v>
      </c>
      <c r="O16" s="2">
        <v>6.1171423977437869E-2</v>
      </c>
      <c r="P16" s="2">
        <v>1</v>
      </c>
      <c r="Q16" s="2"/>
      <c r="R16" s="2"/>
      <c r="S16" s="2"/>
      <c r="T16" s="2"/>
      <c r="U16" s="2"/>
      <c r="V16" s="2"/>
      <c r="W16" s="2"/>
      <c r="X16" s="2"/>
      <c r="Y16" s="2"/>
      <c r="Z16" s="2"/>
      <c r="AA16" s="2"/>
      <c r="AB16" s="2"/>
    </row>
    <row r="17" spans="1:28" x14ac:dyDescent="0.25">
      <c r="A17" s="2" t="s">
        <v>141</v>
      </c>
      <c r="B17" s="2">
        <v>-1.8211622181313246E-2</v>
      </c>
      <c r="C17" s="2">
        <v>-5.1773475004615231E-2</v>
      </c>
      <c r="D17" s="2">
        <v>-5.2078904835762663E-2</v>
      </c>
      <c r="E17" s="2">
        <v>-0.13451916372371875</v>
      </c>
      <c r="F17" s="2">
        <v>-0.15491037212015005</v>
      </c>
      <c r="G17" s="2">
        <v>-0.11019580490695124</v>
      </c>
      <c r="H17" s="2">
        <v>-1.3299342288902716E-2</v>
      </c>
      <c r="I17" s="2">
        <v>-1.2377431207930959E-3</v>
      </c>
      <c r="J17" s="2">
        <v>2.481629385404444E-3</v>
      </c>
      <c r="K17" s="2">
        <v>1.163587094008766E-2</v>
      </c>
      <c r="L17" s="2">
        <v>8.8267004032145588E-3</v>
      </c>
      <c r="M17" s="2">
        <v>-0.10689919532477046</v>
      </c>
      <c r="N17" s="2">
        <v>8.2191697288265364E-2</v>
      </c>
      <c r="O17" s="2">
        <v>0.1639799309570831</v>
      </c>
      <c r="P17" s="2">
        <v>-0.4346733038471291</v>
      </c>
      <c r="Q17" s="2">
        <v>1</v>
      </c>
      <c r="R17" s="2"/>
      <c r="S17" s="2"/>
      <c r="T17" s="2"/>
      <c r="U17" s="2"/>
      <c r="V17" s="2"/>
      <c r="W17" s="2"/>
      <c r="X17" s="2"/>
      <c r="Y17" s="2"/>
      <c r="Z17" s="2"/>
      <c r="AA17" s="2"/>
      <c r="AB17" s="2"/>
    </row>
    <row r="18" spans="1:28" x14ac:dyDescent="0.25">
      <c r="A18" s="2" t="s">
        <v>142</v>
      </c>
      <c r="B18" s="2">
        <v>-1.3891074835133445E-2</v>
      </c>
      <c r="C18" s="2">
        <v>3.1305626356187208E-2</v>
      </c>
      <c r="D18" s="2">
        <v>8.925216857620813E-2</v>
      </c>
      <c r="E18" s="2">
        <v>0.20713300085693603</v>
      </c>
      <c r="F18" s="2">
        <v>0.43272113563804315</v>
      </c>
      <c r="G18" s="2">
        <v>9.754360220424893E-2</v>
      </c>
      <c r="H18" s="2">
        <v>3.3168709760538075E-2</v>
      </c>
      <c r="I18" s="2">
        <v>-5.626494861086892E-3</v>
      </c>
      <c r="J18" s="2">
        <v>-1.9090271608248225E-2</v>
      </c>
      <c r="K18" s="2">
        <v>-7.3739026246293048E-3</v>
      </c>
      <c r="L18" s="2">
        <v>-9.3129447839328285E-3</v>
      </c>
      <c r="M18" s="2">
        <v>-1.7050858879091545E-2</v>
      </c>
      <c r="N18" s="2">
        <v>2.3459776331328893E-2</v>
      </c>
      <c r="O18" s="2">
        <v>-0.20915931811979888</v>
      </c>
      <c r="P18" s="2">
        <v>-0.56495699538304367</v>
      </c>
      <c r="Q18" s="2">
        <v>-0.49752193375964193</v>
      </c>
      <c r="R18" s="2">
        <v>1</v>
      </c>
      <c r="S18" s="2"/>
      <c r="T18" s="2"/>
      <c r="U18" s="2"/>
      <c r="V18" s="2"/>
      <c r="W18" s="2"/>
      <c r="X18" s="2"/>
      <c r="Y18" s="2"/>
      <c r="Z18" s="2"/>
      <c r="AA18" s="2"/>
      <c r="AB18" s="2"/>
    </row>
    <row r="19" spans="1:28" x14ac:dyDescent="0.25">
      <c r="A19" s="2" t="s">
        <v>143</v>
      </c>
      <c r="B19" s="2">
        <v>-5.9753675062658038E-2</v>
      </c>
      <c r="C19" s="2">
        <v>2.8599049916934197E-2</v>
      </c>
      <c r="D19" s="2">
        <v>-5.5919833559295411E-2</v>
      </c>
      <c r="E19" s="2">
        <v>-6.3422357688981329E-2</v>
      </c>
      <c r="F19" s="2">
        <v>2.6012948834072236E-2</v>
      </c>
      <c r="G19" s="2">
        <v>-6.4545783784971902E-2</v>
      </c>
      <c r="H19" s="2">
        <v>-7.7212875751685339E-2</v>
      </c>
      <c r="I19" s="2">
        <v>2.3662047419528449E-2</v>
      </c>
      <c r="J19" s="2">
        <v>-3.2007438521392175E-3</v>
      </c>
      <c r="K19" s="2">
        <v>5.4718844758842297E-2</v>
      </c>
      <c r="L19" s="2">
        <v>-3.183034431585182E-2</v>
      </c>
      <c r="M19" s="2">
        <v>0.10160973448235282</v>
      </c>
      <c r="N19" s="2">
        <v>-5.5495499854759212E-2</v>
      </c>
      <c r="O19" s="2">
        <v>8.5652424641505964E-2</v>
      </c>
      <c r="P19" s="2">
        <v>-1.0647304689633183E-3</v>
      </c>
      <c r="Q19" s="2">
        <v>1.8256134017041455E-2</v>
      </c>
      <c r="R19" s="2">
        <v>-1.5700744979764644E-2</v>
      </c>
      <c r="S19" s="2">
        <v>1</v>
      </c>
      <c r="T19" s="2"/>
      <c r="U19" s="2"/>
      <c r="V19" s="2"/>
      <c r="W19" s="2"/>
      <c r="X19" s="2"/>
      <c r="Y19" s="2"/>
      <c r="Z19" s="2"/>
      <c r="AA19" s="2"/>
      <c r="AB19" s="2"/>
    </row>
    <row r="20" spans="1:28" x14ac:dyDescent="0.25">
      <c r="A20" s="2" t="s">
        <v>145</v>
      </c>
      <c r="B20" s="2">
        <v>-2.610517823339692E-2</v>
      </c>
      <c r="C20" s="2">
        <v>4.4310703162413631E-2</v>
      </c>
      <c r="D20" s="2">
        <v>9.1324816338267268E-3</v>
      </c>
      <c r="E20" s="2">
        <v>1.1706496922327926E-2</v>
      </c>
      <c r="F20" s="2">
        <v>0.15300007512109498</v>
      </c>
      <c r="G20" s="2">
        <v>3.3259004245569615E-2</v>
      </c>
      <c r="H20" s="2">
        <v>-9.4769356434503085E-2</v>
      </c>
      <c r="I20" s="2">
        <v>2.7601354224663265E-2</v>
      </c>
      <c r="J20" s="2">
        <v>-3.5065878442562821E-2</v>
      </c>
      <c r="K20" s="2">
        <v>9.9980277539568591E-2</v>
      </c>
      <c r="L20" s="2">
        <v>-1.9290290935631688E-2</v>
      </c>
      <c r="M20" s="2">
        <v>-5.1060532695541797E-2</v>
      </c>
      <c r="N20" s="2">
        <v>6.1951945660446553E-2</v>
      </c>
      <c r="O20" s="2">
        <v>6.1430368695543471E-3</v>
      </c>
      <c r="P20" s="2">
        <v>-6.0856175742559949E-2</v>
      </c>
      <c r="Q20" s="2">
        <v>-1.9449588123096561E-2</v>
      </c>
      <c r="R20" s="2">
        <v>7.6436738861219405E-2</v>
      </c>
      <c r="S20" s="2">
        <v>-0.26411574248753911</v>
      </c>
      <c r="T20" s="2">
        <v>1</v>
      </c>
      <c r="U20" s="2"/>
      <c r="V20" s="2"/>
      <c r="W20" s="2"/>
      <c r="X20" s="2"/>
      <c r="Y20" s="2"/>
      <c r="Z20" s="2"/>
      <c r="AA20" s="2"/>
      <c r="AB20" s="2"/>
    </row>
    <row r="21" spans="1:28" x14ac:dyDescent="0.25">
      <c r="A21" s="2" t="s">
        <v>144</v>
      </c>
      <c r="B21" s="2">
        <v>6.9270516152700232E-2</v>
      </c>
      <c r="C21" s="2">
        <v>-6.0608625312698429E-2</v>
      </c>
      <c r="D21" s="2">
        <v>3.586443364587312E-2</v>
      </c>
      <c r="E21" s="2">
        <v>3.9512360806326141E-2</v>
      </c>
      <c r="F21" s="2">
        <v>-0.15237477019602172</v>
      </c>
      <c r="G21" s="2">
        <v>2.1793309540779529E-2</v>
      </c>
      <c r="H21" s="2">
        <v>0.14217953316795801</v>
      </c>
      <c r="I21" s="2">
        <v>-4.2327836258522503E-2</v>
      </c>
      <c r="J21" s="2">
        <v>3.2762591104434205E-2</v>
      </c>
      <c r="K21" s="2">
        <v>-0.12907946894967534</v>
      </c>
      <c r="L21" s="2">
        <v>4.1546025008994618E-2</v>
      </c>
      <c r="M21" s="2">
        <v>-3.5426558306132248E-2</v>
      </c>
      <c r="N21" s="2">
        <v>-1.0045983521675933E-2</v>
      </c>
      <c r="O21" s="2">
        <v>-7.2305039745100788E-2</v>
      </c>
      <c r="P21" s="2">
        <v>5.3346349363295277E-2</v>
      </c>
      <c r="Q21" s="2">
        <v>2.5018514687954753E-3</v>
      </c>
      <c r="R21" s="2">
        <v>-5.3675690436072884E-2</v>
      </c>
      <c r="S21" s="2">
        <v>-0.55437140571248333</v>
      </c>
      <c r="T21" s="2">
        <v>-0.65629811859067277</v>
      </c>
      <c r="U21" s="2">
        <v>1</v>
      </c>
      <c r="V21" s="2"/>
      <c r="W21" s="2"/>
      <c r="X21" s="2"/>
      <c r="Y21" s="2"/>
      <c r="Z21" s="2"/>
      <c r="AA21" s="2"/>
      <c r="AB21" s="2"/>
    </row>
    <row r="22" spans="1:28" x14ac:dyDescent="0.25">
      <c r="A22" s="2" t="s">
        <v>130</v>
      </c>
      <c r="B22" s="2">
        <v>-4.4916188634002284E-2</v>
      </c>
      <c r="C22" s="2">
        <v>2.4350417407456495E-3</v>
      </c>
      <c r="D22" s="2">
        <v>1.5219329147087646E-3</v>
      </c>
      <c r="E22" s="2">
        <v>4.2948234670245597E-2</v>
      </c>
      <c r="F22" s="2">
        <v>0.14901727081317553</v>
      </c>
      <c r="G22" s="2">
        <v>7.9093473286410299E-3</v>
      </c>
      <c r="H22" s="2">
        <v>-2.2421473779472879E-2</v>
      </c>
      <c r="I22" s="2">
        <v>-3.5560143958767478E-2</v>
      </c>
      <c r="J22" s="2">
        <v>9.7278311791343913E-2</v>
      </c>
      <c r="K22" s="2">
        <v>-4.104395339580743E-2</v>
      </c>
      <c r="L22" s="2">
        <v>-7.534322921975542E-2</v>
      </c>
      <c r="M22" s="2">
        <v>5.8738808652609963E-2</v>
      </c>
      <c r="N22" s="2">
        <v>2.2891290155747809E-2</v>
      </c>
      <c r="O22" s="2">
        <v>-1.8569356028361121E-2</v>
      </c>
      <c r="P22" s="2">
        <v>-3.3437500394951782E-2</v>
      </c>
      <c r="Q22" s="2">
        <v>-2.3031236734296873E-3</v>
      </c>
      <c r="R22" s="2">
        <v>3.4317305492758528E-2</v>
      </c>
      <c r="S22" s="2">
        <v>2.7667361175114081E-2</v>
      </c>
      <c r="T22" s="2">
        <v>1.8270469143353719E-2</v>
      </c>
      <c r="U22" s="2">
        <v>-3.7409393091792857E-2</v>
      </c>
      <c r="V22" s="2">
        <v>1</v>
      </c>
      <c r="W22" s="2"/>
      <c r="X22" s="2"/>
      <c r="Y22" s="2"/>
      <c r="Z22" s="2"/>
      <c r="AA22" s="2"/>
      <c r="AB22" s="2"/>
    </row>
    <row r="23" spans="1:28" x14ac:dyDescent="0.25">
      <c r="A23" s="2" t="s">
        <v>131</v>
      </c>
      <c r="B23" s="2">
        <v>-4.5206467770106742E-2</v>
      </c>
      <c r="C23" s="2">
        <v>-0.11703831708690293</v>
      </c>
      <c r="D23" s="2">
        <v>-1.9584895000643671E-2</v>
      </c>
      <c r="E23" s="2">
        <v>-1.7013565566400483E-3</v>
      </c>
      <c r="F23" s="2">
        <v>-3.1909648511939954E-2</v>
      </c>
      <c r="G23" s="2">
        <v>-1.5480633390381235E-2</v>
      </c>
      <c r="H23" s="2">
        <v>-8.792386182806676E-2</v>
      </c>
      <c r="I23" s="2">
        <v>9.9011114250066676E-4</v>
      </c>
      <c r="J23" s="2">
        <v>3.1832411063266973E-2</v>
      </c>
      <c r="K23" s="2">
        <v>5.2279130857286832E-2</v>
      </c>
      <c r="L23" s="2">
        <v>-1.8122344752899113E-2</v>
      </c>
      <c r="M23" s="2">
        <v>-9.7531780671610752E-2</v>
      </c>
      <c r="N23" s="2">
        <v>0.10025917988868106</v>
      </c>
      <c r="O23" s="2">
        <v>4.8986746254713248E-2</v>
      </c>
      <c r="P23" s="2">
        <v>-4.1752778795402276E-2</v>
      </c>
      <c r="Q23" s="2">
        <v>3.946945340512909E-3</v>
      </c>
      <c r="R23" s="2">
        <v>3.6600303101949332E-2</v>
      </c>
      <c r="S23" s="2">
        <v>-1.0878141002547911E-2</v>
      </c>
      <c r="T23" s="2">
        <v>-4.748682263480429E-2</v>
      </c>
      <c r="U23" s="2">
        <v>4.9486625692315454E-2</v>
      </c>
      <c r="V23" s="2">
        <v>-0.15630832983454862</v>
      </c>
      <c r="W23" s="2">
        <v>1</v>
      </c>
      <c r="X23" s="2"/>
      <c r="Y23" s="2"/>
      <c r="Z23" s="2"/>
      <c r="AA23" s="2"/>
      <c r="AB23" s="2"/>
    </row>
    <row r="24" spans="1:28" x14ac:dyDescent="0.25">
      <c r="A24" s="2" t="s">
        <v>132</v>
      </c>
      <c r="B24" s="2">
        <v>6.2361000123325488E-2</v>
      </c>
      <c r="C24" s="2">
        <v>6.6869952839689384E-2</v>
      </c>
      <c r="D24" s="2">
        <v>5.8921987291556469E-2</v>
      </c>
      <c r="E24" s="2">
        <v>8.6601921241673707E-2</v>
      </c>
      <c r="F24" s="2">
        <v>0.12720456613900546</v>
      </c>
      <c r="G24" s="2">
        <v>1.8892369612440063E-2</v>
      </c>
      <c r="H24" s="2">
        <v>4.1269070725011382E-2</v>
      </c>
      <c r="I24" s="2">
        <v>1.2286542895029486E-2</v>
      </c>
      <c r="J24" s="2">
        <v>-0.10313501701982798</v>
      </c>
      <c r="K24" s="2">
        <v>5.1729435218200018E-2</v>
      </c>
      <c r="L24" s="2">
        <v>8.5464114967637877E-4</v>
      </c>
      <c r="M24" s="2">
        <v>-1.5087220892930197E-2</v>
      </c>
      <c r="N24" s="2">
        <v>1.1977709090416783E-2</v>
      </c>
      <c r="O24" s="2">
        <v>1.4202040116913058E-2</v>
      </c>
      <c r="P24" s="2">
        <v>2.2707893724623891E-3</v>
      </c>
      <c r="Q24" s="2">
        <v>-2.6040279605516053E-2</v>
      </c>
      <c r="R24" s="2">
        <v>2.1670909163394574E-2</v>
      </c>
      <c r="S24" s="2">
        <v>7.8064982014105305E-2</v>
      </c>
      <c r="T24" s="2">
        <v>3.7249392493723256E-2</v>
      </c>
      <c r="U24" s="2">
        <v>-9.3211538330682492E-2</v>
      </c>
      <c r="V24" s="2">
        <v>-0.14624496942406748</v>
      </c>
      <c r="W24" s="2">
        <v>-0.14895419346164038</v>
      </c>
      <c r="X24" s="2">
        <v>1</v>
      </c>
      <c r="Y24" s="2"/>
      <c r="Z24" s="2"/>
      <c r="AA24" s="2"/>
      <c r="AB24" s="2"/>
    </row>
    <row r="25" spans="1:28" x14ac:dyDescent="0.25">
      <c r="A25" s="2" t="s">
        <v>133</v>
      </c>
      <c r="B25" s="2">
        <v>5.462127208951742E-2</v>
      </c>
      <c r="C25" s="2">
        <v>6.4571918205633558E-2</v>
      </c>
      <c r="D25" s="2">
        <v>2.2547452911670218E-2</v>
      </c>
      <c r="E25" s="2">
        <v>7.5285444616928314E-3</v>
      </c>
      <c r="F25" s="2">
        <v>-8.747280674364323E-2</v>
      </c>
      <c r="G25" s="2">
        <v>-6.9773672431067838E-3</v>
      </c>
      <c r="H25" s="2">
        <v>-4.1722979543825672E-2</v>
      </c>
      <c r="I25" s="2">
        <v>7.1316244137223983E-2</v>
      </c>
      <c r="J25" s="2">
        <v>-8.0232727874062632E-2</v>
      </c>
      <c r="K25" s="2">
        <v>5.0673300900631005E-2</v>
      </c>
      <c r="L25" s="2">
        <v>-3.5502879925674018E-2</v>
      </c>
      <c r="M25" s="2">
        <v>6.5719422496439278E-2</v>
      </c>
      <c r="N25" s="2">
        <v>-2.1494094770812933E-2</v>
      </c>
      <c r="O25" s="2">
        <v>2.0035372092899618E-2</v>
      </c>
      <c r="P25" s="2">
        <v>-6.1008315099294764E-3</v>
      </c>
      <c r="Q25" s="2">
        <v>-1.1195034244794452E-2</v>
      </c>
      <c r="R25" s="2">
        <v>1.6133261885248221E-2</v>
      </c>
      <c r="S25" s="2">
        <v>-6.3502365918736633E-3</v>
      </c>
      <c r="T25" s="2">
        <v>1.1452490597429969E-2</v>
      </c>
      <c r="U25" s="2">
        <v>-4.9148134043457336E-3</v>
      </c>
      <c r="V25" s="2">
        <v>-0.16192655730513925</v>
      </c>
      <c r="W25" s="2">
        <v>-0.16492628661617284</v>
      </c>
      <c r="X25" s="2">
        <v>-0.1543080894597095</v>
      </c>
      <c r="Y25" s="2">
        <v>1</v>
      </c>
      <c r="Z25" s="2"/>
      <c r="AA25" s="2"/>
      <c r="AB25" s="2"/>
    </row>
    <row r="26" spans="1:28" x14ac:dyDescent="0.25">
      <c r="A26" s="2" t="s">
        <v>134</v>
      </c>
      <c r="B26" s="2">
        <v>1.0143940096604584E-2</v>
      </c>
      <c r="C26" s="2">
        <v>2.0133966907209477E-2</v>
      </c>
      <c r="D26" s="2">
        <v>-1.4932711136132064E-2</v>
      </c>
      <c r="E26" s="2">
        <v>7.3704994281131343E-3</v>
      </c>
      <c r="F26" s="2">
        <v>-5.3043039452977052E-2</v>
      </c>
      <c r="G26" s="2">
        <v>1.0794565894489867E-2</v>
      </c>
      <c r="H26" s="2">
        <v>7.5158370494312204E-2</v>
      </c>
      <c r="I26" s="2">
        <v>-2.868169932905603E-2</v>
      </c>
      <c r="J26" s="2">
        <v>-2.489518105619588E-2</v>
      </c>
      <c r="K26" s="2">
        <v>-1.9422442844174513E-2</v>
      </c>
      <c r="L26" s="2">
        <v>5.3912298517870987E-2</v>
      </c>
      <c r="M26" s="2">
        <v>3.5947420271312272E-2</v>
      </c>
      <c r="N26" s="2">
        <v>-8.2551173558296664E-2</v>
      </c>
      <c r="O26" s="2">
        <v>1.8633614250294358E-2</v>
      </c>
      <c r="P26" s="2">
        <v>4.3201431205870278E-2</v>
      </c>
      <c r="Q26" s="2">
        <v>-8.7270987962489791E-3</v>
      </c>
      <c r="R26" s="2">
        <v>-3.3616068666726465E-2</v>
      </c>
      <c r="S26" s="2">
        <v>3.4107894925445865E-2</v>
      </c>
      <c r="T26" s="2">
        <v>4.0732873363241467E-2</v>
      </c>
      <c r="U26" s="2">
        <v>-6.1830735796935272E-2</v>
      </c>
      <c r="V26" s="2">
        <v>-0.15059750284205958</v>
      </c>
      <c r="W26" s="2">
        <v>-0.15338735863200628</v>
      </c>
      <c r="X26" s="2">
        <v>-0.14351205464814595</v>
      </c>
      <c r="Y26" s="2">
        <v>-0.15890059694003378</v>
      </c>
      <c r="Z26" s="2">
        <v>1</v>
      </c>
      <c r="AA26" s="2"/>
      <c r="AB26" s="2"/>
    </row>
    <row r="27" spans="1:28" x14ac:dyDescent="0.25">
      <c r="A27" s="2" t="s">
        <v>135</v>
      </c>
      <c r="B27" s="2">
        <v>9.6193871663737742E-3</v>
      </c>
      <c r="C27" s="2">
        <v>-4.4720319026779587E-2</v>
      </c>
      <c r="D27" s="2">
        <v>4.8253509015978007E-3</v>
      </c>
      <c r="E27" s="2">
        <v>-6.6456296869141382E-2</v>
      </c>
      <c r="F27" s="2">
        <v>-3.676328336330914E-2</v>
      </c>
      <c r="G27" s="2">
        <v>4.8882873063697561E-2</v>
      </c>
      <c r="H27" s="2">
        <v>9.540040936835345E-2</v>
      </c>
      <c r="I27" s="2">
        <v>-0.10914041577498797</v>
      </c>
      <c r="J27" s="2">
        <v>8.9916421161476315E-2</v>
      </c>
      <c r="K27" s="2">
        <v>-7.5037958303604976E-2</v>
      </c>
      <c r="L27" s="2">
        <v>4.9269021214300303E-2</v>
      </c>
      <c r="M27" s="2">
        <v>-4.8449528077069114E-2</v>
      </c>
      <c r="N27" s="2">
        <v>-6.4506533933483753E-3</v>
      </c>
      <c r="O27" s="2">
        <v>1.8130752914842115E-2</v>
      </c>
      <c r="P27" s="2">
        <v>6.8008294729296256E-3</v>
      </c>
      <c r="Q27" s="2">
        <v>8.8401719840882492E-3</v>
      </c>
      <c r="R27" s="2">
        <v>-1.4649975125035481E-2</v>
      </c>
      <c r="S27" s="2">
        <v>-7.5484974935808996E-2</v>
      </c>
      <c r="T27" s="2">
        <v>-7.2448444837818954E-2</v>
      </c>
      <c r="U27" s="2">
        <v>0.12156688277540853</v>
      </c>
      <c r="V27" s="2">
        <v>-0.17429130597870993</v>
      </c>
      <c r="W27" s="2">
        <v>-0.17752009530088042</v>
      </c>
      <c r="X27" s="2">
        <v>-0.16609109019919127</v>
      </c>
      <c r="Y27" s="2">
        <v>-0.1839007423019525</v>
      </c>
      <c r="Z27" s="2">
        <v>-0.17103428259322248</v>
      </c>
      <c r="AA27" s="2">
        <v>1</v>
      </c>
      <c r="AB27" s="2"/>
    </row>
    <row r="28" spans="1:28" ht="15.75" thickBot="1" x14ac:dyDescent="0.3">
      <c r="A28" s="3" t="s">
        <v>136</v>
      </c>
      <c r="B28" s="3">
        <v>-4.2512701439096336E-2</v>
      </c>
      <c r="C28" s="3">
        <v>1.236943282323971E-2</v>
      </c>
      <c r="D28" s="3">
        <v>-4.7766961415243218E-2</v>
      </c>
      <c r="E28" s="3">
        <v>-6.1130369607910746E-2</v>
      </c>
      <c r="F28" s="3">
        <v>-5.0910674530892368E-2</v>
      </c>
      <c r="G28" s="3">
        <v>-6.1221008692715351E-2</v>
      </c>
      <c r="H28" s="3">
        <v>-5.7638910895149248E-2</v>
      </c>
      <c r="I28" s="3">
        <v>8.7524406466735136E-2</v>
      </c>
      <c r="J28" s="3">
        <v>-1.8575293675032304E-2</v>
      </c>
      <c r="K28" s="3">
        <v>-1.2107162926844344E-2</v>
      </c>
      <c r="L28" s="3">
        <v>2.0692440086156456E-2</v>
      </c>
      <c r="M28" s="3">
        <v>3.5311315635575685E-3</v>
      </c>
      <c r="N28" s="3">
        <v>-2.2972878206409905E-2</v>
      </c>
      <c r="O28" s="3">
        <v>-9.443948158926331E-2</v>
      </c>
      <c r="P28" s="3">
        <v>2.716807915149283E-2</v>
      </c>
      <c r="Q28" s="3">
        <v>3.0932846552514093E-2</v>
      </c>
      <c r="R28" s="3">
        <v>-5.4509163023106016E-2</v>
      </c>
      <c r="S28" s="3">
        <v>-3.3156008223145052E-2</v>
      </c>
      <c r="T28" s="3">
        <v>1.9169869631241052E-2</v>
      </c>
      <c r="U28" s="3">
        <v>9.3953889350800058E-3</v>
      </c>
      <c r="V28" s="3">
        <v>-0.17564532730587953</v>
      </c>
      <c r="W28" s="3">
        <v>-0.17889920020624983</v>
      </c>
      <c r="X28" s="3">
        <v>-0.16738140630026888</v>
      </c>
      <c r="Y28" s="3">
        <v>-0.18532941670289577</v>
      </c>
      <c r="Z28" s="3">
        <v>-0.17236300099950222</v>
      </c>
      <c r="AA28" s="3">
        <v>-0.19948121303258948</v>
      </c>
      <c r="AB28" s="3">
        <v>1</v>
      </c>
    </row>
  </sheetData>
  <conditionalFormatting sqref="A1:AB28">
    <cfRule type="colorScale" priority="1">
      <colorScale>
        <cfvo type="num" val="-1"/>
        <cfvo type="num" val="0"/>
        <cfvo type="num" val="1"/>
        <color rgb="FF002060"/>
        <color theme="0"/>
        <color rgb="FFFF0000"/>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972B8-3465-4DBC-B4CF-70696DFDCA49}">
  <sheetPr codeName="Sheet5">
    <tabColor theme="1" tint="0.34998626667073579"/>
  </sheetPr>
  <dimension ref="A1:AB28"/>
  <sheetViews>
    <sheetView topLeftCell="A14" workbookViewId="0">
      <selection activeCell="F29" sqref="F29"/>
    </sheetView>
  </sheetViews>
  <sheetFormatPr defaultColWidth="8.85546875" defaultRowHeight="15" x14ac:dyDescent="0.25"/>
  <sheetData>
    <row r="1" spans="1:28" x14ac:dyDescent="0.25">
      <c r="A1" s="4"/>
      <c r="B1" s="4" t="s">
        <v>1</v>
      </c>
      <c r="C1" s="4" t="s">
        <v>2</v>
      </c>
      <c r="D1" s="4" t="s">
        <v>3</v>
      </c>
      <c r="E1" s="4" t="s">
        <v>4</v>
      </c>
      <c r="F1" s="4" t="s">
        <v>15</v>
      </c>
      <c r="G1" s="4" t="s">
        <v>17</v>
      </c>
      <c r="H1" s="4" t="s">
        <v>125</v>
      </c>
      <c r="I1" s="4" t="s">
        <v>126</v>
      </c>
      <c r="J1" s="4" t="s">
        <v>127</v>
      </c>
      <c r="K1" s="4" t="s">
        <v>128</v>
      </c>
      <c r="L1" s="4" t="s">
        <v>137</v>
      </c>
      <c r="M1" s="4" t="s">
        <v>138</v>
      </c>
      <c r="N1" s="4" t="s">
        <v>139</v>
      </c>
      <c r="O1" s="4" t="s">
        <v>129</v>
      </c>
      <c r="P1" s="4" t="s">
        <v>140</v>
      </c>
      <c r="Q1" s="4" t="s">
        <v>141</v>
      </c>
      <c r="R1" s="4" t="s">
        <v>142</v>
      </c>
      <c r="S1" s="4" t="s">
        <v>143</v>
      </c>
      <c r="T1" s="4" t="s">
        <v>145</v>
      </c>
      <c r="U1" s="4" t="s">
        <v>144</v>
      </c>
      <c r="V1" s="4" t="s">
        <v>130</v>
      </c>
      <c r="W1" s="4" t="s">
        <v>131</v>
      </c>
      <c r="X1" s="4" t="s">
        <v>132</v>
      </c>
      <c r="Y1" s="4" t="s">
        <v>133</v>
      </c>
      <c r="Z1" s="4" t="s">
        <v>134</v>
      </c>
      <c r="AA1" s="4" t="s">
        <v>135</v>
      </c>
      <c r="AB1" s="4" t="s">
        <v>136</v>
      </c>
    </row>
    <row r="2" spans="1:28" x14ac:dyDescent="0.25">
      <c r="A2" s="2" t="s">
        <v>1</v>
      </c>
      <c r="B2" s="2">
        <v>1</v>
      </c>
      <c r="C2" s="2"/>
      <c r="D2" s="2"/>
      <c r="E2" s="2"/>
      <c r="F2" s="2"/>
      <c r="G2" s="2"/>
      <c r="H2" s="2"/>
      <c r="I2" s="2"/>
      <c r="J2" s="2"/>
      <c r="K2" s="2"/>
      <c r="L2" s="2"/>
      <c r="M2" s="2"/>
      <c r="N2" s="2"/>
      <c r="O2" s="2"/>
      <c r="P2" s="2"/>
      <c r="Q2" s="2"/>
      <c r="R2" s="2"/>
      <c r="S2" s="2"/>
      <c r="T2" s="2"/>
      <c r="U2" s="2"/>
      <c r="V2" s="2"/>
      <c r="W2" s="2"/>
      <c r="X2" s="2"/>
      <c r="Y2" s="2"/>
      <c r="Z2" s="2"/>
      <c r="AA2" s="2"/>
      <c r="AB2" s="2"/>
    </row>
    <row r="3" spans="1:28" x14ac:dyDescent="0.25">
      <c r="A3" s="2" t="s">
        <v>2</v>
      </c>
      <c r="B3" s="2">
        <v>0.71131611027532493</v>
      </c>
      <c r="C3" s="2">
        <v>1</v>
      </c>
      <c r="D3" s="2"/>
      <c r="E3" s="2"/>
      <c r="F3" s="2"/>
      <c r="G3" s="2"/>
      <c r="H3" s="2"/>
      <c r="I3" s="2"/>
      <c r="J3" s="2"/>
      <c r="K3" s="2"/>
      <c r="L3" s="2"/>
      <c r="M3" s="2"/>
      <c r="N3" s="2"/>
      <c r="O3" s="2"/>
      <c r="P3" s="2"/>
      <c r="Q3" s="2"/>
      <c r="R3" s="2"/>
      <c r="S3" s="2"/>
      <c r="T3" s="2"/>
      <c r="U3" s="2"/>
      <c r="V3" s="2"/>
      <c r="W3" s="2"/>
      <c r="X3" s="2"/>
      <c r="Y3" s="2"/>
      <c r="Z3" s="2"/>
      <c r="AA3" s="2"/>
      <c r="AB3" s="2"/>
    </row>
    <row r="4" spans="1:28" x14ac:dyDescent="0.25">
      <c r="A4" s="2" t="s">
        <v>3</v>
      </c>
      <c r="B4" s="2">
        <v>0.69594365874519781</v>
      </c>
      <c r="C4" s="2">
        <v>0.67258551955553636</v>
      </c>
      <c r="D4" s="2">
        <v>1</v>
      </c>
      <c r="E4" s="2"/>
      <c r="F4" s="2"/>
      <c r="G4" s="2"/>
      <c r="H4" s="2"/>
      <c r="I4" s="2"/>
      <c r="J4" s="2"/>
      <c r="K4" s="2"/>
      <c r="L4" s="2"/>
      <c r="M4" s="2"/>
      <c r="N4" s="2"/>
      <c r="O4" s="2"/>
      <c r="P4" s="2"/>
      <c r="Q4" s="2"/>
      <c r="R4" s="2"/>
      <c r="S4" s="2"/>
      <c r="T4" s="2"/>
      <c r="U4" s="2"/>
      <c r="V4" s="2"/>
      <c r="W4" s="2"/>
      <c r="X4" s="2"/>
      <c r="Y4" s="2"/>
      <c r="Z4" s="2"/>
      <c r="AA4" s="2"/>
      <c r="AB4" s="2"/>
    </row>
    <row r="5" spans="1:28" x14ac:dyDescent="0.25">
      <c r="A5" s="2" t="s">
        <v>4</v>
      </c>
      <c r="B5" s="2">
        <v>-4.8652044096152189E-2</v>
      </c>
      <c r="C5" s="2">
        <v>-2.9826877409953281E-2</v>
      </c>
      <c r="D5" s="2">
        <v>-1.2910155851203201E-2</v>
      </c>
      <c r="E5" s="2">
        <v>1</v>
      </c>
      <c r="F5" s="2"/>
      <c r="G5" s="2"/>
      <c r="H5" s="2"/>
      <c r="I5" s="2"/>
      <c r="J5" s="2"/>
      <c r="K5" s="2"/>
      <c r="L5" s="2"/>
      <c r="M5" s="2"/>
      <c r="N5" s="2"/>
      <c r="O5" s="2"/>
      <c r="P5" s="2"/>
      <c r="Q5" s="2"/>
      <c r="R5" s="2"/>
      <c r="S5" s="2"/>
      <c r="T5" s="2"/>
      <c r="U5" s="2"/>
      <c r="V5" s="2"/>
      <c r="W5" s="2"/>
      <c r="X5" s="2"/>
      <c r="Y5" s="2"/>
      <c r="Z5" s="2"/>
      <c r="AA5" s="2"/>
      <c r="AB5" s="2"/>
    </row>
    <row r="6" spans="1:28" x14ac:dyDescent="0.25">
      <c r="A6" s="2" t="s">
        <v>15</v>
      </c>
      <c r="B6" s="2">
        <v>-8.4973760441948529E-2</v>
      </c>
      <c r="C6" s="2">
        <v>-9.4533786578549106E-2</v>
      </c>
      <c r="D6" s="2">
        <v>-1.6736849214634097E-2</v>
      </c>
      <c r="E6" s="2">
        <v>-8.5152991155752658E-2</v>
      </c>
      <c r="F6" s="2">
        <v>1</v>
      </c>
      <c r="G6" s="2"/>
      <c r="H6" s="2"/>
      <c r="I6" s="2"/>
      <c r="J6" s="2"/>
      <c r="K6" s="2"/>
      <c r="L6" s="2"/>
      <c r="M6" s="2"/>
      <c r="N6" s="2"/>
      <c r="O6" s="2"/>
      <c r="P6" s="2"/>
      <c r="Q6" s="2"/>
      <c r="R6" s="2"/>
      <c r="S6" s="2"/>
      <c r="T6" s="2"/>
      <c r="U6" s="2"/>
      <c r="V6" s="2"/>
      <c r="W6" s="2"/>
      <c r="X6" s="2"/>
      <c r="Y6" s="2"/>
      <c r="Z6" s="2"/>
      <c r="AA6" s="2"/>
      <c r="AB6" s="2"/>
    </row>
    <row r="7" spans="1:28" x14ac:dyDescent="0.25">
      <c r="A7" s="2" t="s">
        <v>17</v>
      </c>
      <c r="B7" s="2">
        <v>0.12981746835546634</v>
      </c>
      <c r="C7" s="2">
        <v>0.28869652812225927</v>
      </c>
      <c r="D7" s="2">
        <v>0.29065173945846884</v>
      </c>
      <c r="E7" s="2">
        <v>2.0534025981954508E-2</v>
      </c>
      <c r="F7" s="2">
        <v>6.2404653771004756E-3</v>
      </c>
      <c r="G7" s="2">
        <v>1</v>
      </c>
      <c r="H7" s="2"/>
      <c r="I7" s="2"/>
      <c r="J7" s="2"/>
      <c r="K7" s="2"/>
      <c r="L7" s="2"/>
      <c r="M7" s="2"/>
      <c r="N7" s="2"/>
      <c r="O7" s="2"/>
      <c r="P7" s="2"/>
      <c r="Q7" s="2"/>
      <c r="R7" s="2"/>
      <c r="S7" s="2"/>
      <c r="T7" s="2"/>
      <c r="U7" s="2"/>
      <c r="V7" s="2"/>
      <c r="W7" s="2"/>
      <c r="X7" s="2"/>
      <c r="Y7" s="2"/>
      <c r="Z7" s="2"/>
      <c r="AA7" s="2"/>
      <c r="AB7" s="2"/>
    </row>
    <row r="8" spans="1:28" x14ac:dyDescent="0.25">
      <c r="A8" s="2" t="s">
        <v>125</v>
      </c>
      <c r="B8" s="2">
        <v>2.0022479318369188E-2</v>
      </c>
      <c r="C8" s="2">
        <v>1.8155937734108889E-2</v>
      </c>
      <c r="D8" s="2">
        <v>4.2713775642428564E-2</v>
      </c>
      <c r="E8" s="2">
        <v>3.7130833991622411E-2</v>
      </c>
      <c r="F8" s="2">
        <v>-1.85439684811105E-2</v>
      </c>
      <c r="G8" s="2">
        <v>7.4719668131026401E-2</v>
      </c>
      <c r="H8" s="2">
        <v>1</v>
      </c>
      <c r="I8" s="2"/>
      <c r="J8" s="2"/>
      <c r="K8" s="2"/>
      <c r="L8" s="2"/>
      <c r="M8" s="2"/>
      <c r="N8" s="2"/>
      <c r="O8" s="2"/>
      <c r="P8" s="2"/>
      <c r="Q8" s="2"/>
      <c r="R8" s="2"/>
      <c r="S8" s="2"/>
      <c r="T8" s="2"/>
      <c r="U8" s="2"/>
      <c r="V8" s="2"/>
      <c r="W8" s="2"/>
      <c r="X8" s="2"/>
      <c r="Y8" s="2"/>
      <c r="Z8" s="2"/>
      <c r="AA8" s="2"/>
      <c r="AB8" s="2"/>
    </row>
    <row r="9" spans="1:28" x14ac:dyDescent="0.25">
      <c r="A9" s="2" t="s">
        <v>126</v>
      </c>
      <c r="B9" s="2">
        <v>-5.7922360980158438E-3</v>
      </c>
      <c r="C9" s="2">
        <v>1.9450229398505756E-2</v>
      </c>
      <c r="D9" s="2">
        <v>-4.0183078966676868E-2</v>
      </c>
      <c r="E9" s="2">
        <v>-1.5190917812048422E-2</v>
      </c>
      <c r="F9" s="2">
        <v>5.5461308116357133E-3</v>
      </c>
      <c r="G9" s="2">
        <v>-4.4698511201961477E-3</v>
      </c>
      <c r="H9" s="2">
        <v>-0.31810765000357333</v>
      </c>
      <c r="I9" s="2">
        <v>1</v>
      </c>
      <c r="J9" s="2"/>
      <c r="K9" s="2"/>
      <c r="L9" s="2"/>
      <c r="M9" s="2"/>
      <c r="N9" s="2"/>
      <c r="O9" s="2"/>
      <c r="P9" s="2"/>
      <c r="Q9" s="2"/>
      <c r="R9" s="2"/>
      <c r="S9" s="2"/>
      <c r="T9" s="2"/>
      <c r="U9" s="2"/>
      <c r="V9" s="2"/>
      <c r="W9" s="2"/>
      <c r="X9" s="2"/>
      <c r="Y9" s="2"/>
      <c r="Z9" s="2"/>
      <c r="AA9" s="2"/>
      <c r="AB9" s="2"/>
    </row>
    <row r="10" spans="1:28" x14ac:dyDescent="0.25">
      <c r="A10" s="2" t="s">
        <v>127</v>
      </c>
      <c r="B10" s="2">
        <v>4.5630547980890545E-3</v>
      </c>
      <c r="C10" s="2">
        <v>-5.5898363792507757E-3</v>
      </c>
      <c r="D10" s="2">
        <v>4.8825455381701563E-2</v>
      </c>
      <c r="E10" s="2">
        <v>-6.1196128472559765E-2</v>
      </c>
      <c r="F10" s="2">
        <v>1.2538059288773679E-2</v>
      </c>
      <c r="G10" s="2">
        <v>2.687028875024795E-2</v>
      </c>
      <c r="H10" s="2">
        <v>-0.3290635926731037</v>
      </c>
      <c r="I10" s="2">
        <v>-0.3428432998312837</v>
      </c>
      <c r="J10" s="2">
        <v>1</v>
      </c>
      <c r="K10" s="2"/>
      <c r="L10" s="2"/>
      <c r="M10" s="2"/>
      <c r="N10" s="2"/>
      <c r="O10" s="2"/>
      <c r="P10" s="2"/>
      <c r="Q10" s="2"/>
      <c r="R10" s="2"/>
      <c r="S10" s="2"/>
      <c r="T10" s="2"/>
      <c r="U10" s="2"/>
      <c r="V10" s="2"/>
      <c r="W10" s="2"/>
      <c r="X10" s="2"/>
      <c r="Y10" s="2"/>
      <c r="Z10" s="2"/>
      <c r="AA10" s="2"/>
      <c r="AB10" s="2"/>
    </row>
    <row r="11" spans="1:28" x14ac:dyDescent="0.25">
      <c r="A11" s="2" t="s">
        <v>128</v>
      </c>
      <c r="B11" s="2">
        <v>-1.8293672158605993E-2</v>
      </c>
      <c r="C11" s="2">
        <v>-3.1275935601976911E-2</v>
      </c>
      <c r="D11" s="2">
        <v>-5.0843000657105057E-2</v>
      </c>
      <c r="E11" s="2">
        <v>4.0712281315065039E-2</v>
      </c>
      <c r="F11" s="2">
        <v>-1.3788658045061771E-4</v>
      </c>
      <c r="G11" s="2">
        <v>-9.5191241019633138E-2</v>
      </c>
      <c r="H11" s="2">
        <v>-0.32358462956079226</v>
      </c>
      <c r="I11" s="2">
        <v>-0.33713490232118182</v>
      </c>
      <c r="J11" s="2">
        <v>-0.34874616241407275</v>
      </c>
      <c r="K11" s="2">
        <v>1</v>
      </c>
      <c r="L11" s="2"/>
      <c r="M11" s="2"/>
      <c r="N11" s="2"/>
      <c r="O11" s="2"/>
      <c r="P11" s="2"/>
      <c r="Q11" s="2"/>
      <c r="R11" s="2"/>
      <c r="S11" s="2"/>
      <c r="T11" s="2"/>
      <c r="U11" s="2"/>
      <c r="V11" s="2"/>
      <c r="W11" s="2"/>
      <c r="X11" s="2"/>
      <c r="Y11" s="2"/>
      <c r="Z11" s="2"/>
      <c r="AA11" s="2"/>
      <c r="AB11" s="2"/>
    </row>
    <row r="12" spans="1:28" x14ac:dyDescent="0.25">
      <c r="A12" s="2" t="s">
        <v>137</v>
      </c>
      <c r="B12" s="2">
        <v>6.2320639629434189E-2</v>
      </c>
      <c r="C12" s="2">
        <v>2.0884580414735388E-2</v>
      </c>
      <c r="D12" s="2">
        <v>4.6501914263980225E-2</v>
      </c>
      <c r="E12" s="2">
        <v>-8.8632851921736741E-2</v>
      </c>
      <c r="F12" s="2">
        <v>-8.6909274458015807E-3</v>
      </c>
      <c r="G12" s="2">
        <v>-4.4062129894860309E-2</v>
      </c>
      <c r="H12" s="2">
        <v>9.2839316779035255E-3</v>
      </c>
      <c r="I12" s="2">
        <v>-3.7204619205303519E-2</v>
      </c>
      <c r="J12" s="2">
        <v>4.42808832230712E-2</v>
      </c>
      <c r="K12" s="2">
        <v>-1.6762644897763659E-2</v>
      </c>
      <c r="L12" s="2">
        <v>1</v>
      </c>
      <c r="M12" s="2"/>
      <c r="N12" s="2"/>
      <c r="O12" s="2"/>
      <c r="P12" s="2"/>
      <c r="Q12" s="2"/>
      <c r="R12" s="2"/>
      <c r="S12" s="2"/>
      <c r="T12" s="2"/>
      <c r="U12" s="2"/>
      <c r="V12" s="2"/>
      <c r="W12" s="2"/>
      <c r="X12" s="2"/>
      <c r="Y12" s="2"/>
      <c r="Z12" s="2"/>
      <c r="AA12" s="2"/>
      <c r="AB12" s="2"/>
    </row>
    <row r="13" spans="1:28" x14ac:dyDescent="0.25">
      <c r="A13" s="2" t="s">
        <v>138</v>
      </c>
      <c r="B13" s="2">
        <v>7.5213356492698025E-3</v>
      </c>
      <c r="C13" s="2">
        <v>3.8566732686929422E-2</v>
      </c>
      <c r="D13" s="2">
        <v>-1.488776478531653E-2</v>
      </c>
      <c r="E13" s="2">
        <v>-1.0240059489439244E-2</v>
      </c>
      <c r="F13" s="2">
        <v>-6.424465396290506E-2</v>
      </c>
      <c r="G13" s="2">
        <v>3.0887400790653146E-2</v>
      </c>
      <c r="H13" s="2">
        <v>2.4912636598591483E-3</v>
      </c>
      <c r="I13" s="2">
        <v>0.10197886365699724</v>
      </c>
      <c r="J13" s="2">
        <v>-4.3679545290357676E-2</v>
      </c>
      <c r="K13" s="2">
        <v>-5.9502812267173369E-2</v>
      </c>
      <c r="L13" s="2">
        <v>-0.39799184214919348</v>
      </c>
      <c r="M13" s="2">
        <v>1</v>
      </c>
      <c r="N13" s="2"/>
      <c r="O13" s="2"/>
      <c r="P13" s="2"/>
      <c r="Q13" s="2"/>
      <c r="R13" s="2"/>
      <c r="S13" s="2"/>
      <c r="T13" s="2"/>
      <c r="U13" s="2"/>
      <c r="V13" s="2"/>
      <c r="W13" s="2"/>
      <c r="X13" s="2"/>
      <c r="Y13" s="2"/>
      <c r="Z13" s="2"/>
      <c r="AA13" s="2"/>
      <c r="AB13" s="2"/>
    </row>
    <row r="14" spans="1:28" x14ac:dyDescent="0.25">
      <c r="A14" s="2" t="s">
        <v>139</v>
      </c>
      <c r="B14" s="2">
        <v>-6.6546633669941041E-2</v>
      </c>
      <c r="C14" s="2">
        <v>-5.2889026643206917E-2</v>
      </c>
      <c r="D14" s="2">
        <v>-3.2259278456526083E-2</v>
      </c>
      <c r="E14" s="2">
        <v>9.4255425746315957E-2</v>
      </c>
      <c r="F14" s="2">
        <v>6.2907190572798324E-2</v>
      </c>
      <c r="G14" s="2">
        <v>1.6326880422583925E-2</v>
      </c>
      <c r="H14" s="2">
        <v>-1.107672503209409E-2</v>
      </c>
      <c r="I14" s="2">
        <v>-5.0620429150500829E-2</v>
      </c>
      <c r="J14" s="2">
        <v>-5.6828527664863886E-3</v>
      </c>
      <c r="K14" s="2">
        <v>6.6675749086015257E-2</v>
      </c>
      <c r="L14" s="2">
        <v>-0.62766723860298768</v>
      </c>
      <c r="M14" s="2">
        <v>-0.46436411954683604</v>
      </c>
      <c r="N14" s="2">
        <v>1</v>
      </c>
      <c r="O14" s="2"/>
      <c r="P14" s="2"/>
      <c r="Q14" s="2"/>
      <c r="R14" s="2"/>
      <c r="S14" s="2"/>
      <c r="T14" s="2"/>
      <c r="U14" s="2"/>
      <c r="V14" s="2"/>
      <c r="W14" s="2"/>
      <c r="X14" s="2"/>
      <c r="Y14" s="2"/>
      <c r="Z14" s="2"/>
      <c r="AA14" s="2"/>
      <c r="AB14" s="2"/>
    </row>
    <row r="15" spans="1:28" x14ac:dyDescent="0.25">
      <c r="A15" s="2" t="s">
        <v>129</v>
      </c>
      <c r="B15" s="2">
        <v>-6.0753884602780452E-2</v>
      </c>
      <c r="C15" s="2">
        <v>-5.8822011093019932E-2</v>
      </c>
      <c r="D15" s="2">
        <v>-8.6459781356763729E-2</v>
      </c>
      <c r="E15" s="2">
        <v>5.6530482507761394E-3</v>
      </c>
      <c r="F15" s="2">
        <v>-0.219950910762721</v>
      </c>
      <c r="G15" s="2">
        <v>-1.0564444983475418E-2</v>
      </c>
      <c r="H15" s="2">
        <v>-2.4442483931474388E-2</v>
      </c>
      <c r="I15" s="2">
        <v>-7.4953096809224845E-3</v>
      </c>
      <c r="J15" s="2">
        <v>2.3062837390679772E-2</v>
      </c>
      <c r="K15" s="2">
        <v>7.9092121085115926E-3</v>
      </c>
      <c r="L15" s="2">
        <v>5.9623534841144271E-2</v>
      </c>
      <c r="M15" s="2">
        <v>-7.7155554151890501E-2</v>
      </c>
      <c r="N15" s="2">
        <v>7.9126116275401431E-3</v>
      </c>
      <c r="O15" s="2">
        <v>1</v>
      </c>
      <c r="P15" s="2"/>
      <c r="Q15" s="2"/>
      <c r="R15" s="2"/>
      <c r="S15" s="2"/>
      <c r="T15" s="2"/>
      <c r="U15" s="2"/>
      <c r="V15" s="2"/>
      <c r="W15" s="2"/>
      <c r="X15" s="2"/>
      <c r="Y15" s="2"/>
      <c r="Z15" s="2"/>
      <c r="AA15" s="2"/>
      <c r="AB15" s="2"/>
    </row>
    <row r="16" spans="1:28" x14ac:dyDescent="0.25">
      <c r="A16" s="2" t="s">
        <v>140</v>
      </c>
      <c r="B16" s="2">
        <v>3.1744623818485904E-2</v>
      </c>
      <c r="C16" s="2">
        <v>1.674545686623204E-2</v>
      </c>
      <c r="D16" s="2">
        <v>-4.3124129379060322E-2</v>
      </c>
      <c r="E16" s="2">
        <v>-8.917282811366542E-2</v>
      </c>
      <c r="F16" s="2">
        <v>-0.30190031648583943</v>
      </c>
      <c r="G16" s="2">
        <v>3.5485369973349296E-3</v>
      </c>
      <c r="H16" s="2">
        <v>-2.1785417554333011E-2</v>
      </c>
      <c r="I16" s="2">
        <v>7.0187701371750462E-3</v>
      </c>
      <c r="J16" s="2">
        <v>1.745899612698364E-2</v>
      </c>
      <c r="K16" s="2">
        <v>-3.4124611239177813E-3</v>
      </c>
      <c r="L16" s="2">
        <v>1.2727377205129528E-3</v>
      </c>
      <c r="M16" s="2">
        <v>0.11938479134157599</v>
      </c>
      <c r="N16" s="2">
        <v>-0.10253674195513995</v>
      </c>
      <c r="O16" s="2">
        <v>6.1171423977437869E-2</v>
      </c>
      <c r="P16" s="2">
        <v>1</v>
      </c>
      <c r="Q16" s="2"/>
      <c r="R16" s="2"/>
      <c r="S16" s="2"/>
      <c r="T16" s="2"/>
      <c r="U16" s="2"/>
      <c r="V16" s="2"/>
      <c r="W16" s="2"/>
      <c r="X16" s="2"/>
      <c r="Y16" s="2"/>
      <c r="Z16" s="2"/>
      <c r="AA16" s="2"/>
      <c r="AB16" s="2"/>
    </row>
    <row r="17" spans="1:28" x14ac:dyDescent="0.25">
      <c r="A17" s="2" t="s">
        <v>141</v>
      </c>
      <c r="B17" s="2">
        <v>-1.8211622181313246E-2</v>
      </c>
      <c r="C17" s="2">
        <v>-5.1773475004615231E-2</v>
      </c>
      <c r="D17" s="2">
        <v>-5.2078904835762663E-2</v>
      </c>
      <c r="E17" s="2">
        <v>-0.17738444944375772</v>
      </c>
      <c r="F17" s="2">
        <v>-0.15491037212015005</v>
      </c>
      <c r="G17" s="2">
        <v>-0.11019580490695124</v>
      </c>
      <c r="H17" s="2">
        <v>-1.3299342288902716E-2</v>
      </c>
      <c r="I17" s="2">
        <v>-1.2377431207930959E-3</v>
      </c>
      <c r="J17" s="2">
        <v>2.481629385404444E-3</v>
      </c>
      <c r="K17" s="2">
        <v>1.163587094008766E-2</v>
      </c>
      <c r="L17" s="2">
        <v>8.8267004032145588E-3</v>
      </c>
      <c r="M17" s="2">
        <v>-0.10689919532477046</v>
      </c>
      <c r="N17" s="2">
        <v>8.2191697288265364E-2</v>
      </c>
      <c r="O17" s="2">
        <v>0.1639799309570831</v>
      </c>
      <c r="P17" s="2">
        <v>-0.4346733038471291</v>
      </c>
      <c r="Q17" s="2">
        <v>1</v>
      </c>
      <c r="R17" s="2"/>
      <c r="S17" s="2"/>
      <c r="T17" s="2"/>
      <c r="U17" s="2"/>
      <c r="V17" s="2"/>
      <c r="W17" s="2"/>
      <c r="X17" s="2"/>
      <c r="Y17" s="2"/>
      <c r="Z17" s="2"/>
      <c r="AA17" s="2"/>
      <c r="AB17" s="2"/>
    </row>
    <row r="18" spans="1:28" x14ac:dyDescent="0.25">
      <c r="A18" s="2" t="s">
        <v>142</v>
      </c>
      <c r="B18" s="2">
        <v>-1.3891074835133445E-2</v>
      </c>
      <c r="C18" s="2">
        <v>3.1305626356187208E-2</v>
      </c>
      <c r="D18" s="2">
        <v>8.925216857620813E-2</v>
      </c>
      <c r="E18" s="2">
        <v>0.24841166213078655</v>
      </c>
      <c r="F18" s="2">
        <v>0.43272113563804315</v>
      </c>
      <c r="G18" s="2">
        <v>9.754360220424893E-2</v>
      </c>
      <c r="H18" s="2">
        <v>3.3168709760538075E-2</v>
      </c>
      <c r="I18" s="2">
        <v>-5.626494861086892E-3</v>
      </c>
      <c r="J18" s="2">
        <v>-1.9090271608248225E-2</v>
      </c>
      <c r="K18" s="2">
        <v>-7.3739026246293048E-3</v>
      </c>
      <c r="L18" s="2">
        <v>-9.3129447839328285E-3</v>
      </c>
      <c r="M18" s="2">
        <v>-1.7050858879091545E-2</v>
      </c>
      <c r="N18" s="2">
        <v>2.3459776331328893E-2</v>
      </c>
      <c r="O18" s="2">
        <v>-0.20915931811979888</v>
      </c>
      <c r="P18" s="2">
        <v>-0.56495699538304367</v>
      </c>
      <c r="Q18" s="2">
        <v>-0.49752193375964193</v>
      </c>
      <c r="R18" s="2">
        <v>1</v>
      </c>
      <c r="S18" s="2"/>
      <c r="T18" s="2"/>
      <c r="U18" s="2"/>
      <c r="V18" s="2"/>
      <c r="W18" s="2"/>
      <c r="X18" s="2"/>
      <c r="Y18" s="2"/>
      <c r="Z18" s="2"/>
      <c r="AA18" s="2"/>
      <c r="AB18" s="2"/>
    </row>
    <row r="19" spans="1:28" x14ac:dyDescent="0.25">
      <c r="A19" s="2" t="s">
        <v>143</v>
      </c>
      <c r="B19" s="2">
        <v>-5.9753675062658038E-2</v>
      </c>
      <c r="C19" s="2">
        <v>2.8599049916934197E-2</v>
      </c>
      <c r="D19" s="2">
        <v>-5.5919833559295411E-2</v>
      </c>
      <c r="E19" s="2">
        <v>-9.4746509483353863E-2</v>
      </c>
      <c r="F19" s="2">
        <v>2.6012948834072236E-2</v>
      </c>
      <c r="G19" s="2">
        <v>-6.4545783784971902E-2</v>
      </c>
      <c r="H19" s="2">
        <v>-7.7212875751685339E-2</v>
      </c>
      <c r="I19" s="2">
        <v>2.3662047419528449E-2</v>
      </c>
      <c r="J19" s="2">
        <v>-3.2007438521392175E-3</v>
      </c>
      <c r="K19" s="2">
        <v>5.4718844758842297E-2</v>
      </c>
      <c r="L19" s="2">
        <v>-3.183034431585182E-2</v>
      </c>
      <c r="M19" s="2">
        <v>0.10160973448235282</v>
      </c>
      <c r="N19" s="2">
        <v>-5.5495499854759212E-2</v>
      </c>
      <c r="O19" s="2">
        <v>8.5652424641505964E-2</v>
      </c>
      <c r="P19" s="2">
        <v>-1.0647304689633183E-3</v>
      </c>
      <c r="Q19" s="2">
        <v>1.8256134017041455E-2</v>
      </c>
      <c r="R19" s="2">
        <v>-1.5700744979764644E-2</v>
      </c>
      <c r="S19" s="2">
        <v>1</v>
      </c>
      <c r="T19" s="2"/>
      <c r="U19" s="2"/>
      <c r="V19" s="2"/>
      <c r="W19" s="2"/>
      <c r="X19" s="2"/>
      <c r="Y19" s="2"/>
      <c r="Z19" s="2"/>
      <c r="AA19" s="2"/>
      <c r="AB19" s="2"/>
    </row>
    <row r="20" spans="1:28" x14ac:dyDescent="0.25">
      <c r="A20" s="2" t="s">
        <v>145</v>
      </c>
      <c r="B20" s="2">
        <v>-2.610517823339692E-2</v>
      </c>
      <c r="C20" s="2">
        <v>4.4310703162413631E-2</v>
      </c>
      <c r="D20" s="2">
        <v>9.1324816338267268E-3</v>
      </c>
      <c r="E20" s="2">
        <v>-2.2868695266447876E-2</v>
      </c>
      <c r="F20" s="2">
        <v>0.15300007512109498</v>
      </c>
      <c r="G20" s="2">
        <v>3.3259004245569615E-2</v>
      </c>
      <c r="H20" s="2">
        <v>-9.4769356434503085E-2</v>
      </c>
      <c r="I20" s="2">
        <v>2.7601354224663265E-2</v>
      </c>
      <c r="J20" s="2">
        <v>-3.5065878442562821E-2</v>
      </c>
      <c r="K20" s="2">
        <v>9.9980277539568591E-2</v>
      </c>
      <c r="L20" s="2">
        <v>-1.9290290935631688E-2</v>
      </c>
      <c r="M20" s="2">
        <v>-5.1060532695541797E-2</v>
      </c>
      <c r="N20" s="2">
        <v>6.1951945660446553E-2</v>
      </c>
      <c r="O20" s="2">
        <v>6.1430368695543471E-3</v>
      </c>
      <c r="P20" s="2">
        <v>-6.0856175742559949E-2</v>
      </c>
      <c r="Q20" s="2">
        <v>-1.9449588123096561E-2</v>
      </c>
      <c r="R20" s="2">
        <v>7.6436738861219405E-2</v>
      </c>
      <c r="S20" s="2">
        <v>-0.26411574248753911</v>
      </c>
      <c r="T20" s="2">
        <v>1</v>
      </c>
      <c r="U20" s="2"/>
      <c r="V20" s="2"/>
      <c r="W20" s="2"/>
      <c r="X20" s="2"/>
      <c r="Y20" s="2"/>
      <c r="Z20" s="2"/>
      <c r="AA20" s="2"/>
      <c r="AB20" s="2"/>
    </row>
    <row r="21" spans="1:28" x14ac:dyDescent="0.25">
      <c r="A21" s="2" t="s">
        <v>144</v>
      </c>
      <c r="B21" s="2">
        <v>6.9270516152700232E-2</v>
      </c>
      <c r="C21" s="2">
        <v>-6.0608625312698429E-2</v>
      </c>
      <c r="D21" s="2">
        <v>3.586443364587312E-2</v>
      </c>
      <c r="E21" s="2">
        <v>9.385190332525474E-2</v>
      </c>
      <c r="F21" s="2">
        <v>-0.15237477019602172</v>
      </c>
      <c r="G21" s="2">
        <v>2.1793309540779529E-2</v>
      </c>
      <c r="H21" s="2">
        <v>0.14217953316795801</v>
      </c>
      <c r="I21" s="2">
        <v>-4.2327836258522503E-2</v>
      </c>
      <c r="J21" s="2">
        <v>3.2762591104434205E-2</v>
      </c>
      <c r="K21" s="2">
        <v>-0.12907946894967534</v>
      </c>
      <c r="L21" s="2">
        <v>4.1546025008994618E-2</v>
      </c>
      <c r="M21" s="2">
        <v>-3.5426558306132248E-2</v>
      </c>
      <c r="N21" s="2">
        <v>-1.0045983521675933E-2</v>
      </c>
      <c r="O21" s="2">
        <v>-7.2305039745100788E-2</v>
      </c>
      <c r="P21" s="2">
        <v>5.3346349363295277E-2</v>
      </c>
      <c r="Q21" s="2">
        <v>2.5018514687954753E-3</v>
      </c>
      <c r="R21" s="2">
        <v>-5.3675690436072884E-2</v>
      </c>
      <c r="S21" s="2">
        <v>-0.55437140571248333</v>
      </c>
      <c r="T21" s="2">
        <v>-0.65629811859067277</v>
      </c>
      <c r="U21" s="2">
        <v>1</v>
      </c>
      <c r="V21" s="2"/>
      <c r="W21" s="2"/>
      <c r="X21" s="2"/>
      <c r="Y21" s="2"/>
      <c r="Z21" s="2"/>
      <c r="AA21" s="2"/>
      <c r="AB21" s="2"/>
    </row>
    <row r="22" spans="1:28" x14ac:dyDescent="0.25">
      <c r="A22" s="2" t="s">
        <v>130</v>
      </c>
      <c r="B22" s="2">
        <v>-4.4916188634002284E-2</v>
      </c>
      <c r="C22" s="2">
        <v>2.4350417407456495E-3</v>
      </c>
      <c r="D22" s="2">
        <v>1.5219329147087646E-3</v>
      </c>
      <c r="E22" s="2">
        <v>3.7154936649135058E-2</v>
      </c>
      <c r="F22" s="2">
        <v>0.14901727081317553</v>
      </c>
      <c r="G22" s="2">
        <v>7.9093473286410299E-3</v>
      </c>
      <c r="H22" s="2">
        <v>-2.2421473779472879E-2</v>
      </c>
      <c r="I22" s="2">
        <v>-3.5560143958767478E-2</v>
      </c>
      <c r="J22" s="2">
        <v>9.7278311791343913E-2</v>
      </c>
      <c r="K22" s="2">
        <v>-4.104395339580743E-2</v>
      </c>
      <c r="L22" s="2">
        <v>-7.534322921975542E-2</v>
      </c>
      <c r="M22" s="2">
        <v>5.8738808652609963E-2</v>
      </c>
      <c r="N22" s="2">
        <v>2.2891290155747809E-2</v>
      </c>
      <c r="O22" s="2">
        <v>-1.8569356028361121E-2</v>
      </c>
      <c r="P22" s="2">
        <v>-3.3437500394951782E-2</v>
      </c>
      <c r="Q22" s="2">
        <v>-2.3031236734296873E-3</v>
      </c>
      <c r="R22" s="2">
        <v>3.4317305492758528E-2</v>
      </c>
      <c r="S22" s="2">
        <v>2.7667361175114081E-2</v>
      </c>
      <c r="T22" s="2">
        <v>1.8270469143353719E-2</v>
      </c>
      <c r="U22" s="2">
        <v>-3.7409393091792857E-2</v>
      </c>
      <c r="V22" s="2">
        <v>1</v>
      </c>
      <c r="W22" s="2"/>
      <c r="X22" s="2"/>
      <c r="Y22" s="2"/>
      <c r="Z22" s="2"/>
      <c r="AA22" s="2"/>
      <c r="AB22" s="2"/>
    </row>
    <row r="23" spans="1:28" x14ac:dyDescent="0.25">
      <c r="A23" s="2" t="s">
        <v>131</v>
      </c>
      <c r="B23" s="2">
        <v>-4.5206467770106742E-2</v>
      </c>
      <c r="C23" s="2">
        <v>-0.11703831708690293</v>
      </c>
      <c r="D23" s="2">
        <v>-1.9584895000643671E-2</v>
      </c>
      <c r="E23" s="2">
        <v>-2.478087229690449E-2</v>
      </c>
      <c r="F23" s="2">
        <v>-3.1909648511939954E-2</v>
      </c>
      <c r="G23" s="2">
        <v>-1.5480633390381235E-2</v>
      </c>
      <c r="H23" s="2">
        <v>-8.792386182806676E-2</v>
      </c>
      <c r="I23" s="2">
        <v>9.9011114250066676E-4</v>
      </c>
      <c r="J23" s="2">
        <v>3.1832411063266973E-2</v>
      </c>
      <c r="K23" s="2">
        <v>5.2279130857286832E-2</v>
      </c>
      <c r="L23" s="2">
        <v>-1.8122344752899113E-2</v>
      </c>
      <c r="M23" s="2">
        <v>-9.7531780671610752E-2</v>
      </c>
      <c r="N23" s="2">
        <v>0.10025917988868106</v>
      </c>
      <c r="O23" s="2">
        <v>4.8986746254713248E-2</v>
      </c>
      <c r="P23" s="2">
        <v>-4.1752778795402276E-2</v>
      </c>
      <c r="Q23" s="2">
        <v>3.946945340512909E-3</v>
      </c>
      <c r="R23" s="2">
        <v>3.6600303101949332E-2</v>
      </c>
      <c r="S23" s="2">
        <v>-1.0878141002547911E-2</v>
      </c>
      <c r="T23" s="2">
        <v>-4.748682263480429E-2</v>
      </c>
      <c r="U23" s="2">
        <v>4.9486625692315454E-2</v>
      </c>
      <c r="V23" s="2">
        <v>-0.15630832983454862</v>
      </c>
      <c r="W23" s="2">
        <v>1</v>
      </c>
      <c r="X23" s="2"/>
      <c r="Y23" s="2"/>
      <c r="Z23" s="2"/>
      <c r="AA23" s="2"/>
      <c r="AB23" s="2"/>
    </row>
    <row r="24" spans="1:28" x14ac:dyDescent="0.25">
      <c r="A24" s="2" t="s">
        <v>132</v>
      </c>
      <c r="B24" s="2">
        <v>6.2361000123325488E-2</v>
      </c>
      <c r="C24" s="2">
        <v>6.6869952839689384E-2</v>
      </c>
      <c r="D24" s="2">
        <v>5.8921987291556469E-2</v>
      </c>
      <c r="E24" s="2">
        <v>2.8828055027766628E-2</v>
      </c>
      <c r="F24" s="2">
        <v>0.12720456613900546</v>
      </c>
      <c r="G24" s="2">
        <v>1.8892369612440063E-2</v>
      </c>
      <c r="H24" s="2">
        <v>4.1269070725011382E-2</v>
      </c>
      <c r="I24" s="2">
        <v>1.2286542895029486E-2</v>
      </c>
      <c r="J24" s="2">
        <v>-0.10313501701982798</v>
      </c>
      <c r="K24" s="2">
        <v>5.1729435218200018E-2</v>
      </c>
      <c r="L24" s="2">
        <v>8.5464114967637877E-4</v>
      </c>
      <c r="M24" s="2">
        <v>-1.5087220892930197E-2</v>
      </c>
      <c r="N24" s="2">
        <v>1.1977709090416783E-2</v>
      </c>
      <c r="O24" s="2">
        <v>1.4202040116913058E-2</v>
      </c>
      <c r="P24" s="2">
        <v>2.2707893724623891E-3</v>
      </c>
      <c r="Q24" s="2">
        <v>-2.6040279605516053E-2</v>
      </c>
      <c r="R24" s="2">
        <v>2.1670909163394574E-2</v>
      </c>
      <c r="S24" s="2">
        <v>7.8064982014105305E-2</v>
      </c>
      <c r="T24" s="2">
        <v>3.7249392493723256E-2</v>
      </c>
      <c r="U24" s="2">
        <v>-9.3211538330682492E-2</v>
      </c>
      <c r="V24" s="2">
        <v>-0.14624496942406748</v>
      </c>
      <c r="W24" s="2">
        <v>-0.14895419346164038</v>
      </c>
      <c r="X24" s="2">
        <v>1</v>
      </c>
      <c r="Y24" s="2"/>
      <c r="Z24" s="2"/>
      <c r="AA24" s="2"/>
      <c r="AB24" s="2"/>
    </row>
    <row r="25" spans="1:28" x14ac:dyDescent="0.25">
      <c r="A25" s="2" t="s">
        <v>133</v>
      </c>
      <c r="B25" s="2">
        <v>5.462127208951742E-2</v>
      </c>
      <c r="C25" s="2">
        <v>6.4571918205633558E-2</v>
      </c>
      <c r="D25" s="2">
        <v>2.2547452911670218E-2</v>
      </c>
      <c r="E25" s="2">
        <v>3.9203449601740353E-2</v>
      </c>
      <c r="F25" s="2">
        <v>-8.747280674364323E-2</v>
      </c>
      <c r="G25" s="2">
        <v>-6.9773672431067838E-3</v>
      </c>
      <c r="H25" s="2">
        <v>-4.1722979543825672E-2</v>
      </c>
      <c r="I25" s="2">
        <v>7.1316244137223983E-2</v>
      </c>
      <c r="J25" s="2">
        <v>-8.0232727874062632E-2</v>
      </c>
      <c r="K25" s="2">
        <v>5.0673300900631005E-2</v>
      </c>
      <c r="L25" s="2">
        <v>-3.5502879925674018E-2</v>
      </c>
      <c r="M25" s="2">
        <v>6.5719422496439278E-2</v>
      </c>
      <c r="N25" s="2">
        <v>-2.1494094770812933E-2</v>
      </c>
      <c r="O25" s="2">
        <v>2.0035372092899618E-2</v>
      </c>
      <c r="P25" s="2">
        <v>-6.1008315099294764E-3</v>
      </c>
      <c r="Q25" s="2">
        <v>-1.1195034244794452E-2</v>
      </c>
      <c r="R25" s="2">
        <v>1.6133261885248221E-2</v>
      </c>
      <c r="S25" s="2">
        <v>-6.3502365918736633E-3</v>
      </c>
      <c r="T25" s="2">
        <v>1.1452490597429969E-2</v>
      </c>
      <c r="U25" s="2">
        <v>-4.9148134043457336E-3</v>
      </c>
      <c r="V25" s="2">
        <v>-0.16192655730513925</v>
      </c>
      <c r="W25" s="2">
        <v>-0.16492628661617284</v>
      </c>
      <c r="X25" s="2">
        <v>-0.1543080894597095</v>
      </c>
      <c r="Y25" s="2">
        <v>1</v>
      </c>
      <c r="Z25" s="2"/>
      <c r="AA25" s="2"/>
      <c r="AB25" s="2"/>
    </row>
    <row r="26" spans="1:28" x14ac:dyDescent="0.25">
      <c r="A26" s="2" t="s">
        <v>134</v>
      </c>
      <c r="B26" s="2">
        <v>1.0143940096604584E-2</v>
      </c>
      <c r="C26" s="2">
        <v>2.0133966907209477E-2</v>
      </c>
      <c r="D26" s="2">
        <v>-1.4932711136132064E-2</v>
      </c>
      <c r="E26" s="2">
        <v>-2.1544907946359636E-3</v>
      </c>
      <c r="F26" s="2">
        <v>-5.3043039452977052E-2</v>
      </c>
      <c r="G26" s="2">
        <v>1.0794565894489867E-2</v>
      </c>
      <c r="H26" s="2">
        <v>7.5158370494312204E-2</v>
      </c>
      <c r="I26" s="2">
        <v>-2.868169932905603E-2</v>
      </c>
      <c r="J26" s="2">
        <v>-2.489518105619588E-2</v>
      </c>
      <c r="K26" s="2">
        <v>-1.9422442844174513E-2</v>
      </c>
      <c r="L26" s="2">
        <v>5.3912298517870987E-2</v>
      </c>
      <c r="M26" s="2">
        <v>3.5947420271312272E-2</v>
      </c>
      <c r="N26" s="2">
        <v>-8.2551173558296664E-2</v>
      </c>
      <c r="O26" s="2">
        <v>1.8633614250294358E-2</v>
      </c>
      <c r="P26" s="2">
        <v>4.3201431205870278E-2</v>
      </c>
      <c r="Q26" s="2">
        <v>-8.7270987962489791E-3</v>
      </c>
      <c r="R26" s="2">
        <v>-3.3616068666726465E-2</v>
      </c>
      <c r="S26" s="2">
        <v>3.4107894925445865E-2</v>
      </c>
      <c r="T26" s="2">
        <v>4.0732873363241467E-2</v>
      </c>
      <c r="U26" s="2">
        <v>-6.1830735796935272E-2</v>
      </c>
      <c r="V26" s="2">
        <v>-0.15059750284205958</v>
      </c>
      <c r="W26" s="2">
        <v>-0.15338735863200628</v>
      </c>
      <c r="X26" s="2">
        <v>-0.14351205464814595</v>
      </c>
      <c r="Y26" s="2">
        <v>-0.15890059694003378</v>
      </c>
      <c r="Z26" s="2">
        <v>1</v>
      </c>
      <c r="AA26" s="2"/>
      <c r="AB26" s="2"/>
    </row>
    <row r="27" spans="1:28" x14ac:dyDescent="0.25">
      <c r="A27" s="2" t="s">
        <v>135</v>
      </c>
      <c r="B27" s="2">
        <v>9.6193871663737742E-3</v>
      </c>
      <c r="C27" s="2">
        <v>-4.4720319026779587E-2</v>
      </c>
      <c r="D27" s="2">
        <v>4.8253509015978007E-3</v>
      </c>
      <c r="E27" s="2">
        <v>-7.9686134289523439E-2</v>
      </c>
      <c r="F27" s="2">
        <v>-3.676328336330914E-2</v>
      </c>
      <c r="G27" s="2">
        <v>4.8882873063697561E-2</v>
      </c>
      <c r="H27" s="2">
        <v>9.540040936835345E-2</v>
      </c>
      <c r="I27" s="2">
        <v>-0.10914041577498797</v>
      </c>
      <c r="J27" s="2">
        <v>8.9916421161476315E-2</v>
      </c>
      <c r="K27" s="2">
        <v>-7.5037958303604976E-2</v>
      </c>
      <c r="L27" s="2">
        <v>4.9269021214300303E-2</v>
      </c>
      <c r="M27" s="2">
        <v>-4.8449528077069114E-2</v>
      </c>
      <c r="N27" s="2">
        <v>-6.4506533933483753E-3</v>
      </c>
      <c r="O27" s="2">
        <v>1.8130752914842115E-2</v>
      </c>
      <c r="P27" s="2">
        <v>6.8008294729296256E-3</v>
      </c>
      <c r="Q27" s="2">
        <v>8.8401719840882492E-3</v>
      </c>
      <c r="R27" s="2">
        <v>-1.4649975125035481E-2</v>
      </c>
      <c r="S27" s="2">
        <v>-7.5484974935808996E-2</v>
      </c>
      <c r="T27" s="2">
        <v>-7.2448444837818954E-2</v>
      </c>
      <c r="U27" s="2">
        <v>0.12156688277540853</v>
      </c>
      <c r="V27" s="2">
        <v>-0.17429130597870993</v>
      </c>
      <c r="W27" s="2">
        <v>-0.17752009530088042</v>
      </c>
      <c r="X27" s="2">
        <v>-0.16609109019919127</v>
      </c>
      <c r="Y27" s="2">
        <v>-0.1839007423019525</v>
      </c>
      <c r="Z27" s="2">
        <v>-0.17103428259322248</v>
      </c>
      <c r="AA27" s="2">
        <v>1</v>
      </c>
      <c r="AB27" s="2"/>
    </row>
    <row r="28" spans="1:28" ht="15.75" thickBot="1" x14ac:dyDescent="0.3">
      <c r="A28" s="3" t="s">
        <v>136</v>
      </c>
      <c r="B28" s="3">
        <v>-4.2512701439096336E-2</v>
      </c>
      <c r="C28" s="3">
        <v>1.236943282323971E-2</v>
      </c>
      <c r="D28" s="3">
        <v>-4.7766961415243218E-2</v>
      </c>
      <c r="E28" s="3">
        <v>7.8804793976825997E-3</v>
      </c>
      <c r="F28" s="3">
        <v>-5.0910674530892368E-2</v>
      </c>
      <c r="G28" s="3">
        <v>-6.1221008692715351E-2</v>
      </c>
      <c r="H28" s="3">
        <v>-5.7638910895149248E-2</v>
      </c>
      <c r="I28" s="3">
        <v>8.7524406466735136E-2</v>
      </c>
      <c r="J28" s="3">
        <v>-1.8575293675032304E-2</v>
      </c>
      <c r="K28" s="3">
        <v>-1.2107162926844344E-2</v>
      </c>
      <c r="L28" s="3">
        <v>2.0692440086156456E-2</v>
      </c>
      <c r="M28" s="3">
        <v>3.5311315635575685E-3</v>
      </c>
      <c r="N28" s="3">
        <v>-2.2972878206409905E-2</v>
      </c>
      <c r="O28" s="3">
        <v>-9.443948158926331E-2</v>
      </c>
      <c r="P28" s="3">
        <v>2.716807915149283E-2</v>
      </c>
      <c r="Q28" s="3">
        <v>3.0932846552514093E-2</v>
      </c>
      <c r="R28" s="3">
        <v>-5.4509163023106016E-2</v>
      </c>
      <c r="S28" s="3">
        <v>-3.3156008223145052E-2</v>
      </c>
      <c r="T28" s="3">
        <v>1.9169869631241052E-2</v>
      </c>
      <c r="U28" s="3">
        <v>9.3953889350800058E-3</v>
      </c>
      <c r="V28" s="3">
        <v>-0.17564532730587953</v>
      </c>
      <c r="W28" s="3">
        <v>-0.17889920020624983</v>
      </c>
      <c r="X28" s="3">
        <v>-0.16738140630026888</v>
      </c>
      <c r="Y28" s="3">
        <v>-0.18532941670289577</v>
      </c>
      <c r="Z28" s="3">
        <v>-0.17236300099950222</v>
      </c>
      <c r="AA28" s="3">
        <v>-0.19948121303258948</v>
      </c>
      <c r="AB28" s="3">
        <v>1</v>
      </c>
    </row>
  </sheetData>
  <conditionalFormatting sqref="A1:AB28">
    <cfRule type="colorScale" priority="1">
      <colorScale>
        <cfvo type="num" val="-1"/>
        <cfvo type="num" val="0"/>
        <cfvo type="num" val="1"/>
        <color rgb="FF002060"/>
        <color theme="0"/>
        <color rgb="FFFF0000"/>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38F54-6C29-404F-AC04-8BD26E2E85BF}">
  <sheetPr codeName="Sheet6">
    <tabColor theme="1" tint="0.34998626667073579"/>
  </sheetPr>
  <dimension ref="A1:Z467"/>
  <sheetViews>
    <sheetView workbookViewId="0">
      <selection activeCell="F29" sqref="F29"/>
    </sheetView>
  </sheetViews>
  <sheetFormatPr defaultColWidth="8.85546875" defaultRowHeight="15" x14ac:dyDescent="0.25"/>
  <cols>
    <col min="1" max="1" width="11.140625" bestFit="1" customWidth="1"/>
    <col min="2" max="2" width="16.42578125" bestFit="1" customWidth="1"/>
    <col min="3" max="3" width="12" customWidth="1"/>
    <col min="4" max="4" width="9.7109375" bestFit="1" customWidth="1"/>
    <col min="5" max="5" width="13.85546875" bestFit="1" customWidth="1"/>
    <col min="6" max="6" width="21.85546875" bestFit="1" customWidth="1"/>
    <col min="7" max="7" width="21.7109375" bestFit="1" customWidth="1"/>
    <col min="8" max="8" width="22.42578125" bestFit="1" customWidth="1"/>
    <col min="9" max="9" width="22.140625" bestFit="1" customWidth="1"/>
    <col min="10" max="12" width="22.42578125" bestFit="1" customWidth="1"/>
    <col min="13" max="13" width="16" bestFit="1" customWidth="1"/>
    <col min="14" max="16" width="20.140625" bestFit="1" customWidth="1"/>
    <col min="17" max="19" width="23.85546875" bestFit="1" customWidth="1"/>
    <col min="20" max="20" width="22.85546875" bestFit="1" customWidth="1"/>
    <col min="21" max="21" width="24.42578125" bestFit="1" customWidth="1"/>
    <col min="22" max="22" width="25.140625" bestFit="1" customWidth="1"/>
    <col min="23" max="23" width="23.85546875" bestFit="1" customWidth="1"/>
    <col min="24" max="24" width="25.42578125" bestFit="1" customWidth="1"/>
    <col min="25" max="25" width="24.7109375" bestFit="1" customWidth="1"/>
    <col min="26" max="26" width="28" bestFit="1" customWidth="1"/>
  </cols>
  <sheetData>
    <row r="1" spans="1:26" x14ac:dyDescent="0.25">
      <c r="A1" t="s">
        <v>1</v>
      </c>
      <c r="B1" t="s">
        <v>2</v>
      </c>
      <c r="C1" t="s">
        <v>4</v>
      </c>
      <c r="D1" t="s">
        <v>15</v>
      </c>
      <c r="E1" t="s">
        <v>17</v>
      </c>
      <c r="F1" t="s">
        <v>125</v>
      </c>
      <c r="G1" t="s">
        <v>126</v>
      </c>
      <c r="H1" t="s">
        <v>127</v>
      </c>
      <c r="I1" t="s">
        <v>128</v>
      </c>
      <c r="J1" t="s">
        <v>137</v>
      </c>
      <c r="K1" t="s">
        <v>138</v>
      </c>
      <c r="L1" t="s">
        <v>139</v>
      </c>
      <c r="M1" t="s">
        <v>129</v>
      </c>
      <c r="N1" t="s">
        <v>140</v>
      </c>
      <c r="O1" t="s">
        <v>141</v>
      </c>
      <c r="P1" t="s">
        <v>142</v>
      </c>
      <c r="Q1" t="s">
        <v>143</v>
      </c>
      <c r="R1" t="s">
        <v>145</v>
      </c>
      <c r="S1" t="s">
        <v>144</v>
      </c>
      <c r="T1" t="s">
        <v>130</v>
      </c>
      <c r="U1" t="s">
        <v>131</v>
      </c>
      <c r="V1" t="s">
        <v>132</v>
      </c>
      <c r="W1" t="s">
        <v>133</v>
      </c>
      <c r="X1" t="s">
        <v>134</v>
      </c>
      <c r="Y1" t="s">
        <v>135</v>
      </c>
      <c r="Z1" t="s">
        <v>136</v>
      </c>
    </row>
    <row r="2" spans="1:26" x14ac:dyDescent="0.25">
      <c r="A2">
        <v>131</v>
      </c>
      <c r="B2">
        <v>61</v>
      </c>
      <c r="C2">
        <v>3</v>
      </c>
      <c r="D2">
        <v>188</v>
      </c>
      <c r="E2">
        <v>8</v>
      </c>
      <c r="F2">
        <v>0</v>
      </c>
      <c r="G2">
        <v>0</v>
      </c>
      <c r="H2">
        <v>0</v>
      </c>
      <c r="I2">
        <v>1</v>
      </c>
      <c r="J2">
        <v>0</v>
      </c>
      <c r="K2">
        <v>1</v>
      </c>
      <c r="L2">
        <v>0</v>
      </c>
      <c r="M2">
        <v>0</v>
      </c>
      <c r="N2">
        <v>0</v>
      </c>
      <c r="O2">
        <v>1</v>
      </c>
      <c r="P2">
        <v>0</v>
      </c>
      <c r="Q2">
        <v>0</v>
      </c>
      <c r="R2">
        <v>0</v>
      </c>
      <c r="S2">
        <v>1</v>
      </c>
      <c r="T2">
        <v>0</v>
      </c>
      <c r="U2">
        <v>0</v>
      </c>
      <c r="V2">
        <v>0</v>
      </c>
      <c r="W2">
        <v>0</v>
      </c>
      <c r="X2">
        <v>1</v>
      </c>
      <c r="Y2">
        <v>0</v>
      </c>
      <c r="Z2">
        <v>0</v>
      </c>
    </row>
    <row r="3" spans="1:26" x14ac:dyDescent="0.25">
      <c r="A3">
        <v>20</v>
      </c>
      <c r="B3">
        <v>19</v>
      </c>
      <c r="C3">
        <v>4</v>
      </c>
      <c r="D3">
        <v>826</v>
      </c>
      <c r="E3">
        <v>5</v>
      </c>
      <c r="F3">
        <v>1</v>
      </c>
      <c r="G3">
        <v>0</v>
      </c>
      <c r="H3">
        <v>0</v>
      </c>
      <c r="I3">
        <v>0</v>
      </c>
      <c r="J3">
        <v>0</v>
      </c>
      <c r="K3">
        <v>1</v>
      </c>
      <c r="L3">
        <v>0</v>
      </c>
      <c r="M3">
        <v>0</v>
      </c>
      <c r="N3">
        <v>0</v>
      </c>
      <c r="O3">
        <v>1</v>
      </c>
      <c r="P3">
        <v>0</v>
      </c>
      <c r="Q3">
        <v>0</v>
      </c>
      <c r="R3">
        <v>0</v>
      </c>
      <c r="S3">
        <v>1</v>
      </c>
      <c r="T3">
        <v>0</v>
      </c>
      <c r="U3">
        <v>0</v>
      </c>
      <c r="V3">
        <v>0</v>
      </c>
      <c r="W3">
        <v>0</v>
      </c>
      <c r="X3">
        <v>0</v>
      </c>
      <c r="Y3">
        <v>1</v>
      </c>
      <c r="Z3">
        <v>0</v>
      </c>
    </row>
    <row r="4" spans="1:26" x14ac:dyDescent="0.25">
      <c r="A4">
        <v>41</v>
      </c>
      <c r="B4">
        <v>9</v>
      </c>
      <c r="C4">
        <v>5</v>
      </c>
      <c r="D4">
        <v>3933</v>
      </c>
      <c r="E4">
        <v>1</v>
      </c>
      <c r="F4">
        <v>1</v>
      </c>
      <c r="G4">
        <v>0</v>
      </c>
      <c r="H4">
        <v>0</v>
      </c>
      <c r="I4">
        <v>0</v>
      </c>
      <c r="J4">
        <v>1</v>
      </c>
      <c r="K4">
        <v>0</v>
      </c>
      <c r="L4">
        <v>0</v>
      </c>
      <c r="M4">
        <v>0</v>
      </c>
      <c r="N4">
        <v>0</v>
      </c>
      <c r="O4">
        <v>0</v>
      </c>
      <c r="P4">
        <v>1</v>
      </c>
      <c r="Q4">
        <v>0</v>
      </c>
      <c r="R4">
        <v>0</v>
      </c>
      <c r="S4">
        <v>1</v>
      </c>
      <c r="T4">
        <v>1</v>
      </c>
      <c r="U4">
        <v>0</v>
      </c>
      <c r="V4">
        <v>0</v>
      </c>
      <c r="W4">
        <v>0</v>
      </c>
      <c r="X4">
        <v>0</v>
      </c>
      <c r="Y4">
        <v>0</v>
      </c>
      <c r="Z4">
        <v>0</v>
      </c>
    </row>
    <row r="5" spans="1:26" x14ac:dyDescent="0.25">
      <c r="A5">
        <v>88</v>
      </c>
      <c r="B5">
        <v>15</v>
      </c>
      <c r="C5">
        <v>4</v>
      </c>
      <c r="D5">
        <v>1467</v>
      </c>
      <c r="E5">
        <v>3</v>
      </c>
      <c r="F5">
        <v>0</v>
      </c>
      <c r="G5">
        <v>0</v>
      </c>
      <c r="H5">
        <v>1</v>
      </c>
      <c r="I5">
        <v>0</v>
      </c>
      <c r="J5">
        <v>1</v>
      </c>
      <c r="K5">
        <v>0</v>
      </c>
      <c r="L5">
        <v>0</v>
      </c>
      <c r="M5">
        <v>1</v>
      </c>
      <c r="N5">
        <v>0</v>
      </c>
      <c r="O5">
        <v>1</v>
      </c>
      <c r="P5">
        <v>0</v>
      </c>
      <c r="Q5">
        <v>1</v>
      </c>
      <c r="R5">
        <v>0</v>
      </c>
      <c r="S5">
        <v>0</v>
      </c>
      <c r="T5">
        <v>0</v>
      </c>
      <c r="U5">
        <v>1</v>
      </c>
      <c r="V5">
        <v>0</v>
      </c>
      <c r="W5">
        <v>0</v>
      </c>
      <c r="X5">
        <v>0</v>
      </c>
      <c r="Y5">
        <v>0</v>
      </c>
      <c r="Z5">
        <v>0</v>
      </c>
    </row>
    <row r="6" spans="1:26" x14ac:dyDescent="0.25">
      <c r="A6">
        <v>67</v>
      </c>
      <c r="B6">
        <v>46</v>
      </c>
      <c r="C6">
        <v>5</v>
      </c>
      <c r="D6">
        <v>2700</v>
      </c>
      <c r="E6">
        <v>6</v>
      </c>
      <c r="F6">
        <v>0</v>
      </c>
      <c r="G6">
        <v>1</v>
      </c>
      <c r="H6">
        <v>0</v>
      </c>
      <c r="I6">
        <v>0</v>
      </c>
      <c r="J6">
        <v>0</v>
      </c>
      <c r="K6">
        <v>0</v>
      </c>
      <c r="L6">
        <v>1</v>
      </c>
      <c r="M6">
        <v>1</v>
      </c>
      <c r="N6">
        <v>0</v>
      </c>
      <c r="O6">
        <v>0</v>
      </c>
      <c r="P6">
        <v>1</v>
      </c>
      <c r="Q6">
        <v>0</v>
      </c>
      <c r="R6">
        <v>0</v>
      </c>
      <c r="S6">
        <v>1</v>
      </c>
      <c r="T6">
        <v>0</v>
      </c>
      <c r="U6">
        <v>0</v>
      </c>
      <c r="V6">
        <v>0</v>
      </c>
      <c r="W6">
        <v>1</v>
      </c>
      <c r="X6">
        <v>0</v>
      </c>
      <c r="Y6">
        <v>0</v>
      </c>
      <c r="Z6">
        <v>0</v>
      </c>
    </row>
    <row r="7" spans="1:26" x14ac:dyDescent="0.25">
      <c r="A7">
        <v>73</v>
      </c>
      <c r="B7">
        <v>32</v>
      </c>
      <c r="C7">
        <v>4</v>
      </c>
      <c r="D7">
        <v>2034</v>
      </c>
      <c r="E7">
        <v>10</v>
      </c>
      <c r="F7">
        <v>0</v>
      </c>
      <c r="G7">
        <v>0</v>
      </c>
      <c r="H7">
        <v>1</v>
      </c>
      <c r="I7">
        <v>0</v>
      </c>
      <c r="J7">
        <v>1</v>
      </c>
      <c r="K7">
        <v>0</v>
      </c>
      <c r="L7">
        <v>0</v>
      </c>
      <c r="M7">
        <v>0</v>
      </c>
      <c r="N7">
        <v>0</v>
      </c>
      <c r="O7">
        <v>0</v>
      </c>
      <c r="P7">
        <v>1</v>
      </c>
      <c r="Q7">
        <v>1</v>
      </c>
      <c r="R7">
        <v>0</v>
      </c>
      <c r="S7">
        <v>0</v>
      </c>
      <c r="T7">
        <v>0</v>
      </c>
      <c r="U7">
        <v>0</v>
      </c>
      <c r="V7">
        <v>0</v>
      </c>
      <c r="W7">
        <v>0</v>
      </c>
      <c r="X7">
        <v>1</v>
      </c>
      <c r="Y7">
        <v>0</v>
      </c>
      <c r="Z7">
        <v>0</v>
      </c>
    </row>
    <row r="8" spans="1:26" x14ac:dyDescent="0.25">
      <c r="A8">
        <v>103</v>
      </c>
      <c r="B8">
        <v>5</v>
      </c>
      <c r="C8">
        <v>5</v>
      </c>
      <c r="D8">
        <v>2959</v>
      </c>
      <c r="E8">
        <v>7</v>
      </c>
      <c r="F8">
        <v>0</v>
      </c>
      <c r="G8">
        <v>0</v>
      </c>
      <c r="H8">
        <v>0</v>
      </c>
      <c r="I8">
        <v>1</v>
      </c>
      <c r="J8">
        <v>0</v>
      </c>
      <c r="K8">
        <v>0</v>
      </c>
      <c r="L8">
        <v>1</v>
      </c>
      <c r="M8">
        <v>0</v>
      </c>
      <c r="N8">
        <v>0</v>
      </c>
      <c r="O8">
        <v>0</v>
      </c>
      <c r="P8">
        <v>1</v>
      </c>
      <c r="Q8">
        <v>0</v>
      </c>
      <c r="R8">
        <v>0</v>
      </c>
      <c r="S8">
        <v>1</v>
      </c>
      <c r="T8">
        <v>0</v>
      </c>
      <c r="U8">
        <v>1</v>
      </c>
      <c r="V8">
        <v>0</v>
      </c>
      <c r="W8">
        <v>0</v>
      </c>
      <c r="X8">
        <v>0</v>
      </c>
      <c r="Y8">
        <v>0</v>
      </c>
      <c r="Z8">
        <v>0</v>
      </c>
    </row>
    <row r="9" spans="1:26" x14ac:dyDescent="0.25">
      <c r="A9">
        <v>75</v>
      </c>
      <c r="B9">
        <v>19</v>
      </c>
      <c r="C9">
        <v>4</v>
      </c>
      <c r="D9">
        <v>3025</v>
      </c>
      <c r="E9">
        <v>8</v>
      </c>
      <c r="F9">
        <v>0</v>
      </c>
      <c r="G9">
        <v>1</v>
      </c>
      <c r="H9">
        <v>0</v>
      </c>
      <c r="I9">
        <v>0</v>
      </c>
      <c r="J9">
        <v>1</v>
      </c>
      <c r="K9">
        <v>0</v>
      </c>
      <c r="L9">
        <v>0</v>
      </c>
      <c r="M9">
        <v>0</v>
      </c>
      <c r="N9">
        <v>0</v>
      </c>
      <c r="O9">
        <v>0</v>
      </c>
      <c r="P9">
        <v>1</v>
      </c>
      <c r="Q9">
        <v>0</v>
      </c>
      <c r="R9">
        <v>1</v>
      </c>
      <c r="S9">
        <v>0</v>
      </c>
      <c r="T9">
        <v>0</v>
      </c>
      <c r="U9">
        <v>0</v>
      </c>
      <c r="V9">
        <v>0</v>
      </c>
      <c r="W9">
        <v>1</v>
      </c>
      <c r="X9">
        <v>0</v>
      </c>
      <c r="Y9">
        <v>0</v>
      </c>
      <c r="Z9">
        <v>0</v>
      </c>
    </row>
    <row r="10" spans="1:26" x14ac:dyDescent="0.25">
      <c r="A10">
        <v>160</v>
      </c>
      <c r="B10">
        <v>34</v>
      </c>
      <c r="C10">
        <v>4</v>
      </c>
      <c r="D10">
        <v>732</v>
      </c>
      <c r="E10">
        <v>6</v>
      </c>
      <c r="F10">
        <v>1</v>
      </c>
      <c r="G10">
        <v>0</v>
      </c>
      <c r="H10">
        <v>0</v>
      </c>
      <c r="I10">
        <v>0</v>
      </c>
      <c r="J10">
        <v>1</v>
      </c>
      <c r="K10">
        <v>0</v>
      </c>
      <c r="L10">
        <v>0</v>
      </c>
      <c r="M10">
        <v>0</v>
      </c>
      <c r="N10">
        <v>1</v>
      </c>
      <c r="O10">
        <v>0</v>
      </c>
      <c r="P10">
        <v>0</v>
      </c>
      <c r="Q10">
        <v>0</v>
      </c>
      <c r="R10">
        <v>0</v>
      </c>
      <c r="S10">
        <v>1</v>
      </c>
      <c r="T10">
        <v>0</v>
      </c>
      <c r="U10">
        <v>0</v>
      </c>
      <c r="V10">
        <v>1</v>
      </c>
      <c r="W10">
        <v>0</v>
      </c>
      <c r="X10">
        <v>0</v>
      </c>
      <c r="Y10">
        <v>0</v>
      </c>
      <c r="Z10">
        <v>0</v>
      </c>
    </row>
    <row r="11" spans="1:26" x14ac:dyDescent="0.25">
      <c r="A11">
        <v>46</v>
      </c>
      <c r="B11">
        <v>12</v>
      </c>
      <c r="C11">
        <v>5</v>
      </c>
      <c r="D11">
        <v>2034</v>
      </c>
      <c r="E11">
        <v>3</v>
      </c>
      <c r="F11">
        <v>1</v>
      </c>
      <c r="G11">
        <v>0</v>
      </c>
      <c r="H11">
        <v>0</v>
      </c>
      <c r="I11">
        <v>0</v>
      </c>
      <c r="J11">
        <v>0</v>
      </c>
      <c r="K11">
        <v>0</v>
      </c>
      <c r="L11">
        <v>1</v>
      </c>
      <c r="M11">
        <v>0</v>
      </c>
      <c r="N11">
        <v>0</v>
      </c>
      <c r="O11">
        <v>0</v>
      </c>
      <c r="P11">
        <v>1</v>
      </c>
      <c r="Q11">
        <v>0</v>
      </c>
      <c r="R11">
        <v>0</v>
      </c>
      <c r="S11">
        <v>1</v>
      </c>
      <c r="T11">
        <v>0</v>
      </c>
      <c r="U11">
        <v>0</v>
      </c>
      <c r="V11">
        <v>0</v>
      </c>
      <c r="W11">
        <v>0</v>
      </c>
      <c r="X11">
        <v>0</v>
      </c>
      <c r="Y11">
        <v>1</v>
      </c>
      <c r="Z11">
        <v>0</v>
      </c>
    </row>
    <row r="12" spans="1:26" x14ac:dyDescent="0.25">
      <c r="A12">
        <v>139</v>
      </c>
      <c r="B12">
        <v>20</v>
      </c>
      <c r="C12">
        <v>5</v>
      </c>
      <c r="D12">
        <v>2034</v>
      </c>
      <c r="E12">
        <v>5</v>
      </c>
      <c r="F12">
        <v>0</v>
      </c>
      <c r="G12">
        <v>0</v>
      </c>
      <c r="H12">
        <v>1</v>
      </c>
      <c r="I12">
        <v>0</v>
      </c>
      <c r="J12">
        <v>1</v>
      </c>
      <c r="K12">
        <v>0</v>
      </c>
      <c r="L12">
        <v>0</v>
      </c>
      <c r="M12">
        <v>0</v>
      </c>
      <c r="N12">
        <v>0</v>
      </c>
      <c r="O12">
        <v>0</v>
      </c>
      <c r="P12">
        <v>1</v>
      </c>
      <c r="Q12">
        <v>0</v>
      </c>
      <c r="R12">
        <v>1</v>
      </c>
      <c r="S12">
        <v>0</v>
      </c>
      <c r="T12">
        <v>0</v>
      </c>
      <c r="U12">
        <v>1</v>
      </c>
      <c r="V12">
        <v>0</v>
      </c>
      <c r="W12">
        <v>0</v>
      </c>
      <c r="X12">
        <v>0</v>
      </c>
      <c r="Y12">
        <v>0</v>
      </c>
      <c r="Z12">
        <v>0</v>
      </c>
    </row>
    <row r="13" spans="1:26" x14ac:dyDescent="0.25">
      <c r="A13">
        <v>161</v>
      </c>
      <c r="B13">
        <v>33</v>
      </c>
      <c r="C13">
        <v>4</v>
      </c>
      <c r="D13">
        <v>3348</v>
      </c>
      <c r="E13">
        <v>3</v>
      </c>
      <c r="F13">
        <v>1</v>
      </c>
      <c r="G13">
        <v>0</v>
      </c>
      <c r="H13">
        <v>0</v>
      </c>
      <c r="I13">
        <v>0</v>
      </c>
      <c r="J13">
        <v>0</v>
      </c>
      <c r="K13">
        <v>0</v>
      </c>
      <c r="L13">
        <v>1</v>
      </c>
      <c r="M13">
        <v>0</v>
      </c>
      <c r="N13">
        <v>0</v>
      </c>
      <c r="O13">
        <v>0</v>
      </c>
      <c r="P13">
        <v>1</v>
      </c>
      <c r="Q13">
        <v>0</v>
      </c>
      <c r="R13">
        <v>0</v>
      </c>
      <c r="S13">
        <v>1</v>
      </c>
      <c r="T13">
        <v>1</v>
      </c>
      <c r="U13">
        <v>0</v>
      </c>
      <c r="V13">
        <v>0</v>
      </c>
      <c r="W13">
        <v>0</v>
      </c>
      <c r="X13">
        <v>0</v>
      </c>
      <c r="Y13">
        <v>0</v>
      </c>
      <c r="Z13">
        <v>0</v>
      </c>
    </row>
    <row r="14" spans="1:26" x14ac:dyDescent="0.25">
      <c r="A14">
        <v>164</v>
      </c>
      <c r="B14">
        <v>48</v>
      </c>
      <c r="C14">
        <v>5</v>
      </c>
      <c r="D14">
        <v>2700</v>
      </c>
      <c r="E14">
        <v>4</v>
      </c>
      <c r="F14">
        <v>1</v>
      </c>
      <c r="G14">
        <v>0</v>
      </c>
      <c r="H14">
        <v>0</v>
      </c>
      <c r="I14">
        <v>0</v>
      </c>
      <c r="J14">
        <v>0</v>
      </c>
      <c r="K14">
        <v>0</v>
      </c>
      <c r="L14">
        <v>1</v>
      </c>
      <c r="M14">
        <v>1</v>
      </c>
      <c r="N14">
        <v>0</v>
      </c>
      <c r="O14">
        <v>0</v>
      </c>
      <c r="P14">
        <v>1</v>
      </c>
      <c r="Q14">
        <v>0</v>
      </c>
      <c r="R14">
        <v>0</v>
      </c>
      <c r="S14">
        <v>1</v>
      </c>
      <c r="T14">
        <v>0</v>
      </c>
      <c r="U14">
        <v>0</v>
      </c>
      <c r="V14">
        <v>1</v>
      </c>
      <c r="W14">
        <v>0</v>
      </c>
      <c r="X14">
        <v>0</v>
      </c>
      <c r="Y14">
        <v>0</v>
      </c>
      <c r="Z14">
        <v>0</v>
      </c>
    </row>
    <row r="15" spans="1:26" x14ac:dyDescent="0.25">
      <c r="A15">
        <v>127</v>
      </c>
      <c r="B15">
        <v>40</v>
      </c>
      <c r="C15">
        <v>4</v>
      </c>
      <c r="D15">
        <v>2034</v>
      </c>
      <c r="E15">
        <v>8</v>
      </c>
      <c r="F15">
        <v>1</v>
      </c>
      <c r="G15">
        <v>0</v>
      </c>
      <c r="H15">
        <v>0</v>
      </c>
      <c r="I15">
        <v>0</v>
      </c>
      <c r="J15">
        <v>0</v>
      </c>
      <c r="K15">
        <v>0</v>
      </c>
      <c r="L15">
        <v>1</v>
      </c>
      <c r="M15">
        <v>0</v>
      </c>
      <c r="N15">
        <v>0</v>
      </c>
      <c r="O15">
        <v>0</v>
      </c>
      <c r="P15">
        <v>1</v>
      </c>
      <c r="Q15">
        <v>0</v>
      </c>
      <c r="R15">
        <v>1</v>
      </c>
      <c r="S15">
        <v>0</v>
      </c>
      <c r="T15">
        <v>0</v>
      </c>
      <c r="U15">
        <v>0</v>
      </c>
      <c r="V15">
        <v>0</v>
      </c>
      <c r="W15">
        <v>0</v>
      </c>
      <c r="X15">
        <v>1</v>
      </c>
      <c r="Y15">
        <v>0</v>
      </c>
      <c r="Z15">
        <v>0</v>
      </c>
    </row>
    <row r="16" spans="1:26" x14ac:dyDescent="0.25">
      <c r="A16">
        <v>153</v>
      </c>
      <c r="B16">
        <v>38</v>
      </c>
      <c r="C16">
        <v>5</v>
      </c>
      <c r="D16">
        <v>3348</v>
      </c>
      <c r="E16">
        <v>10</v>
      </c>
      <c r="F16">
        <v>1</v>
      </c>
      <c r="G16">
        <v>0</v>
      </c>
      <c r="H16">
        <v>0</v>
      </c>
      <c r="I16">
        <v>0</v>
      </c>
      <c r="J16">
        <v>0</v>
      </c>
      <c r="K16">
        <v>1</v>
      </c>
      <c r="L16">
        <v>0</v>
      </c>
      <c r="M16">
        <v>0</v>
      </c>
      <c r="N16">
        <v>0</v>
      </c>
      <c r="O16">
        <v>0</v>
      </c>
      <c r="P16">
        <v>1</v>
      </c>
      <c r="Q16">
        <v>0</v>
      </c>
      <c r="R16">
        <v>0</v>
      </c>
      <c r="S16">
        <v>1</v>
      </c>
      <c r="T16">
        <v>0</v>
      </c>
      <c r="U16">
        <v>0</v>
      </c>
      <c r="V16">
        <v>0</v>
      </c>
      <c r="W16">
        <v>0</v>
      </c>
      <c r="X16">
        <v>0</v>
      </c>
      <c r="Y16">
        <v>1</v>
      </c>
      <c r="Z16">
        <v>0</v>
      </c>
    </row>
    <row r="17" spans="1:26" x14ac:dyDescent="0.25">
      <c r="A17">
        <v>127</v>
      </c>
      <c r="B17">
        <v>40</v>
      </c>
      <c r="C17">
        <v>5</v>
      </c>
      <c r="D17">
        <v>2959</v>
      </c>
      <c r="E17">
        <v>8</v>
      </c>
      <c r="F17">
        <v>1</v>
      </c>
      <c r="G17">
        <v>0</v>
      </c>
      <c r="H17">
        <v>0</v>
      </c>
      <c r="I17">
        <v>0</v>
      </c>
      <c r="J17">
        <v>0</v>
      </c>
      <c r="K17">
        <v>0</v>
      </c>
      <c r="L17">
        <v>1</v>
      </c>
      <c r="M17">
        <v>0</v>
      </c>
      <c r="N17">
        <v>0</v>
      </c>
      <c r="O17">
        <v>0</v>
      </c>
      <c r="P17">
        <v>1</v>
      </c>
      <c r="Q17">
        <v>0</v>
      </c>
      <c r="R17">
        <v>1</v>
      </c>
      <c r="S17">
        <v>0</v>
      </c>
      <c r="T17">
        <v>0</v>
      </c>
      <c r="U17">
        <v>0</v>
      </c>
      <c r="V17">
        <v>0</v>
      </c>
      <c r="W17">
        <v>0</v>
      </c>
      <c r="X17">
        <v>0</v>
      </c>
      <c r="Y17">
        <v>0</v>
      </c>
      <c r="Z17">
        <v>1</v>
      </c>
    </row>
    <row r="18" spans="1:26" x14ac:dyDescent="0.25">
      <c r="A18">
        <v>36</v>
      </c>
      <c r="B18">
        <v>30</v>
      </c>
      <c r="C18">
        <v>5</v>
      </c>
      <c r="D18">
        <v>3025</v>
      </c>
      <c r="E18">
        <v>8</v>
      </c>
      <c r="F18">
        <v>0</v>
      </c>
      <c r="G18">
        <v>0</v>
      </c>
      <c r="H18">
        <v>1</v>
      </c>
      <c r="I18">
        <v>0</v>
      </c>
      <c r="J18">
        <v>0</v>
      </c>
      <c r="K18">
        <v>1</v>
      </c>
      <c r="L18">
        <v>0</v>
      </c>
      <c r="M18">
        <v>0</v>
      </c>
      <c r="N18">
        <v>0</v>
      </c>
      <c r="O18">
        <v>0</v>
      </c>
      <c r="P18">
        <v>1</v>
      </c>
      <c r="Q18">
        <v>0</v>
      </c>
      <c r="R18">
        <v>0</v>
      </c>
      <c r="S18">
        <v>1</v>
      </c>
      <c r="T18">
        <v>1</v>
      </c>
      <c r="U18">
        <v>0</v>
      </c>
      <c r="V18">
        <v>0</v>
      </c>
      <c r="W18">
        <v>0</v>
      </c>
      <c r="X18">
        <v>0</v>
      </c>
      <c r="Y18">
        <v>0</v>
      </c>
      <c r="Z18">
        <v>0</v>
      </c>
    </row>
    <row r="19" spans="1:26" x14ac:dyDescent="0.25">
      <c r="A19">
        <v>52</v>
      </c>
      <c r="B19">
        <v>48</v>
      </c>
      <c r="C19">
        <v>3</v>
      </c>
      <c r="D19">
        <v>3025</v>
      </c>
      <c r="E19">
        <v>8</v>
      </c>
      <c r="F19">
        <v>0</v>
      </c>
      <c r="G19">
        <v>0</v>
      </c>
      <c r="H19">
        <v>0</v>
      </c>
      <c r="I19">
        <v>1</v>
      </c>
      <c r="J19">
        <v>1</v>
      </c>
      <c r="K19">
        <v>0</v>
      </c>
      <c r="L19">
        <v>0</v>
      </c>
      <c r="M19">
        <v>0</v>
      </c>
      <c r="N19">
        <v>0</v>
      </c>
      <c r="O19">
        <v>0</v>
      </c>
      <c r="P19">
        <v>1</v>
      </c>
      <c r="Q19">
        <v>0</v>
      </c>
      <c r="R19">
        <v>1</v>
      </c>
      <c r="S19">
        <v>0</v>
      </c>
      <c r="T19">
        <v>0</v>
      </c>
      <c r="U19">
        <v>0</v>
      </c>
      <c r="V19">
        <v>1</v>
      </c>
      <c r="W19">
        <v>0</v>
      </c>
      <c r="X19">
        <v>0</v>
      </c>
      <c r="Y19">
        <v>0</v>
      </c>
      <c r="Z19">
        <v>0</v>
      </c>
    </row>
    <row r="20" spans="1:26" x14ac:dyDescent="0.25">
      <c r="A20">
        <v>159</v>
      </c>
      <c r="B20">
        <v>43</v>
      </c>
      <c r="C20">
        <v>5</v>
      </c>
      <c r="D20">
        <v>732</v>
      </c>
      <c r="E20">
        <v>4</v>
      </c>
      <c r="F20">
        <v>0</v>
      </c>
      <c r="G20">
        <v>0</v>
      </c>
      <c r="H20">
        <v>0</v>
      </c>
      <c r="I20">
        <v>1</v>
      </c>
      <c r="J20">
        <v>0</v>
      </c>
      <c r="K20">
        <v>1</v>
      </c>
      <c r="L20">
        <v>0</v>
      </c>
      <c r="M20">
        <v>0</v>
      </c>
      <c r="N20">
        <v>1</v>
      </c>
      <c r="O20">
        <v>0</v>
      </c>
      <c r="P20">
        <v>0</v>
      </c>
      <c r="Q20">
        <v>0</v>
      </c>
      <c r="R20">
        <v>0</v>
      </c>
      <c r="S20">
        <v>1</v>
      </c>
      <c r="T20">
        <v>0</v>
      </c>
      <c r="U20">
        <v>0</v>
      </c>
      <c r="V20">
        <v>0</v>
      </c>
      <c r="W20">
        <v>0</v>
      </c>
      <c r="X20">
        <v>0</v>
      </c>
      <c r="Y20">
        <v>0</v>
      </c>
      <c r="Z20">
        <v>1</v>
      </c>
    </row>
    <row r="21" spans="1:26" x14ac:dyDescent="0.25">
      <c r="A21">
        <v>110</v>
      </c>
      <c r="B21">
        <v>19</v>
      </c>
      <c r="C21">
        <v>4</v>
      </c>
      <c r="D21">
        <v>1282</v>
      </c>
      <c r="E21">
        <v>2</v>
      </c>
      <c r="F21">
        <v>1</v>
      </c>
      <c r="G21">
        <v>0</v>
      </c>
      <c r="H21">
        <v>0</v>
      </c>
      <c r="I21">
        <v>0</v>
      </c>
      <c r="J21">
        <v>1</v>
      </c>
      <c r="K21">
        <v>0</v>
      </c>
      <c r="L21">
        <v>0</v>
      </c>
      <c r="M21">
        <v>0</v>
      </c>
      <c r="N21">
        <v>0</v>
      </c>
      <c r="O21">
        <v>0</v>
      </c>
      <c r="P21">
        <v>1</v>
      </c>
      <c r="Q21">
        <v>0</v>
      </c>
      <c r="R21">
        <v>0</v>
      </c>
      <c r="S21">
        <v>1</v>
      </c>
      <c r="T21">
        <v>0</v>
      </c>
      <c r="U21">
        <v>0</v>
      </c>
      <c r="V21">
        <v>0</v>
      </c>
      <c r="W21">
        <v>0</v>
      </c>
      <c r="X21">
        <v>0</v>
      </c>
      <c r="Y21">
        <v>1</v>
      </c>
      <c r="Z21">
        <v>0</v>
      </c>
    </row>
    <row r="22" spans="1:26" x14ac:dyDescent="0.25">
      <c r="A22">
        <v>119</v>
      </c>
      <c r="B22">
        <v>21</v>
      </c>
      <c r="C22">
        <v>3</v>
      </c>
      <c r="D22">
        <v>3773</v>
      </c>
      <c r="E22">
        <v>3</v>
      </c>
      <c r="F22">
        <v>1</v>
      </c>
      <c r="G22">
        <v>0</v>
      </c>
      <c r="H22">
        <v>0</v>
      </c>
      <c r="I22">
        <v>0</v>
      </c>
      <c r="J22">
        <v>1</v>
      </c>
      <c r="K22">
        <v>0</v>
      </c>
      <c r="L22">
        <v>0</v>
      </c>
      <c r="M22">
        <v>0</v>
      </c>
      <c r="N22">
        <v>1</v>
      </c>
      <c r="O22">
        <v>0</v>
      </c>
      <c r="P22">
        <v>0</v>
      </c>
      <c r="Q22">
        <v>0</v>
      </c>
      <c r="R22">
        <v>0</v>
      </c>
      <c r="S22">
        <v>1</v>
      </c>
      <c r="T22">
        <v>1</v>
      </c>
      <c r="U22">
        <v>0</v>
      </c>
      <c r="V22">
        <v>0</v>
      </c>
      <c r="W22">
        <v>0</v>
      </c>
      <c r="X22">
        <v>0</v>
      </c>
      <c r="Y22">
        <v>0</v>
      </c>
      <c r="Z22">
        <v>0</v>
      </c>
    </row>
    <row r="23" spans="1:26" x14ac:dyDescent="0.25">
      <c r="A23">
        <v>17</v>
      </c>
      <c r="B23">
        <v>17</v>
      </c>
      <c r="C23">
        <v>5</v>
      </c>
      <c r="D23">
        <v>2959</v>
      </c>
      <c r="E23">
        <v>10</v>
      </c>
      <c r="F23">
        <v>0</v>
      </c>
      <c r="G23">
        <v>0</v>
      </c>
      <c r="H23">
        <v>1</v>
      </c>
      <c r="I23">
        <v>0</v>
      </c>
      <c r="J23">
        <v>0</v>
      </c>
      <c r="K23">
        <v>0</v>
      </c>
      <c r="L23">
        <v>1</v>
      </c>
      <c r="M23">
        <v>0</v>
      </c>
      <c r="N23">
        <v>0</v>
      </c>
      <c r="O23">
        <v>0</v>
      </c>
      <c r="P23">
        <v>1</v>
      </c>
      <c r="Q23">
        <v>0</v>
      </c>
      <c r="R23">
        <v>0</v>
      </c>
      <c r="S23">
        <v>1</v>
      </c>
      <c r="T23">
        <v>0</v>
      </c>
      <c r="U23">
        <v>0</v>
      </c>
      <c r="V23">
        <v>1</v>
      </c>
      <c r="W23">
        <v>0</v>
      </c>
      <c r="X23">
        <v>0</v>
      </c>
      <c r="Y23">
        <v>0</v>
      </c>
      <c r="Z23">
        <v>0</v>
      </c>
    </row>
    <row r="24" spans="1:26" x14ac:dyDescent="0.25">
      <c r="A24">
        <v>65</v>
      </c>
      <c r="B24">
        <v>24</v>
      </c>
      <c r="C24">
        <v>3</v>
      </c>
      <c r="D24">
        <v>315</v>
      </c>
      <c r="E24">
        <v>6</v>
      </c>
      <c r="F24">
        <v>1</v>
      </c>
      <c r="G24">
        <v>0</v>
      </c>
      <c r="H24">
        <v>0</v>
      </c>
      <c r="I24">
        <v>0</v>
      </c>
      <c r="J24">
        <v>1</v>
      </c>
      <c r="K24">
        <v>0</v>
      </c>
      <c r="L24">
        <v>0</v>
      </c>
      <c r="M24">
        <v>0</v>
      </c>
      <c r="N24">
        <v>1</v>
      </c>
      <c r="O24">
        <v>0</v>
      </c>
      <c r="P24">
        <v>0</v>
      </c>
      <c r="Q24">
        <v>0</v>
      </c>
      <c r="R24">
        <v>0</v>
      </c>
      <c r="S24">
        <v>1</v>
      </c>
      <c r="T24">
        <v>0</v>
      </c>
      <c r="U24">
        <v>1</v>
      </c>
      <c r="V24">
        <v>0</v>
      </c>
      <c r="W24">
        <v>0</v>
      </c>
      <c r="X24">
        <v>0</v>
      </c>
      <c r="Y24">
        <v>0</v>
      </c>
      <c r="Z24">
        <v>0</v>
      </c>
    </row>
    <row r="25" spans="1:26" x14ac:dyDescent="0.25">
      <c r="A25">
        <v>57</v>
      </c>
      <c r="B25">
        <v>20</v>
      </c>
      <c r="C25">
        <v>5</v>
      </c>
      <c r="D25">
        <v>3025</v>
      </c>
      <c r="E25">
        <v>0</v>
      </c>
      <c r="F25">
        <v>0</v>
      </c>
      <c r="G25">
        <v>0</v>
      </c>
      <c r="H25">
        <v>1</v>
      </c>
      <c r="I25">
        <v>0</v>
      </c>
      <c r="J25">
        <v>1</v>
      </c>
      <c r="K25">
        <v>0</v>
      </c>
      <c r="L25">
        <v>0</v>
      </c>
      <c r="M25">
        <v>0</v>
      </c>
      <c r="N25">
        <v>0</v>
      </c>
      <c r="O25">
        <v>0</v>
      </c>
      <c r="P25">
        <v>1</v>
      </c>
      <c r="Q25">
        <v>0</v>
      </c>
      <c r="R25">
        <v>1</v>
      </c>
      <c r="S25">
        <v>0</v>
      </c>
      <c r="T25">
        <v>1</v>
      </c>
      <c r="U25">
        <v>0</v>
      </c>
      <c r="V25">
        <v>0</v>
      </c>
      <c r="W25">
        <v>0</v>
      </c>
      <c r="X25">
        <v>0</v>
      </c>
      <c r="Y25">
        <v>0</v>
      </c>
      <c r="Z25">
        <v>0</v>
      </c>
    </row>
    <row r="26" spans="1:26" x14ac:dyDescent="0.25">
      <c r="A26">
        <v>184</v>
      </c>
      <c r="B26">
        <v>52</v>
      </c>
      <c r="C26">
        <v>5</v>
      </c>
      <c r="D26">
        <v>188</v>
      </c>
      <c r="E26">
        <v>3</v>
      </c>
      <c r="F26">
        <v>0</v>
      </c>
      <c r="G26">
        <v>1</v>
      </c>
      <c r="H26">
        <v>0</v>
      </c>
      <c r="I26">
        <v>0</v>
      </c>
      <c r="J26">
        <v>0</v>
      </c>
      <c r="K26">
        <v>0</v>
      </c>
      <c r="L26">
        <v>1</v>
      </c>
      <c r="M26">
        <v>0</v>
      </c>
      <c r="N26">
        <v>0</v>
      </c>
      <c r="O26">
        <v>1</v>
      </c>
      <c r="P26">
        <v>0</v>
      </c>
      <c r="Q26">
        <v>0</v>
      </c>
      <c r="R26">
        <v>1</v>
      </c>
      <c r="S26">
        <v>0</v>
      </c>
      <c r="T26">
        <v>0</v>
      </c>
      <c r="U26">
        <v>0</v>
      </c>
      <c r="V26">
        <v>0</v>
      </c>
      <c r="W26">
        <v>0</v>
      </c>
      <c r="X26">
        <v>0</v>
      </c>
      <c r="Y26">
        <v>0</v>
      </c>
      <c r="Z26">
        <v>1</v>
      </c>
    </row>
    <row r="27" spans="1:26" x14ac:dyDescent="0.25">
      <c r="A27">
        <v>17</v>
      </c>
      <c r="B27">
        <v>14</v>
      </c>
      <c r="C27">
        <v>5</v>
      </c>
      <c r="D27">
        <v>188</v>
      </c>
      <c r="E27">
        <v>10</v>
      </c>
      <c r="F27">
        <v>0</v>
      </c>
      <c r="G27">
        <v>0</v>
      </c>
      <c r="H27">
        <v>1</v>
      </c>
      <c r="I27">
        <v>0</v>
      </c>
      <c r="J27">
        <v>1</v>
      </c>
      <c r="K27">
        <v>0</v>
      </c>
      <c r="L27">
        <v>0</v>
      </c>
      <c r="M27">
        <v>0</v>
      </c>
      <c r="N27">
        <v>0</v>
      </c>
      <c r="O27">
        <v>1</v>
      </c>
      <c r="P27">
        <v>0</v>
      </c>
      <c r="Q27">
        <v>0</v>
      </c>
      <c r="R27">
        <v>0</v>
      </c>
      <c r="S27">
        <v>1</v>
      </c>
      <c r="T27">
        <v>0</v>
      </c>
      <c r="U27">
        <v>0</v>
      </c>
      <c r="V27">
        <v>0</v>
      </c>
      <c r="W27">
        <v>1</v>
      </c>
      <c r="X27">
        <v>0</v>
      </c>
      <c r="Y27">
        <v>0</v>
      </c>
      <c r="Z27">
        <v>0</v>
      </c>
    </row>
    <row r="28" spans="1:26" x14ac:dyDescent="0.25">
      <c r="A28">
        <v>85</v>
      </c>
      <c r="B28">
        <v>43</v>
      </c>
      <c r="C28">
        <v>5</v>
      </c>
      <c r="D28">
        <v>2034</v>
      </c>
      <c r="E28">
        <v>5</v>
      </c>
      <c r="F28">
        <v>0</v>
      </c>
      <c r="G28">
        <v>0</v>
      </c>
      <c r="H28">
        <v>0</v>
      </c>
      <c r="I28">
        <v>1</v>
      </c>
      <c r="J28">
        <v>1</v>
      </c>
      <c r="K28">
        <v>0</v>
      </c>
      <c r="L28">
        <v>0</v>
      </c>
      <c r="M28">
        <v>0</v>
      </c>
      <c r="N28">
        <v>0</v>
      </c>
      <c r="O28">
        <v>0</v>
      </c>
      <c r="P28">
        <v>1</v>
      </c>
      <c r="Q28">
        <v>0</v>
      </c>
      <c r="R28">
        <v>1</v>
      </c>
      <c r="S28">
        <v>0</v>
      </c>
      <c r="T28">
        <v>0</v>
      </c>
      <c r="U28">
        <v>0</v>
      </c>
      <c r="V28">
        <v>0</v>
      </c>
      <c r="W28">
        <v>0</v>
      </c>
      <c r="X28">
        <v>0</v>
      </c>
      <c r="Y28">
        <v>0</v>
      </c>
      <c r="Z28">
        <v>1</v>
      </c>
    </row>
    <row r="29" spans="1:26" x14ac:dyDescent="0.25">
      <c r="A29">
        <v>85</v>
      </c>
      <c r="B29">
        <v>37</v>
      </c>
      <c r="C29">
        <v>5</v>
      </c>
      <c r="D29">
        <v>2916</v>
      </c>
      <c r="E29">
        <v>4</v>
      </c>
      <c r="F29">
        <v>0</v>
      </c>
      <c r="G29">
        <v>1</v>
      </c>
      <c r="H29">
        <v>0</v>
      </c>
      <c r="I29">
        <v>0</v>
      </c>
      <c r="J29">
        <v>0</v>
      </c>
      <c r="K29">
        <v>1</v>
      </c>
      <c r="L29">
        <v>0</v>
      </c>
      <c r="M29">
        <v>0</v>
      </c>
      <c r="N29">
        <v>0</v>
      </c>
      <c r="O29">
        <v>1</v>
      </c>
      <c r="P29">
        <v>0</v>
      </c>
      <c r="Q29">
        <v>1</v>
      </c>
      <c r="R29">
        <v>0</v>
      </c>
      <c r="S29">
        <v>0</v>
      </c>
      <c r="T29">
        <v>1</v>
      </c>
      <c r="U29">
        <v>0</v>
      </c>
      <c r="V29">
        <v>0</v>
      </c>
      <c r="W29">
        <v>0</v>
      </c>
      <c r="X29">
        <v>0</v>
      </c>
      <c r="Y29">
        <v>0</v>
      </c>
      <c r="Z29">
        <v>0</v>
      </c>
    </row>
    <row r="30" spans="1:26" x14ac:dyDescent="0.25">
      <c r="A30">
        <v>123</v>
      </c>
      <c r="B30">
        <v>26</v>
      </c>
      <c r="C30">
        <v>5</v>
      </c>
      <c r="D30">
        <v>2916</v>
      </c>
      <c r="E30">
        <v>4</v>
      </c>
      <c r="F30">
        <v>1</v>
      </c>
      <c r="G30">
        <v>0</v>
      </c>
      <c r="H30">
        <v>0</v>
      </c>
      <c r="I30">
        <v>0</v>
      </c>
      <c r="J30">
        <v>0</v>
      </c>
      <c r="K30">
        <v>0</v>
      </c>
      <c r="L30">
        <v>1</v>
      </c>
      <c r="M30">
        <v>0</v>
      </c>
      <c r="N30">
        <v>0</v>
      </c>
      <c r="O30">
        <v>1</v>
      </c>
      <c r="P30">
        <v>0</v>
      </c>
      <c r="Q30">
        <v>0</v>
      </c>
      <c r="R30">
        <v>0</v>
      </c>
      <c r="S30">
        <v>1</v>
      </c>
      <c r="T30">
        <v>0</v>
      </c>
      <c r="U30">
        <v>0</v>
      </c>
      <c r="V30">
        <v>1</v>
      </c>
      <c r="W30">
        <v>0</v>
      </c>
      <c r="X30">
        <v>0</v>
      </c>
      <c r="Y30">
        <v>0</v>
      </c>
      <c r="Z30">
        <v>0</v>
      </c>
    </row>
    <row r="31" spans="1:26" x14ac:dyDescent="0.25">
      <c r="A31">
        <v>130</v>
      </c>
      <c r="B31">
        <v>41</v>
      </c>
      <c r="C31">
        <v>4</v>
      </c>
      <c r="D31">
        <v>1467</v>
      </c>
      <c r="E31">
        <v>3</v>
      </c>
      <c r="F31">
        <v>0</v>
      </c>
      <c r="G31">
        <v>1</v>
      </c>
      <c r="H31">
        <v>0</v>
      </c>
      <c r="I31">
        <v>0</v>
      </c>
      <c r="J31">
        <v>1</v>
      </c>
      <c r="K31">
        <v>0</v>
      </c>
      <c r="L31">
        <v>0</v>
      </c>
      <c r="M31">
        <v>1</v>
      </c>
      <c r="N31">
        <v>0</v>
      </c>
      <c r="O31">
        <v>1</v>
      </c>
      <c r="P31">
        <v>0</v>
      </c>
      <c r="Q31">
        <v>0</v>
      </c>
      <c r="R31">
        <v>1</v>
      </c>
      <c r="S31">
        <v>0</v>
      </c>
      <c r="T31">
        <v>0</v>
      </c>
      <c r="U31">
        <v>0</v>
      </c>
      <c r="V31">
        <v>0</v>
      </c>
      <c r="W31">
        <v>0</v>
      </c>
      <c r="X31">
        <v>0</v>
      </c>
      <c r="Y31">
        <v>1</v>
      </c>
      <c r="Z31">
        <v>0</v>
      </c>
    </row>
    <row r="32" spans="1:26" x14ac:dyDescent="0.25">
      <c r="A32">
        <v>82</v>
      </c>
      <c r="B32">
        <v>14</v>
      </c>
      <c r="C32">
        <v>3</v>
      </c>
      <c r="D32">
        <v>315</v>
      </c>
      <c r="E32">
        <v>1</v>
      </c>
      <c r="F32">
        <v>0</v>
      </c>
      <c r="G32">
        <v>0</v>
      </c>
      <c r="H32">
        <v>1</v>
      </c>
      <c r="I32">
        <v>0</v>
      </c>
      <c r="J32">
        <v>0</v>
      </c>
      <c r="K32">
        <v>1</v>
      </c>
      <c r="L32">
        <v>0</v>
      </c>
      <c r="M32">
        <v>0</v>
      </c>
      <c r="N32">
        <v>1</v>
      </c>
      <c r="O32">
        <v>0</v>
      </c>
      <c r="P32">
        <v>0</v>
      </c>
      <c r="Q32">
        <v>0</v>
      </c>
      <c r="R32">
        <v>0</v>
      </c>
      <c r="S32">
        <v>1</v>
      </c>
      <c r="T32">
        <v>0</v>
      </c>
      <c r="U32">
        <v>0</v>
      </c>
      <c r="V32">
        <v>0</v>
      </c>
      <c r="W32">
        <v>0</v>
      </c>
      <c r="X32">
        <v>0</v>
      </c>
      <c r="Y32">
        <v>0</v>
      </c>
      <c r="Z32">
        <v>1</v>
      </c>
    </row>
    <row r="33" spans="1:26" x14ac:dyDescent="0.25">
      <c r="A33">
        <v>66</v>
      </c>
      <c r="B33">
        <v>33</v>
      </c>
      <c r="C33">
        <v>5</v>
      </c>
      <c r="D33">
        <v>3025</v>
      </c>
      <c r="E33">
        <v>10</v>
      </c>
      <c r="F33">
        <v>0</v>
      </c>
      <c r="G33">
        <v>0</v>
      </c>
      <c r="H33">
        <v>1</v>
      </c>
      <c r="I33">
        <v>0</v>
      </c>
      <c r="J33">
        <v>0</v>
      </c>
      <c r="K33">
        <v>0</v>
      </c>
      <c r="L33">
        <v>1</v>
      </c>
      <c r="M33">
        <v>0</v>
      </c>
      <c r="N33">
        <v>0</v>
      </c>
      <c r="O33">
        <v>0</v>
      </c>
      <c r="P33">
        <v>1</v>
      </c>
      <c r="Q33">
        <v>0</v>
      </c>
      <c r="R33">
        <v>0</v>
      </c>
      <c r="S33">
        <v>1</v>
      </c>
      <c r="T33">
        <v>0</v>
      </c>
      <c r="U33">
        <v>0</v>
      </c>
      <c r="V33">
        <v>1</v>
      </c>
      <c r="W33">
        <v>0</v>
      </c>
      <c r="X33">
        <v>0</v>
      </c>
      <c r="Y33">
        <v>0</v>
      </c>
      <c r="Z33">
        <v>0</v>
      </c>
    </row>
    <row r="34" spans="1:26" x14ac:dyDescent="0.25">
      <c r="A34">
        <v>121</v>
      </c>
      <c r="B34">
        <v>13</v>
      </c>
      <c r="C34">
        <v>2</v>
      </c>
      <c r="D34">
        <v>2916</v>
      </c>
      <c r="E34">
        <v>9</v>
      </c>
      <c r="F34">
        <v>0</v>
      </c>
      <c r="G34">
        <v>0</v>
      </c>
      <c r="H34">
        <v>1</v>
      </c>
      <c r="I34">
        <v>0</v>
      </c>
      <c r="J34">
        <v>0</v>
      </c>
      <c r="K34">
        <v>0</v>
      </c>
      <c r="L34">
        <v>1</v>
      </c>
      <c r="M34">
        <v>0</v>
      </c>
      <c r="N34">
        <v>0</v>
      </c>
      <c r="O34">
        <v>1</v>
      </c>
      <c r="P34">
        <v>0</v>
      </c>
      <c r="Q34">
        <v>0</v>
      </c>
      <c r="R34">
        <v>0</v>
      </c>
      <c r="S34">
        <v>1</v>
      </c>
      <c r="T34">
        <v>0</v>
      </c>
      <c r="U34">
        <v>0</v>
      </c>
      <c r="V34">
        <v>0</v>
      </c>
      <c r="W34">
        <v>0</v>
      </c>
      <c r="X34">
        <v>0</v>
      </c>
      <c r="Y34">
        <v>1</v>
      </c>
      <c r="Z34">
        <v>0</v>
      </c>
    </row>
    <row r="35" spans="1:26" x14ac:dyDescent="0.25">
      <c r="A35">
        <v>20</v>
      </c>
      <c r="B35">
        <v>5</v>
      </c>
      <c r="C35">
        <v>3</v>
      </c>
      <c r="D35">
        <v>3981</v>
      </c>
      <c r="E35">
        <v>8</v>
      </c>
      <c r="F35">
        <v>0</v>
      </c>
      <c r="G35">
        <v>0</v>
      </c>
      <c r="H35">
        <v>0</v>
      </c>
      <c r="I35">
        <v>1</v>
      </c>
      <c r="J35">
        <v>0</v>
      </c>
      <c r="K35">
        <v>0</v>
      </c>
      <c r="L35">
        <v>1</v>
      </c>
      <c r="M35">
        <v>0</v>
      </c>
      <c r="N35">
        <v>1</v>
      </c>
      <c r="O35">
        <v>0</v>
      </c>
      <c r="P35">
        <v>0</v>
      </c>
      <c r="Q35">
        <v>0</v>
      </c>
      <c r="R35">
        <v>0</v>
      </c>
      <c r="S35">
        <v>1</v>
      </c>
      <c r="T35">
        <v>0</v>
      </c>
      <c r="U35">
        <v>0</v>
      </c>
      <c r="V35">
        <v>1</v>
      </c>
      <c r="W35">
        <v>0</v>
      </c>
      <c r="X35">
        <v>0</v>
      </c>
      <c r="Y35">
        <v>0</v>
      </c>
      <c r="Z35">
        <v>0</v>
      </c>
    </row>
    <row r="36" spans="1:26" x14ac:dyDescent="0.25">
      <c r="A36">
        <v>106</v>
      </c>
      <c r="B36">
        <v>37</v>
      </c>
      <c r="C36">
        <v>4</v>
      </c>
      <c r="D36">
        <v>1228</v>
      </c>
      <c r="E36">
        <v>3</v>
      </c>
      <c r="F36">
        <v>0</v>
      </c>
      <c r="G36">
        <v>0</v>
      </c>
      <c r="H36">
        <v>1</v>
      </c>
      <c r="I36">
        <v>0</v>
      </c>
      <c r="J36">
        <v>1</v>
      </c>
      <c r="K36">
        <v>0</v>
      </c>
      <c r="L36">
        <v>0</v>
      </c>
      <c r="M36">
        <v>0</v>
      </c>
      <c r="N36">
        <v>1</v>
      </c>
      <c r="O36">
        <v>0</v>
      </c>
      <c r="P36">
        <v>0</v>
      </c>
      <c r="Q36">
        <v>1</v>
      </c>
      <c r="R36">
        <v>0</v>
      </c>
      <c r="S36">
        <v>0</v>
      </c>
      <c r="T36">
        <v>0</v>
      </c>
      <c r="U36">
        <v>0</v>
      </c>
      <c r="V36">
        <v>0</v>
      </c>
      <c r="W36">
        <v>0</v>
      </c>
      <c r="X36">
        <v>0</v>
      </c>
      <c r="Y36">
        <v>0</v>
      </c>
      <c r="Z36">
        <v>1</v>
      </c>
    </row>
    <row r="37" spans="1:26" x14ac:dyDescent="0.25">
      <c r="A37">
        <v>102</v>
      </c>
      <c r="B37">
        <v>24</v>
      </c>
      <c r="C37">
        <v>2</v>
      </c>
      <c r="D37">
        <v>3773</v>
      </c>
      <c r="E37">
        <v>9</v>
      </c>
      <c r="F37">
        <v>0</v>
      </c>
      <c r="G37">
        <v>1</v>
      </c>
      <c r="H37">
        <v>0</v>
      </c>
      <c r="I37">
        <v>0</v>
      </c>
      <c r="J37">
        <v>0</v>
      </c>
      <c r="K37">
        <v>1</v>
      </c>
      <c r="L37">
        <v>0</v>
      </c>
      <c r="M37">
        <v>0</v>
      </c>
      <c r="N37">
        <v>1</v>
      </c>
      <c r="O37">
        <v>0</v>
      </c>
      <c r="P37">
        <v>0</v>
      </c>
      <c r="Q37">
        <v>0</v>
      </c>
      <c r="R37">
        <v>0</v>
      </c>
      <c r="S37">
        <v>1</v>
      </c>
      <c r="T37">
        <v>1</v>
      </c>
      <c r="U37">
        <v>0</v>
      </c>
      <c r="V37">
        <v>0</v>
      </c>
      <c r="W37">
        <v>0</v>
      </c>
      <c r="X37">
        <v>0</v>
      </c>
      <c r="Y37">
        <v>0</v>
      </c>
      <c r="Z37">
        <v>0</v>
      </c>
    </row>
    <row r="38" spans="1:26" x14ac:dyDescent="0.25">
      <c r="A38">
        <v>88</v>
      </c>
      <c r="B38">
        <v>19</v>
      </c>
      <c r="C38">
        <v>5</v>
      </c>
      <c r="D38">
        <v>732</v>
      </c>
      <c r="E38">
        <v>1</v>
      </c>
      <c r="F38">
        <v>0</v>
      </c>
      <c r="G38">
        <v>0</v>
      </c>
      <c r="H38">
        <v>0</v>
      </c>
      <c r="I38">
        <v>1</v>
      </c>
      <c r="J38">
        <v>1</v>
      </c>
      <c r="K38">
        <v>0</v>
      </c>
      <c r="L38">
        <v>0</v>
      </c>
      <c r="M38">
        <v>0</v>
      </c>
      <c r="N38">
        <v>1</v>
      </c>
      <c r="O38">
        <v>0</v>
      </c>
      <c r="P38">
        <v>0</v>
      </c>
      <c r="Q38">
        <v>0</v>
      </c>
      <c r="R38">
        <v>0</v>
      </c>
      <c r="S38">
        <v>1</v>
      </c>
      <c r="T38">
        <v>0</v>
      </c>
      <c r="U38">
        <v>0</v>
      </c>
      <c r="V38">
        <v>0</v>
      </c>
      <c r="W38">
        <v>0</v>
      </c>
      <c r="X38">
        <v>0</v>
      </c>
      <c r="Y38">
        <v>0</v>
      </c>
      <c r="Z38">
        <v>1</v>
      </c>
    </row>
    <row r="39" spans="1:26" x14ac:dyDescent="0.25">
      <c r="A39">
        <v>41</v>
      </c>
      <c r="B39">
        <v>10</v>
      </c>
      <c r="C39">
        <v>5</v>
      </c>
      <c r="D39">
        <v>2959</v>
      </c>
      <c r="E39">
        <v>4</v>
      </c>
      <c r="F39">
        <v>0</v>
      </c>
      <c r="G39">
        <v>1</v>
      </c>
      <c r="H39">
        <v>0</v>
      </c>
      <c r="I39">
        <v>0</v>
      </c>
      <c r="J39">
        <v>0</v>
      </c>
      <c r="K39">
        <v>1</v>
      </c>
      <c r="L39">
        <v>0</v>
      </c>
      <c r="M39">
        <v>0</v>
      </c>
      <c r="N39">
        <v>0</v>
      </c>
      <c r="O39">
        <v>0</v>
      </c>
      <c r="P39">
        <v>1</v>
      </c>
      <c r="Q39">
        <v>0</v>
      </c>
      <c r="R39">
        <v>0</v>
      </c>
      <c r="S39">
        <v>1</v>
      </c>
      <c r="T39">
        <v>0</v>
      </c>
      <c r="U39">
        <v>0</v>
      </c>
      <c r="V39">
        <v>1</v>
      </c>
      <c r="W39">
        <v>0</v>
      </c>
      <c r="X39">
        <v>0</v>
      </c>
      <c r="Y39">
        <v>0</v>
      </c>
      <c r="Z39">
        <v>0</v>
      </c>
    </row>
    <row r="40" spans="1:26" x14ac:dyDescent="0.25">
      <c r="A40">
        <v>19</v>
      </c>
      <c r="B40">
        <v>8</v>
      </c>
      <c r="C40">
        <v>4</v>
      </c>
      <c r="D40">
        <v>2959</v>
      </c>
      <c r="E40">
        <v>10</v>
      </c>
      <c r="F40">
        <v>0</v>
      </c>
      <c r="G40">
        <v>1</v>
      </c>
      <c r="H40">
        <v>0</v>
      </c>
      <c r="I40">
        <v>0</v>
      </c>
      <c r="J40">
        <v>0</v>
      </c>
      <c r="K40">
        <v>0</v>
      </c>
      <c r="L40">
        <v>1</v>
      </c>
      <c r="M40">
        <v>0</v>
      </c>
      <c r="N40">
        <v>0</v>
      </c>
      <c r="O40">
        <v>0</v>
      </c>
      <c r="P40">
        <v>1</v>
      </c>
      <c r="Q40">
        <v>0</v>
      </c>
      <c r="R40">
        <v>0</v>
      </c>
      <c r="S40">
        <v>1</v>
      </c>
      <c r="T40">
        <v>0</v>
      </c>
      <c r="U40">
        <v>0</v>
      </c>
      <c r="V40">
        <v>0</v>
      </c>
      <c r="W40">
        <v>1</v>
      </c>
      <c r="X40">
        <v>0</v>
      </c>
      <c r="Y40">
        <v>0</v>
      </c>
      <c r="Z40">
        <v>0</v>
      </c>
    </row>
    <row r="41" spans="1:26" x14ac:dyDescent="0.25">
      <c r="A41">
        <v>95</v>
      </c>
      <c r="B41">
        <v>37</v>
      </c>
      <c r="C41">
        <v>4</v>
      </c>
      <c r="D41">
        <v>732</v>
      </c>
      <c r="E41">
        <v>6</v>
      </c>
      <c r="F41">
        <v>0</v>
      </c>
      <c r="G41">
        <v>0</v>
      </c>
      <c r="H41">
        <v>1</v>
      </c>
      <c r="I41">
        <v>0</v>
      </c>
      <c r="J41">
        <v>1</v>
      </c>
      <c r="K41">
        <v>0</v>
      </c>
      <c r="L41">
        <v>0</v>
      </c>
      <c r="M41">
        <v>0</v>
      </c>
      <c r="N41">
        <v>1</v>
      </c>
      <c r="O41">
        <v>0</v>
      </c>
      <c r="P41">
        <v>0</v>
      </c>
      <c r="Q41">
        <v>0</v>
      </c>
      <c r="R41">
        <v>1</v>
      </c>
      <c r="S41">
        <v>0</v>
      </c>
      <c r="T41">
        <v>0</v>
      </c>
      <c r="U41">
        <v>0</v>
      </c>
      <c r="V41">
        <v>0</v>
      </c>
      <c r="W41">
        <v>0</v>
      </c>
      <c r="X41">
        <v>0</v>
      </c>
      <c r="Y41">
        <v>1</v>
      </c>
      <c r="Z41">
        <v>0</v>
      </c>
    </row>
    <row r="42" spans="1:26" x14ac:dyDescent="0.25">
      <c r="A42">
        <v>148</v>
      </c>
      <c r="B42">
        <v>33</v>
      </c>
      <c r="C42">
        <v>4</v>
      </c>
      <c r="D42">
        <v>188</v>
      </c>
      <c r="E42">
        <v>3</v>
      </c>
      <c r="F42">
        <v>0</v>
      </c>
      <c r="G42">
        <v>0</v>
      </c>
      <c r="H42">
        <v>0</v>
      </c>
      <c r="I42">
        <v>1</v>
      </c>
      <c r="J42">
        <v>1</v>
      </c>
      <c r="K42">
        <v>0</v>
      </c>
      <c r="L42">
        <v>0</v>
      </c>
      <c r="M42">
        <v>0</v>
      </c>
      <c r="N42">
        <v>0</v>
      </c>
      <c r="O42">
        <v>1</v>
      </c>
      <c r="P42">
        <v>0</v>
      </c>
      <c r="Q42">
        <v>0</v>
      </c>
      <c r="R42">
        <v>0</v>
      </c>
      <c r="S42">
        <v>1</v>
      </c>
      <c r="T42">
        <v>0</v>
      </c>
      <c r="U42">
        <v>0</v>
      </c>
      <c r="V42">
        <v>0</v>
      </c>
      <c r="W42">
        <v>0</v>
      </c>
      <c r="X42">
        <v>0</v>
      </c>
      <c r="Y42">
        <v>0</v>
      </c>
      <c r="Z42">
        <v>1</v>
      </c>
    </row>
    <row r="43" spans="1:26" x14ac:dyDescent="0.25">
      <c r="A43">
        <v>136</v>
      </c>
      <c r="B43">
        <v>20</v>
      </c>
      <c r="C43">
        <v>5</v>
      </c>
      <c r="D43">
        <v>1282</v>
      </c>
      <c r="E43">
        <v>3</v>
      </c>
      <c r="F43">
        <v>0</v>
      </c>
      <c r="G43">
        <v>1</v>
      </c>
      <c r="H43">
        <v>0</v>
      </c>
      <c r="I43">
        <v>0</v>
      </c>
      <c r="J43">
        <v>0</v>
      </c>
      <c r="K43">
        <v>1</v>
      </c>
      <c r="L43">
        <v>0</v>
      </c>
      <c r="M43">
        <v>0</v>
      </c>
      <c r="N43">
        <v>0</v>
      </c>
      <c r="O43">
        <v>0</v>
      </c>
      <c r="P43">
        <v>1</v>
      </c>
      <c r="Q43">
        <v>0</v>
      </c>
      <c r="R43">
        <v>0</v>
      </c>
      <c r="S43">
        <v>1</v>
      </c>
      <c r="T43">
        <v>0</v>
      </c>
      <c r="U43">
        <v>0</v>
      </c>
      <c r="V43">
        <v>0</v>
      </c>
      <c r="W43">
        <v>1</v>
      </c>
      <c r="X43">
        <v>0</v>
      </c>
      <c r="Y43">
        <v>0</v>
      </c>
      <c r="Z43">
        <v>0</v>
      </c>
    </row>
    <row r="44" spans="1:26" x14ac:dyDescent="0.25">
      <c r="A44">
        <v>113</v>
      </c>
      <c r="B44">
        <v>15</v>
      </c>
      <c r="C44">
        <v>5</v>
      </c>
      <c r="D44">
        <v>2959</v>
      </c>
      <c r="E44">
        <v>8</v>
      </c>
      <c r="F44">
        <v>0</v>
      </c>
      <c r="G44">
        <v>0</v>
      </c>
      <c r="H44">
        <v>1</v>
      </c>
      <c r="I44">
        <v>0</v>
      </c>
      <c r="J44">
        <v>0</v>
      </c>
      <c r="K44">
        <v>1</v>
      </c>
      <c r="L44">
        <v>0</v>
      </c>
      <c r="M44">
        <v>0</v>
      </c>
      <c r="N44">
        <v>0</v>
      </c>
      <c r="O44">
        <v>0</v>
      </c>
      <c r="P44">
        <v>1</v>
      </c>
      <c r="Q44">
        <v>0</v>
      </c>
      <c r="R44">
        <v>1</v>
      </c>
      <c r="S44">
        <v>0</v>
      </c>
      <c r="T44">
        <v>0</v>
      </c>
      <c r="U44">
        <v>0</v>
      </c>
      <c r="V44">
        <v>0</v>
      </c>
      <c r="W44">
        <v>0</v>
      </c>
      <c r="X44">
        <v>1</v>
      </c>
      <c r="Y44">
        <v>0</v>
      </c>
      <c r="Z44">
        <v>0</v>
      </c>
    </row>
    <row r="45" spans="1:26" x14ac:dyDescent="0.25">
      <c r="A45">
        <v>16</v>
      </c>
      <c r="B45">
        <v>13</v>
      </c>
      <c r="C45">
        <v>5</v>
      </c>
      <c r="D45">
        <v>2700</v>
      </c>
      <c r="E45">
        <v>9</v>
      </c>
      <c r="F45">
        <v>1</v>
      </c>
      <c r="G45">
        <v>0</v>
      </c>
      <c r="H45">
        <v>0</v>
      </c>
      <c r="I45">
        <v>0</v>
      </c>
      <c r="J45">
        <v>0</v>
      </c>
      <c r="K45">
        <v>0</v>
      </c>
      <c r="L45">
        <v>1</v>
      </c>
      <c r="M45">
        <v>1</v>
      </c>
      <c r="N45">
        <v>0</v>
      </c>
      <c r="O45">
        <v>0</v>
      </c>
      <c r="P45">
        <v>1</v>
      </c>
      <c r="Q45">
        <v>0</v>
      </c>
      <c r="R45">
        <v>0</v>
      </c>
      <c r="S45">
        <v>1</v>
      </c>
      <c r="T45">
        <v>0</v>
      </c>
      <c r="U45">
        <v>0</v>
      </c>
      <c r="V45">
        <v>0</v>
      </c>
      <c r="W45">
        <v>0</v>
      </c>
      <c r="X45">
        <v>0</v>
      </c>
      <c r="Y45">
        <v>1</v>
      </c>
      <c r="Z45">
        <v>0</v>
      </c>
    </row>
    <row r="46" spans="1:26" x14ac:dyDescent="0.25">
      <c r="A46">
        <v>74</v>
      </c>
      <c r="B46">
        <v>47</v>
      </c>
      <c r="C46">
        <v>4</v>
      </c>
      <c r="D46">
        <v>3981</v>
      </c>
      <c r="E46">
        <v>7</v>
      </c>
      <c r="F46">
        <v>1</v>
      </c>
      <c r="G46">
        <v>0</v>
      </c>
      <c r="H46">
        <v>0</v>
      </c>
      <c r="I46">
        <v>0</v>
      </c>
      <c r="J46">
        <v>0</v>
      </c>
      <c r="K46">
        <v>0</v>
      </c>
      <c r="L46">
        <v>1</v>
      </c>
      <c r="M46">
        <v>0</v>
      </c>
      <c r="N46">
        <v>1</v>
      </c>
      <c r="O46">
        <v>0</v>
      </c>
      <c r="P46">
        <v>0</v>
      </c>
      <c r="Q46">
        <v>0</v>
      </c>
      <c r="R46">
        <v>1</v>
      </c>
      <c r="S46">
        <v>0</v>
      </c>
      <c r="T46">
        <v>0</v>
      </c>
      <c r="U46">
        <v>0</v>
      </c>
      <c r="V46">
        <v>0</v>
      </c>
      <c r="W46">
        <v>0</v>
      </c>
      <c r="X46">
        <v>0</v>
      </c>
      <c r="Y46">
        <v>0</v>
      </c>
      <c r="Z46">
        <v>1</v>
      </c>
    </row>
    <row r="47" spans="1:26" x14ac:dyDescent="0.25">
      <c r="A47">
        <v>56</v>
      </c>
      <c r="B47">
        <v>16</v>
      </c>
      <c r="C47">
        <v>4</v>
      </c>
      <c r="D47">
        <v>2916</v>
      </c>
      <c r="E47">
        <v>9</v>
      </c>
      <c r="F47">
        <v>0</v>
      </c>
      <c r="G47">
        <v>0</v>
      </c>
      <c r="H47">
        <v>1</v>
      </c>
      <c r="I47">
        <v>0</v>
      </c>
      <c r="J47">
        <v>1</v>
      </c>
      <c r="K47">
        <v>0</v>
      </c>
      <c r="L47">
        <v>0</v>
      </c>
      <c r="M47">
        <v>0</v>
      </c>
      <c r="N47">
        <v>0</v>
      </c>
      <c r="O47">
        <v>1</v>
      </c>
      <c r="P47">
        <v>0</v>
      </c>
      <c r="Q47">
        <v>0</v>
      </c>
      <c r="R47">
        <v>0</v>
      </c>
      <c r="S47">
        <v>1</v>
      </c>
      <c r="T47">
        <v>0</v>
      </c>
      <c r="U47">
        <v>0</v>
      </c>
      <c r="V47">
        <v>0</v>
      </c>
      <c r="W47">
        <v>0</v>
      </c>
      <c r="X47">
        <v>0</v>
      </c>
      <c r="Y47">
        <v>1</v>
      </c>
      <c r="Z47">
        <v>0</v>
      </c>
    </row>
    <row r="48" spans="1:26" x14ac:dyDescent="0.25">
      <c r="A48">
        <v>116</v>
      </c>
      <c r="B48">
        <v>44</v>
      </c>
      <c r="C48">
        <v>4</v>
      </c>
      <c r="D48">
        <v>315</v>
      </c>
      <c r="E48">
        <v>5</v>
      </c>
      <c r="F48">
        <v>0</v>
      </c>
      <c r="G48">
        <v>0</v>
      </c>
      <c r="H48">
        <v>0</v>
      </c>
      <c r="I48">
        <v>1</v>
      </c>
      <c r="J48">
        <v>0</v>
      </c>
      <c r="K48">
        <v>0</v>
      </c>
      <c r="L48">
        <v>1</v>
      </c>
      <c r="M48">
        <v>0</v>
      </c>
      <c r="N48">
        <v>1</v>
      </c>
      <c r="O48">
        <v>0</v>
      </c>
      <c r="P48">
        <v>0</v>
      </c>
      <c r="Q48">
        <v>1</v>
      </c>
      <c r="R48">
        <v>0</v>
      </c>
      <c r="S48">
        <v>0</v>
      </c>
      <c r="T48">
        <v>0</v>
      </c>
      <c r="U48">
        <v>0</v>
      </c>
      <c r="V48">
        <v>1</v>
      </c>
      <c r="W48">
        <v>0</v>
      </c>
      <c r="X48">
        <v>0</v>
      </c>
      <c r="Y48">
        <v>0</v>
      </c>
      <c r="Z48">
        <v>0</v>
      </c>
    </row>
    <row r="49" spans="1:26" x14ac:dyDescent="0.25">
      <c r="A49">
        <v>44</v>
      </c>
      <c r="B49">
        <v>35</v>
      </c>
      <c r="C49">
        <v>5</v>
      </c>
      <c r="D49">
        <v>3933</v>
      </c>
      <c r="E49">
        <v>6</v>
      </c>
      <c r="F49">
        <v>0</v>
      </c>
      <c r="G49">
        <v>0</v>
      </c>
      <c r="H49">
        <v>1</v>
      </c>
      <c r="I49">
        <v>0</v>
      </c>
      <c r="J49">
        <v>0</v>
      </c>
      <c r="K49">
        <v>0</v>
      </c>
      <c r="L49">
        <v>1</v>
      </c>
      <c r="M49">
        <v>0</v>
      </c>
      <c r="N49">
        <v>0</v>
      </c>
      <c r="O49">
        <v>0</v>
      </c>
      <c r="P49">
        <v>1</v>
      </c>
      <c r="Q49">
        <v>1</v>
      </c>
      <c r="R49">
        <v>0</v>
      </c>
      <c r="S49">
        <v>0</v>
      </c>
      <c r="T49">
        <v>0</v>
      </c>
      <c r="U49">
        <v>0</v>
      </c>
      <c r="V49">
        <v>0</v>
      </c>
      <c r="W49">
        <v>0</v>
      </c>
      <c r="X49">
        <v>0</v>
      </c>
      <c r="Y49">
        <v>1</v>
      </c>
      <c r="Z49">
        <v>0</v>
      </c>
    </row>
    <row r="50" spans="1:26" x14ac:dyDescent="0.25">
      <c r="A50">
        <v>49</v>
      </c>
      <c r="B50">
        <v>22</v>
      </c>
      <c r="C50">
        <v>3</v>
      </c>
      <c r="D50">
        <v>188</v>
      </c>
      <c r="E50">
        <v>5</v>
      </c>
      <c r="F50">
        <v>0</v>
      </c>
      <c r="G50">
        <v>0</v>
      </c>
      <c r="H50">
        <v>0</v>
      </c>
      <c r="I50">
        <v>1</v>
      </c>
      <c r="J50">
        <v>0</v>
      </c>
      <c r="K50">
        <v>0</v>
      </c>
      <c r="L50">
        <v>1</v>
      </c>
      <c r="M50">
        <v>0</v>
      </c>
      <c r="N50">
        <v>0</v>
      </c>
      <c r="O50">
        <v>1</v>
      </c>
      <c r="P50">
        <v>0</v>
      </c>
      <c r="Q50">
        <v>0</v>
      </c>
      <c r="R50">
        <v>0</v>
      </c>
      <c r="S50">
        <v>1</v>
      </c>
      <c r="T50">
        <v>0</v>
      </c>
      <c r="U50">
        <v>0</v>
      </c>
      <c r="V50">
        <v>0</v>
      </c>
      <c r="W50">
        <v>1</v>
      </c>
      <c r="X50">
        <v>0</v>
      </c>
      <c r="Y50">
        <v>0</v>
      </c>
      <c r="Z50">
        <v>0</v>
      </c>
    </row>
    <row r="51" spans="1:26" x14ac:dyDescent="0.25">
      <c r="A51">
        <v>137</v>
      </c>
      <c r="B51">
        <v>42</v>
      </c>
      <c r="C51">
        <v>3</v>
      </c>
      <c r="D51">
        <v>2916</v>
      </c>
      <c r="E51">
        <v>5</v>
      </c>
      <c r="F51">
        <v>0</v>
      </c>
      <c r="G51">
        <v>0</v>
      </c>
      <c r="H51">
        <v>1</v>
      </c>
      <c r="I51">
        <v>0</v>
      </c>
      <c r="J51">
        <v>0</v>
      </c>
      <c r="K51">
        <v>0</v>
      </c>
      <c r="L51">
        <v>1</v>
      </c>
      <c r="M51">
        <v>0</v>
      </c>
      <c r="N51">
        <v>0</v>
      </c>
      <c r="O51">
        <v>1</v>
      </c>
      <c r="P51">
        <v>0</v>
      </c>
      <c r="Q51">
        <v>0</v>
      </c>
      <c r="R51">
        <v>0</v>
      </c>
      <c r="S51">
        <v>1</v>
      </c>
      <c r="T51">
        <v>0</v>
      </c>
      <c r="U51">
        <v>0</v>
      </c>
      <c r="V51">
        <v>0</v>
      </c>
      <c r="W51">
        <v>1</v>
      </c>
      <c r="X51">
        <v>0</v>
      </c>
      <c r="Y51">
        <v>0</v>
      </c>
      <c r="Z51">
        <v>0</v>
      </c>
    </row>
    <row r="52" spans="1:26" x14ac:dyDescent="0.25">
      <c r="A52">
        <v>79</v>
      </c>
      <c r="B52">
        <v>39</v>
      </c>
      <c r="C52">
        <v>3</v>
      </c>
      <c r="D52">
        <v>1467</v>
      </c>
      <c r="E52">
        <v>5</v>
      </c>
      <c r="F52">
        <v>1</v>
      </c>
      <c r="G52">
        <v>0</v>
      </c>
      <c r="H52">
        <v>0</v>
      </c>
      <c r="I52">
        <v>0</v>
      </c>
      <c r="J52">
        <v>0</v>
      </c>
      <c r="K52">
        <v>0</v>
      </c>
      <c r="L52">
        <v>1</v>
      </c>
      <c r="M52">
        <v>1</v>
      </c>
      <c r="N52">
        <v>0</v>
      </c>
      <c r="O52">
        <v>1</v>
      </c>
      <c r="P52">
        <v>0</v>
      </c>
      <c r="Q52">
        <v>1</v>
      </c>
      <c r="R52">
        <v>0</v>
      </c>
      <c r="S52">
        <v>0</v>
      </c>
      <c r="T52">
        <v>0</v>
      </c>
      <c r="U52">
        <v>0</v>
      </c>
      <c r="V52">
        <v>0</v>
      </c>
      <c r="W52">
        <v>0</v>
      </c>
      <c r="X52">
        <v>0</v>
      </c>
      <c r="Y52">
        <v>0</v>
      </c>
      <c r="Z52">
        <v>1</v>
      </c>
    </row>
    <row r="53" spans="1:26" x14ac:dyDescent="0.25">
      <c r="A53">
        <v>27</v>
      </c>
      <c r="B53">
        <v>12</v>
      </c>
      <c r="C53">
        <v>5</v>
      </c>
      <c r="D53">
        <v>787</v>
      </c>
      <c r="E53">
        <v>4</v>
      </c>
      <c r="F53">
        <v>0</v>
      </c>
      <c r="G53">
        <v>0</v>
      </c>
      <c r="H53">
        <v>1</v>
      </c>
      <c r="I53">
        <v>0</v>
      </c>
      <c r="J53">
        <v>1</v>
      </c>
      <c r="K53">
        <v>0</v>
      </c>
      <c r="L53">
        <v>0</v>
      </c>
      <c r="M53">
        <v>1</v>
      </c>
      <c r="N53">
        <v>1</v>
      </c>
      <c r="O53">
        <v>0</v>
      </c>
      <c r="P53">
        <v>0</v>
      </c>
      <c r="Q53">
        <v>0</v>
      </c>
      <c r="R53">
        <v>0</v>
      </c>
      <c r="S53">
        <v>1</v>
      </c>
      <c r="T53">
        <v>0</v>
      </c>
      <c r="U53">
        <v>0</v>
      </c>
      <c r="V53">
        <v>0</v>
      </c>
      <c r="W53">
        <v>0</v>
      </c>
      <c r="X53">
        <v>0</v>
      </c>
      <c r="Y53">
        <v>1</v>
      </c>
      <c r="Z53">
        <v>0</v>
      </c>
    </row>
    <row r="54" spans="1:26" x14ac:dyDescent="0.25">
      <c r="A54">
        <v>130</v>
      </c>
      <c r="B54">
        <v>19</v>
      </c>
      <c r="C54">
        <v>3</v>
      </c>
      <c r="D54">
        <v>2916</v>
      </c>
      <c r="E54">
        <v>6</v>
      </c>
      <c r="F54">
        <v>0</v>
      </c>
      <c r="G54">
        <v>1</v>
      </c>
      <c r="H54">
        <v>0</v>
      </c>
      <c r="I54">
        <v>0</v>
      </c>
      <c r="J54">
        <v>0</v>
      </c>
      <c r="K54">
        <v>0</v>
      </c>
      <c r="L54">
        <v>1</v>
      </c>
      <c r="M54">
        <v>0</v>
      </c>
      <c r="N54">
        <v>0</v>
      </c>
      <c r="O54">
        <v>1</v>
      </c>
      <c r="P54">
        <v>0</v>
      </c>
      <c r="Q54">
        <v>0</v>
      </c>
      <c r="R54">
        <v>0</v>
      </c>
      <c r="S54">
        <v>1</v>
      </c>
      <c r="T54">
        <v>0</v>
      </c>
      <c r="U54">
        <v>0</v>
      </c>
      <c r="V54">
        <v>0</v>
      </c>
      <c r="W54">
        <v>1</v>
      </c>
      <c r="X54">
        <v>0</v>
      </c>
      <c r="Y54">
        <v>0</v>
      </c>
      <c r="Z54">
        <v>0</v>
      </c>
    </row>
    <row r="55" spans="1:26" x14ac:dyDescent="0.25">
      <c r="A55">
        <v>50</v>
      </c>
      <c r="B55">
        <v>39</v>
      </c>
      <c r="C55">
        <v>2</v>
      </c>
      <c r="D55">
        <v>1228</v>
      </c>
      <c r="E55">
        <v>10</v>
      </c>
      <c r="F55">
        <v>1</v>
      </c>
      <c r="G55">
        <v>0</v>
      </c>
      <c r="H55">
        <v>0</v>
      </c>
      <c r="I55">
        <v>0</v>
      </c>
      <c r="J55">
        <v>0</v>
      </c>
      <c r="K55">
        <v>1</v>
      </c>
      <c r="L55">
        <v>0</v>
      </c>
      <c r="M55">
        <v>0</v>
      </c>
      <c r="N55">
        <v>1</v>
      </c>
      <c r="O55">
        <v>0</v>
      </c>
      <c r="P55">
        <v>0</v>
      </c>
      <c r="Q55">
        <v>0</v>
      </c>
      <c r="R55">
        <v>0</v>
      </c>
      <c r="S55">
        <v>1</v>
      </c>
      <c r="T55">
        <v>0</v>
      </c>
      <c r="U55">
        <v>0</v>
      </c>
      <c r="V55">
        <v>0</v>
      </c>
      <c r="W55">
        <v>0</v>
      </c>
      <c r="X55">
        <v>1</v>
      </c>
      <c r="Y55">
        <v>0</v>
      </c>
      <c r="Z55">
        <v>0</v>
      </c>
    </row>
    <row r="56" spans="1:26" x14ac:dyDescent="0.25">
      <c r="A56">
        <v>75</v>
      </c>
      <c r="B56">
        <v>37</v>
      </c>
      <c r="C56">
        <v>5</v>
      </c>
      <c r="D56">
        <v>732</v>
      </c>
      <c r="E56">
        <v>6</v>
      </c>
      <c r="F56">
        <v>0</v>
      </c>
      <c r="G56">
        <v>1</v>
      </c>
      <c r="H56">
        <v>0</v>
      </c>
      <c r="I56">
        <v>0</v>
      </c>
      <c r="J56">
        <v>0</v>
      </c>
      <c r="K56">
        <v>0</v>
      </c>
      <c r="L56">
        <v>1</v>
      </c>
      <c r="M56">
        <v>0</v>
      </c>
      <c r="N56">
        <v>1</v>
      </c>
      <c r="O56">
        <v>0</v>
      </c>
      <c r="P56">
        <v>0</v>
      </c>
      <c r="Q56">
        <v>0</v>
      </c>
      <c r="R56">
        <v>0</v>
      </c>
      <c r="S56">
        <v>1</v>
      </c>
      <c r="T56">
        <v>0</v>
      </c>
      <c r="U56">
        <v>0</v>
      </c>
      <c r="V56">
        <v>1</v>
      </c>
      <c r="W56">
        <v>0</v>
      </c>
      <c r="X56">
        <v>0</v>
      </c>
      <c r="Y56">
        <v>0</v>
      </c>
      <c r="Z56">
        <v>0</v>
      </c>
    </row>
    <row r="57" spans="1:26" x14ac:dyDescent="0.25">
      <c r="A57">
        <v>125</v>
      </c>
      <c r="B57">
        <v>35</v>
      </c>
      <c r="C57">
        <v>5</v>
      </c>
      <c r="D57">
        <v>2700</v>
      </c>
      <c r="E57">
        <v>4</v>
      </c>
      <c r="F57">
        <v>0</v>
      </c>
      <c r="G57">
        <v>0</v>
      </c>
      <c r="H57">
        <v>1</v>
      </c>
      <c r="I57">
        <v>0</v>
      </c>
      <c r="J57">
        <v>1</v>
      </c>
      <c r="K57">
        <v>0</v>
      </c>
      <c r="L57">
        <v>0</v>
      </c>
      <c r="M57">
        <v>1</v>
      </c>
      <c r="N57">
        <v>0</v>
      </c>
      <c r="O57">
        <v>0</v>
      </c>
      <c r="P57">
        <v>1</v>
      </c>
      <c r="Q57">
        <v>0</v>
      </c>
      <c r="R57">
        <v>0</v>
      </c>
      <c r="S57">
        <v>1</v>
      </c>
      <c r="T57">
        <v>0</v>
      </c>
      <c r="U57">
        <v>0</v>
      </c>
      <c r="V57">
        <v>0</v>
      </c>
      <c r="W57">
        <v>1</v>
      </c>
      <c r="X57">
        <v>0</v>
      </c>
      <c r="Y57">
        <v>0</v>
      </c>
      <c r="Z57">
        <v>0</v>
      </c>
    </row>
    <row r="58" spans="1:26" x14ac:dyDescent="0.25">
      <c r="A58">
        <v>77</v>
      </c>
      <c r="B58">
        <v>18</v>
      </c>
      <c r="C58">
        <v>4</v>
      </c>
      <c r="D58">
        <v>3933</v>
      </c>
      <c r="E58">
        <v>10</v>
      </c>
      <c r="F58">
        <v>0</v>
      </c>
      <c r="G58">
        <v>1</v>
      </c>
      <c r="H58">
        <v>0</v>
      </c>
      <c r="I58">
        <v>0</v>
      </c>
      <c r="J58">
        <v>0</v>
      </c>
      <c r="K58">
        <v>1</v>
      </c>
      <c r="L58">
        <v>0</v>
      </c>
      <c r="M58">
        <v>0</v>
      </c>
      <c r="N58">
        <v>0</v>
      </c>
      <c r="O58">
        <v>0</v>
      </c>
      <c r="P58">
        <v>1</v>
      </c>
      <c r="Q58">
        <v>1</v>
      </c>
      <c r="R58">
        <v>0</v>
      </c>
      <c r="S58">
        <v>0</v>
      </c>
      <c r="T58">
        <v>0</v>
      </c>
      <c r="U58">
        <v>0</v>
      </c>
      <c r="V58">
        <v>1</v>
      </c>
      <c r="W58">
        <v>0</v>
      </c>
      <c r="X58">
        <v>0</v>
      </c>
      <c r="Y58">
        <v>0</v>
      </c>
      <c r="Z58">
        <v>0</v>
      </c>
    </row>
    <row r="59" spans="1:26" x14ac:dyDescent="0.25">
      <c r="A59">
        <v>182</v>
      </c>
      <c r="B59">
        <v>24</v>
      </c>
      <c r="C59">
        <v>4</v>
      </c>
      <c r="D59">
        <v>787</v>
      </c>
      <c r="E59">
        <v>2</v>
      </c>
      <c r="F59">
        <v>0</v>
      </c>
      <c r="G59">
        <v>0</v>
      </c>
      <c r="H59">
        <v>0</v>
      </c>
      <c r="I59">
        <v>1</v>
      </c>
      <c r="J59">
        <v>0</v>
      </c>
      <c r="K59">
        <v>1</v>
      </c>
      <c r="L59">
        <v>0</v>
      </c>
      <c r="M59">
        <v>1</v>
      </c>
      <c r="N59">
        <v>1</v>
      </c>
      <c r="O59">
        <v>0</v>
      </c>
      <c r="P59">
        <v>0</v>
      </c>
      <c r="Q59">
        <v>0</v>
      </c>
      <c r="R59">
        <v>0</v>
      </c>
      <c r="S59">
        <v>1</v>
      </c>
      <c r="T59">
        <v>0</v>
      </c>
      <c r="U59">
        <v>0</v>
      </c>
      <c r="V59">
        <v>0</v>
      </c>
      <c r="W59">
        <v>1</v>
      </c>
      <c r="X59">
        <v>0</v>
      </c>
      <c r="Y59">
        <v>0</v>
      </c>
      <c r="Z59">
        <v>0</v>
      </c>
    </row>
    <row r="60" spans="1:26" x14ac:dyDescent="0.25">
      <c r="A60">
        <v>38</v>
      </c>
      <c r="B60">
        <v>22</v>
      </c>
      <c r="C60">
        <v>4</v>
      </c>
      <c r="D60">
        <v>826</v>
      </c>
      <c r="E60">
        <v>4</v>
      </c>
      <c r="F60">
        <v>0</v>
      </c>
      <c r="G60">
        <v>0</v>
      </c>
      <c r="H60">
        <v>1</v>
      </c>
      <c r="I60">
        <v>0</v>
      </c>
      <c r="J60">
        <v>1</v>
      </c>
      <c r="K60">
        <v>0</v>
      </c>
      <c r="L60">
        <v>0</v>
      </c>
      <c r="M60">
        <v>0</v>
      </c>
      <c r="N60">
        <v>0</v>
      </c>
      <c r="O60">
        <v>1</v>
      </c>
      <c r="P60">
        <v>0</v>
      </c>
      <c r="Q60">
        <v>0</v>
      </c>
      <c r="R60">
        <v>0</v>
      </c>
      <c r="S60">
        <v>1</v>
      </c>
      <c r="T60">
        <v>0</v>
      </c>
      <c r="U60">
        <v>1</v>
      </c>
      <c r="V60">
        <v>0</v>
      </c>
      <c r="W60">
        <v>0</v>
      </c>
      <c r="X60">
        <v>0</v>
      </c>
      <c r="Y60">
        <v>0</v>
      </c>
      <c r="Z60">
        <v>0</v>
      </c>
    </row>
    <row r="61" spans="1:26" x14ac:dyDescent="0.25">
      <c r="A61">
        <v>101</v>
      </c>
      <c r="B61">
        <v>35</v>
      </c>
      <c r="C61">
        <v>5</v>
      </c>
      <c r="D61">
        <v>787</v>
      </c>
      <c r="E61">
        <v>5</v>
      </c>
      <c r="F61">
        <v>1</v>
      </c>
      <c r="G61">
        <v>0</v>
      </c>
      <c r="H61">
        <v>0</v>
      </c>
      <c r="I61">
        <v>0</v>
      </c>
      <c r="J61">
        <v>1</v>
      </c>
      <c r="K61">
        <v>0</v>
      </c>
      <c r="L61">
        <v>0</v>
      </c>
      <c r="M61">
        <v>1</v>
      </c>
      <c r="N61">
        <v>1</v>
      </c>
      <c r="O61">
        <v>0</v>
      </c>
      <c r="P61">
        <v>0</v>
      </c>
      <c r="Q61">
        <v>0</v>
      </c>
      <c r="R61">
        <v>0</v>
      </c>
      <c r="S61">
        <v>1</v>
      </c>
      <c r="T61">
        <v>0</v>
      </c>
      <c r="U61">
        <v>0</v>
      </c>
      <c r="V61">
        <v>1</v>
      </c>
      <c r="W61">
        <v>0</v>
      </c>
      <c r="X61">
        <v>0</v>
      </c>
      <c r="Y61">
        <v>0</v>
      </c>
      <c r="Z61">
        <v>0</v>
      </c>
    </row>
    <row r="62" spans="1:26" x14ac:dyDescent="0.25">
      <c r="A62">
        <v>95</v>
      </c>
      <c r="B62">
        <v>34</v>
      </c>
      <c r="C62">
        <v>5</v>
      </c>
      <c r="D62">
        <v>4027</v>
      </c>
      <c r="E62">
        <v>6</v>
      </c>
      <c r="F62">
        <v>0</v>
      </c>
      <c r="G62">
        <v>1</v>
      </c>
      <c r="H62">
        <v>0</v>
      </c>
      <c r="I62">
        <v>0</v>
      </c>
      <c r="J62">
        <v>1</v>
      </c>
      <c r="K62">
        <v>0</v>
      </c>
      <c r="L62">
        <v>0</v>
      </c>
      <c r="M62">
        <v>0</v>
      </c>
      <c r="N62">
        <v>0</v>
      </c>
      <c r="O62">
        <v>0</v>
      </c>
      <c r="P62">
        <v>1</v>
      </c>
      <c r="Q62">
        <v>0</v>
      </c>
      <c r="R62">
        <v>0</v>
      </c>
      <c r="S62">
        <v>1</v>
      </c>
      <c r="T62">
        <v>0</v>
      </c>
      <c r="U62">
        <v>0</v>
      </c>
      <c r="V62">
        <v>0</v>
      </c>
      <c r="W62">
        <v>1</v>
      </c>
      <c r="X62">
        <v>0</v>
      </c>
      <c r="Y62">
        <v>0</v>
      </c>
      <c r="Z62">
        <v>0</v>
      </c>
    </row>
    <row r="63" spans="1:26" x14ac:dyDescent="0.25">
      <c r="A63">
        <v>119</v>
      </c>
      <c r="B63">
        <v>20</v>
      </c>
      <c r="C63">
        <v>5</v>
      </c>
      <c r="D63">
        <v>716</v>
      </c>
      <c r="E63">
        <v>1</v>
      </c>
      <c r="F63">
        <v>0</v>
      </c>
      <c r="G63">
        <v>1</v>
      </c>
      <c r="H63">
        <v>0</v>
      </c>
      <c r="I63">
        <v>0</v>
      </c>
      <c r="J63">
        <v>1</v>
      </c>
      <c r="K63">
        <v>0</v>
      </c>
      <c r="L63">
        <v>0</v>
      </c>
      <c r="M63">
        <v>1</v>
      </c>
      <c r="N63">
        <v>1</v>
      </c>
      <c r="O63">
        <v>0</v>
      </c>
      <c r="P63">
        <v>0</v>
      </c>
      <c r="Q63">
        <v>1</v>
      </c>
      <c r="R63">
        <v>0</v>
      </c>
      <c r="S63">
        <v>0</v>
      </c>
      <c r="T63">
        <v>0</v>
      </c>
      <c r="U63">
        <v>0</v>
      </c>
      <c r="V63">
        <v>0</v>
      </c>
      <c r="W63">
        <v>1</v>
      </c>
      <c r="X63">
        <v>0</v>
      </c>
      <c r="Y63">
        <v>0</v>
      </c>
      <c r="Z63">
        <v>0</v>
      </c>
    </row>
    <row r="64" spans="1:26" x14ac:dyDescent="0.25">
      <c r="A64">
        <v>86</v>
      </c>
      <c r="B64">
        <v>12</v>
      </c>
      <c r="C64">
        <v>4</v>
      </c>
      <c r="D64">
        <v>732</v>
      </c>
      <c r="E64">
        <v>5</v>
      </c>
      <c r="F64">
        <v>0</v>
      </c>
      <c r="G64">
        <v>0</v>
      </c>
      <c r="H64">
        <v>0</v>
      </c>
      <c r="I64">
        <v>1</v>
      </c>
      <c r="J64">
        <v>0</v>
      </c>
      <c r="K64">
        <v>0</v>
      </c>
      <c r="L64">
        <v>1</v>
      </c>
      <c r="M64">
        <v>0</v>
      </c>
      <c r="N64">
        <v>1</v>
      </c>
      <c r="O64">
        <v>0</v>
      </c>
      <c r="P64">
        <v>0</v>
      </c>
      <c r="Q64">
        <v>0</v>
      </c>
      <c r="R64">
        <v>1</v>
      </c>
      <c r="S64">
        <v>0</v>
      </c>
      <c r="T64">
        <v>0</v>
      </c>
      <c r="U64">
        <v>0</v>
      </c>
      <c r="V64">
        <v>0</v>
      </c>
      <c r="W64">
        <v>1</v>
      </c>
      <c r="X64">
        <v>0</v>
      </c>
      <c r="Y64">
        <v>0</v>
      </c>
      <c r="Z64">
        <v>0</v>
      </c>
    </row>
    <row r="65" spans="1:26" x14ac:dyDescent="0.25">
      <c r="A65">
        <v>45</v>
      </c>
      <c r="B65">
        <v>12</v>
      </c>
      <c r="C65">
        <v>4</v>
      </c>
      <c r="D65">
        <v>3773</v>
      </c>
      <c r="E65">
        <v>4</v>
      </c>
      <c r="F65">
        <v>0</v>
      </c>
      <c r="G65">
        <v>0</v>
      </c>
      <c r="H65">
        <v>1</v>
      </c>
      <c r="I65">
        <v>0</v>
      </c>
      <c r="J65">
        <v>0</v>
      </c>
      <c r="K65">
        <v>0</v>
      </c>
      <c r="L65">
        <v>1</v>
      </c>
      <c r="M65">
        <v>0</v>
      </c>
      <c r="N65">
        <v>1</v>
      </c>
      <c r="O65">
        <v>0</v>
      </c>
      <c r="P65">
        <v>0</v>
      </c>
      <c r="Q65">
        <v>0</v>
      </c>
      <c r="R65">
        <v>1</v>
      </c>
      <c r="S65">
        <v>0</v>
      </c>
      <c r="T65">
        <v>1</v>
      </c>
      <c r="U65">
        <v>0</v>
      </c>
      <c r="V65">
        <v>0</v>
      </c>
      <c r="W65">
        <v>0</v>
      </c>
      <c r="X65">
        <v>0</v>
      </c>
      <c r="Y65">
        <v>0</v>
      </c>
      <c r="Z65">
        <v>0</v>
      </c>
    </row>
    <row r="66" spans="1:26" x14ac:dyDescent="0.25">
      <c r="A66">
        <v>50</v>
      </c>
      <c r="B66">
        <v>19</v>
      </c>
      <c r="C66">
        <v>5</v>
      </c>
      <c r="D66">
        <v>2959</v>
      </c>
      <c r="E66">
        <v>0</v>
      </c>
      <c r="F66">
        <v>0</v>
      </c>
      <c r="G66">
        <v>0</v>
      </c>
      <c r="H66">
        <v>0</v>
      </c>
      <c r="I66">
        <v>1</v>
      </c>
      <c r="J66">
        <v>1</v>
      </c>
      <c r="K66">
        <v>0</v>
      </c>
      <c r="L66">
        <v>0</v>
      </c>
      <c r="M66">
        <v>0</v>
      </c>
      <c r="N66">
        <v>0</v>
      </c>
      <c r="O66">
        <v>0</v>
      </c>
      <c r="P66">
        <v>1</v>
      </c>
      <c r="Q66">
        <v>0</v>
      </c>
      <c r="R66">
        <v>0</v>
      </c>
      <c r="S66">
        <v>1</v>
      </c>
      <c r="T66">
        <v>1</v>
      </c>
      <c r="U66">
        <v>0</v>
      </c>
      <c r="V66">
        <v>0</v>
      </c>
      <c r="W66">
        <v>0</v>
      </c>
      <c r="X66">
        <v>0</v>
      </c>
      <c r="Y66">
        <v>0</v>
      </c>
      <c r="Z66">
        <v>0</v>
      </c>
    </row>
    <row r="67" spans="1:26" x14ac:dyDescent="0.25">
      <c r="A67">
        <v>102</v>
      </c>
      <c r="B67">
        <v>17</v>
      </c>
      <c r="C67">
        <v>5</v>
      </c>
      <c r="D67">
        <v>2959</v>
      </c>
      <c r="E67">
        <v>2</v>
      </c>
      <c r="F67">
        <v>0</v>
      </c>
      <c r="G67">
        <v>0</v>
      </c>
      <c r="H67">
        <v>1</v>
      </c>
      <c r="I67">
        <v>0</v>
      </c>
      <c r="J67">
        <v>1</v>
      </c>
      <c r="K67">
        <v>0</v>
      </c>
      <c r="L67">
        <v>0</v>
      </c>
      <c r="M67">
        <v>0</v>
      </c>
      <c r="N67">
        <v>0</v>
      </c>
      <c r="O67">
        <v>0</v>
      </c>
      <c r="P67">
        <v>1</v>
      </c>
      <c r="Q67">
        <v>0</v>
      </c>
      <c r="R67">
        <v>0</v>
      </c>
      <c r="S67">
        <v>1</v>
      </c>
      <c r="T67">
        <v>0</v>
      </c>
      <c r="U67">
        <v>1</v>
      </c>
      <c r="V67">
        <v>0</v>
      </c>
      <c r="W67">
        <v>0</v>
      </c>
      <c r="X67">
        <v>0</v>
      </c>
      <c r="Y67">
        <v>0</v>
      </c>
      <c r="Z67">
        <v>0</v>
      </c>
    </row>
    <row r="68" spans="1:26" x14ac:dyDescent="0.25">
      <c r="A68">
        <v>7</v>
      </c>
      <c r="B68">
        <v>5</v>
      </c>
      <c r="C68">
        <v>4</v>
      </c>
      <c r="D68">
        <v>1228</v>
      </c>
      <c r="E68">
        <v>10</v>
      </c>
      <c r="F68">
        <v>0</v>
      </c>
      <c r="G68">
        <v>0</v>
      </c>
      <c r="H68">
        <v>1</v>
      </c>
      <c r="I68">
        <v>0</v>
      </c>
      <c r="J68">
        <v>0</v>
      </c>
      <c r="K68">
        <v>1</v>
      </c>
      <c r="L68">
        <v>0</v>
      </c>
      <c r="M68">
        <v>0</v>
      </c>
      <c r="N68">
        <v>1</v>
      </c>
      <c r="O68">
        <v>0</v>
      </c>
      <c r="P68">
        <v>0</v>
      </c>
      <c r="Q68">
        <v>0</v>
      </c>
      <c r="R68">
        <v>0</v>
      </c>
      <c r="S68">
        <v>1</v>
      </c>
      <c r="T68">
        <v>0</v>
      </c>
      <c r="U68">
        <v>1</v>
      </c>
      <c r="V68">
        <v>0</v>
      </c>
      <c r="W68">
        <v>0</v>
      </c>
      <c r="X68">
        <v>0</v>
      </c>
      <c r="Y68">
        <v>0</v>
      </c>
      <c r="Z68">
        <v>0</v>
      </c>
    </row>
    <row r="69" spans="1:26" x14ac:dyDescent="0.25">
      <c r="A69">
        <v>35</v>
      </c>
      <c r="B69">
        <v>24</v>
      </c>
      <c r="C69">
        <v>5</v>
      </c>
      <c r="D69">
        <v>3348</v>
      </c>
      <c r="E69">
        <v>4</v>
      </c>
      <c r="F69">
        <v>0</v>
      </c>
      <c r="G69">
        <v>0</v>
      </c>
      <c r="H69">
        <v>0</v>
      </c>
      <c r="I69">
        <v>1</v>
      </c>
      <c r="J69">
        <v>0</v>
      </c>
      <c r="K69">
        <v>0</v>
      </c>
      <c r="L69">
        <v>1</v>
      </c>
      <c r="M69">
        <v>0</v>
      </c>
      <c r="N69">
        <v>0</v>
      </c>
      <c r="O69">
        <v>0</v>
      </c>
      <c r="P69">
        <v>1</v>
      </c>
      <c r="Q69">
        <v>1</v>
      </c>
      <c r="R69">
        <v>0</v>
      </c>
      <c r="S69">
        <v>0</v>
      </c>
      <c r="T69">
        <v>0</v>
      </c>
      <c r="U69">
        <v>0</v>
      </c>
      <c r="V69">
        <v>0</v>
      </c>
      <c r="W69">
        <v>1</v>
      </c>
      <c r="X69">
        <v>0</v>
      </c>
      <c r="Y69">
        <v>0</v>
      </c>
      <c r="Z69">
        <v>0</v>
      </c>
    </row>
    <row r="70" spans="1:26" x14ac:dyDescent="0.25">
      <c r="A70">
        <v>26</v>
      </c>
      <c r="B70">
        <v>18</v>
      </c>
      <c r="C70">
        <v>5</v>
      </c>
      <c r="D70">
        <v>3933</v>
      </c>
      <c r="E70">
        <v>4</v>
      </c>
      <c r="F70">
        <v>0</v>
      </c>
      <c r="G70">
        <v>0</v>
      </c>
      <c r="H70">
        <v>0</v>
      </c>
      <c r="I70">
        <v>1</v>
      </c>
      <c r="J70">
        <v>1</v>
      </c>
      <c r="K70">
        <v>0</v>
      </c>
      <c r="L70">
        <v>0</v>
      </c>
      <c r="M70">
        <v>0</v>
      </c>
      <c r="N70">
        <v>0</v>
      </c>
      <c r="O70">
        <v>0</v>
      </c>
      <c r="P70">
        <v>1</v>
      </c>
      <c r="Q70">
        <v>0</v>
      </c>
      <c r="R70">
        <v>1</v>
      </c>
      <c r="S70">
        <v>0</v>
      </c>
      <c r="T70">
        <v>0</v>
      </c>
      <c r="U70">
        <v>1</v>
      </c>
      <c r="V70">
        <v>0</v>
      </c>
      <c r="W70">
        <v>0</v>
      </c>
      <c r="X70">
        <v>0</v>
      </c>
      <c r="Y70">
        <v>0</v>
      </c>
      <c r="Z70">
        <v>0</v>
      </c>
    </row>
    <row r="71" spans="1:26" x14ac:dyDescent="0.25">
      <c r="A71">
        <v>116</v>
      </c>
      <c r="B71">
        <v>12</v>
      </c>
      <c r="C71">
        <v>4</v>
      </c>
      <c r="D71">
        <v>2916</v>
      </c>
      <c r="E71">
        <v>4</v>
      </c>
      <c r="F71">
        <v>1</v>
      </c>
      <c r="G71">
        <v>0</v>
      </c>
      <c r="H71">
        <v>0</v>
      </c>
      <c r="I71">
        <v>0</v>
      </c>
      <c r="J71">
        <v>1</v>
      </c>
      <c r="K71">
        <v>0</v>
      </c>
      <c r="L71">
        <v>0</v>
      </c>
      <c r="M71">
        <v>0</v>
      </c>
      <c r="N71">
        <v>0</v>
      </c>
      <c r="O71">
        <v>1</v>
      </c>
      <c r="P71">
        <v>0</v>
      </c>
      <c r="Q71">
        <v>0</v>
      </c>
      <c r="R71">
        <v>0</v>
      </c>
      <c r="S71">
        <v>1</v>
      </c>
      <c r="T71">
        <v>0</v>
      </c>
      <c r="U71">
        <v>0</v>
      </c>
      <c r="V71">
        <v>0</v>
      </c>
      <c r="W71">
        <v>0</v>
      </c>
      <c r="X71">
        <v>0</v>
      </c>
      <c r="Y71">
        <v>1</v>
      </c>
      <c r="Z71">
        <v>0</v>
      </c>
    </row>
    <row r="72" spans="1:26" x14ac:dyDescent="0.25">
      <c r="A72">
        <v>46</v>
      </c>
      <c r="B72">
        <v>39</v>
      </c>
      <c r="C72">
        <v>4</v>
      </c>
      <c r="D72">
        <v>732</v>
      </c>
      <c r="E72">
        <v>6</v>
      </c>
      <c r="F72">
        <v>0</v>
      </c>
      <c r="G72">
        <v>0</v>
      </c>
      <c r="H72">
        <v>1</v>
      </c>
      <c r="I72">
        <v>0</v>
      </c>
      <c r="J72">
        <v>1</v>
      </c>
      <c r="K72">
        <v>0</v>
      </c>
      <c r="L72">
        <v>0</v>
      </c>
      <c r="M72">
        <v>0</v>
      </c>
      <c r="N72">
        <v>1</v>
      </c>
      <c r="O72">
        <v>0</v>
      </c>
      <c r="P72">
        <v>0</v>
      </c>
      <c r="Q72">
        <v>0</v>
      </c>
      <c r="R72">
        <v>0</v>
      </c>
      <c r="S72">
        <v>1</v>
      </c>
      <c r="T72">
        <v>0</v>
      </c>
      <c r="U72">
        <v>0</v>
      </c>
      <c r="V72">
        <v>0</v>
      </c>
      <c r="W72">
        <v>0</v>
      </c>
      <c r="X72">
        <v>0</v>
      </c>
      <c r="Y72">
        <v>0</v>
      </c>
      <c r="Z72">
        <v>1</v>
      </c>
    </row>
    <row r="73" spans="1:26" x14ac:dyDescent="0.25">
      <c r="A73">
        <v>26</v>
      </c>
      <c r="B73">
        <v>22</v>
      </c>
      <c r="C73">
        <v>5</v>
      </c>
      <c r="D73">
        <v>3933</v>
      </c>
      <c r="E73">
        <v>5</v>
      </c>
      <c r="F73">
        <v>0</v>
      </c>
      <c r="G73">
        <v>0</v>
      </c>
      <c r="H73">
        <v>0</v>
      </c>
      <c r="I73">
        <v>1</v>
      </c>
      <c r="J73">
        <v>0</v>
      </c>
      <c r="K73">
        <v>0</v>
      </c>
      <c r="L73">
        <v>1</v>
      </c>
      <c r="M73">
        <v>0</v>
      </c>
      <c r="N73">
        <v>0</v>
      </c>
      <c r="O73">
        <v>0</v>
      </c>
      <c r="P73">
        <v>1</v>
      </c>
      <c r="Q73">
        <v>0</v>
      </c>
      <c r="R73">
        <v>1</v>
      </c>
      <c r="S73">
        <v>0</v>
      </c>
      <c r="T73">
        <v>0</v>
      </c>
      <c r="U73">
        <v>0</v>
      </c>
      <c r="V73">
        <v>0</v>
      </c>
      <c r="W73">
        <v>1</v>
      </c>
      <c r="X73">
        <v>0</v>
      </c>
      <c r="Y73">
        <v>0</v>
      </c>
      <c r="Z73">
        <v>0</v>
      </c>
    </row>
    <row r="74" spans="1:26" x14ac:dyDescent="0.25">
      <c r="A74">
        <v>60</v>
      </c>
      <c r="B74">
        <v>7</v>
      </c>
      <c r="C74">
        <v>5</v>
      </c>
      <c r="D74">
        <v>1228</v>
      </c>
      <c r="E74">
        <v>8</v>
      </c>
      <c r="F74">
        <v>0</v>
      </c>
      <c r="G74">
        <v>0</v>
      </c>
      <c r="H74">
        <v>1</v>
      </c>
      <c r="I74">
        <v>0</v>
      </c>
      <c r="J74">
        <v>0</v>
      </c>
      <c r="K74">
        <v>0</v>
      </c>
      <c r="L74">
        <v>1</v>
      </c>
      <c r="M74">
        <v>0</v>
      </c>
      <c r="N74">
        <v>1</v>
      </c>
      <c r="O74">
        <v>0</v>
      </c>
      <c r="P74">
        <v>0</v>
      </c>
      <c r="Q74">
        <v>0</v>
      </c>
      <c r="R74">
        <v>1</v>
      </c>
      <c r="S74">
        <v>0</v>
      </c>
      <c r="T74">
        <v>0</v>
      </c>
      <c r="U74">
        <v>0</v>
      </c>
      <c r="V74">
        <v>0</v>
      </c>
      <c r="W74">
        <v>0</v>
      </c>
      <c r="X74">
        <v>0</v>
      </c>
      <c r="Y74">
        <v>1</v>
      </c>
      <c r="Z74">
        <v>0</v>
      </c>
    </row>
    <row r="75" spans="1:26" x14ac:dyDescent="0.25">
      <c r="A75">
        <v>69</v>
      </c>
      <c r="B75">
        <v>58</v>
      </c>
      <c r="C75">
        <v>5</v>
      </c>
      <c r="D75">
        <v>1282</v>
      </c>
      <c r="E75">
        <v>5</v>
      </c>
      <c r="F75">
        <v>1</v>
      </c>
      <c r="G75">
        <v>0</v>
      </c>
      <c r="H75">
        <v>0</v>
      </c>
      <c r="I75">
        <v>0</v>
      </c>
      <c r="J75">
        <v>1</v>
      </c>
      <c r="K75">
        <v>0</v>
      </c>
      <c r="L75">
        <v>0</v>
      </c>
      <c r="M75">
        <v>0</v>
      </c>
      <c r="N75">
        <v>0</v>
      </c>
      <c r="O75">
        <v>0</v>
      </c>
      <c r="P75">
        <v>1</v>
      </c>
      <c r="Q75">
        <v>1</v>
      </c>
      <c r="R75">
        <v>0</v>
      </c>
      <c r="S75">
        <v>0</v>
      </c>
      <c r="T75">
        <v>0</v>
      </c>
      <c r="U75">
        <v>0</v>
      </c>
      <c r="V75">
        <v>1</v>
      </c>
      <c r="W75">
        <v>0</v>
      </c>
      <c r="X75">
        <v>0</v>
      </c>
      <c r="Y75">
        <v>0</v>
      </c>
      <c r="Z75">
        <v>0</v>
      </c>
    </row>
    <row r="76" spans="1:26" x14ac:dyDescent="0.25">
      <c r="A76">
        <v>112</v>
      </c>
      <c r="B76">
        <v>34</v>
      </c>
      <c r="C76">
        <v>5</v>
      </c>
      <c r="D76">
        <v>1228</v>
      </c>
      <c r="E76">
        <v>7</v>
      </c>
      <c r="F76">
        <v>0</v>
      </c>
      <c r="G76">
        <v>0</v>
      </c>
      <c r="H76">
        <v>0</v>
      </c>
      <c r="I76">
        <v>1</v>
      </c>
      <c r="J76">
        <v>0</v>
      </c>
      <c r="K76">
        <v>1</v>
      </c>
      <c r="L76">
        <v>0</v>
      </c>
      <c r="M76">
        <v>0</v>
      </c>
      <c r="N76">
        <v>1</v>
      </c>
      <c r="O76">
        <v>0</v>
      </c>
      <c r="P76">
        <v>0</v>
      </c>
      <c r="Q76">
        <v>0</v>
      </c>
      <c r="R76">
        <v>0</v>
      </c>
      <c r="S76">
        <v>1</v>
      </c>
      <c r="T76">
        <v>0</v>
      </c>
      <c r="U76">
        <v>0</v>
      </c>
      <c r="V76">
        <v>0</v>
      </c>
      <c r="W76">
        <v>1</v>
      </c>
      <c r="X76">
        <v>0</v>
      </c>
      <c r="Y76">
        <v>0</v>
      </c>
      <c r="Z76">
        <v>0</v>
      </c>
    </row>
    <row r="77" spans="1:26" x14ac:dyDescent="0.25">
      <c r="A77">
        <v>169</v>
      </c>
      <c r="B77">
        <v>25</v>
      </c>
      <c r="C77">
        <v>5</v>
      </c>
      <c r="D77">
        <v>2034</v>
      </c>
      <c r="E77">
        <v>8</v>
      </c>
      <c r="F77">
        <v>1</v>
      </c>
      <c r="G77">
        <v>0</v>
      </c>
      <c r="H77">
        <v>0</v>
      </c>
      <c r="I77">
        <v>0</v>
      </c>
      <c r="J77">
        <v>1</v>
      </c>
      <c r="K77">
        <v>0</v>
      </c>
      <c r="L77">
        <v>0</v>
      </c>
      <c r="M77">
        <v>0</v>
      </c>
      <c r="N77">
        <v>0</v>
      </c>
      <c r="O77">
        <v>0</v>
      </c>
      <c r="P77">
        <v>1</v>
      </c>
      <c r="Q77">
        <v>0</v>
      </c>
      <c r="R77">
        <v>0</v>
      </c>
      <c r="S77">
        <v>1</v>
      </c>
      <c r="T77">
        <v>0</v>
      </c>
      <c r="U77">
        <v>0</v>
      </c>
      <c r="V77">
        <v>0</v>
      </c>
      <c r="W77">
        <v>0</v>
      </c>
      <c r="X77">
        <v>0</v>
      </c>
      <c r="Y77">
        <v>1</v>
      </c>
      <c r="Z77">
        <v>0</v>
      </c>
    </row>
    <row r="78" spans="1:26" x14ac:dyDescent="0.25">
      <c r="A78">
        <v>17</v>
      </c>
      <c r="B78">
        <v>10</v>
      </c>
      <c r="C78">
        <v>5</v>
      </c>
      <c r="D78">
        <v>3933</v>
      </c>
      <c r="E78">
        <v>3</v>
      </c>
      <c r="F78">
        <v>0</v>
      </c>
      <c r="G78">
        <v>0</v>
      </c>
      <c r="H78">
        <v>0</v>
      </c>
      <c r="I78">
        <v>1</v>
      </c>
      <c r="J78">
        <v>1</v>
      </c>
      <c r="K78">
        <v>0</v>
      </c>
      <c r="L78">
        <v>0</v>
      </c>
      <c r="M78">
        <v>0</v>
      </c>
      <c r="N78">
        <v>0</v>
      </c>
      <c r="O78">
        <v>0</v>
      </c>
      <c r="P78">
        <v>1</v>
      </c>
      <c r="Q78">
        <v>0</v>
      </c>
      <c r="R78">
        <v>0</v>
      </c>
      <c r="S78">
        <v>1</v>
      </c>
      <c r="T78">
        <v>0</v>
      </c>
      <c r="U78">
        <v>0</v>
      </c>
      <c r="V78">
        <v>1</v>
      </c>
      <c r="W78">
        <v>0</v>
      </c>
      <c r="X78">
        <v>0</v>
      </c>
      <c r="Y78">
        <v>0</v>
      </c>
      <c r="Z78">
        <v>0</v>
      </c>
    </row>
    <row r="79" spans="1:26" x14ac:dyDescent="0.25">
      <c r="A79">
        <v>15</v>
      </c>
      <c r="B79">
        <v>6</v>
      </c>
      <c r="C79">
        <v>1</v>
      </c>
      <c r="D79">
        <v>3348</v>
      </c>
      <c r="E79">
        <v>4</v>
      </c>
      <c r="F79">
        <v>0</v>
      </c>
      <c r="G79">
        <v>0</v>
      </c>
      <c r="H79">
        <v>1</v>
      </c>
      <c r="I79">
        <v>0</v>
      </c>
      <c r="J79">
        <v>0</v>
      </c>
      <c r="K79">
        <v>0</v>
      </c>
      <c r="L79">
        <v>1</v>
      </c>
      <c r="M79">
        <v>0</v>
      </c>
      <c r="N79">
        <v>0</v>
      </c>
      <c r="O79">
        <v>0</v>
      </c>
      <c r="P79">
        <v>1</v>
      </c>
      <c r="Q79">
        <v>0</v>
      </c>
      <c r="R79">
        <v>1</v>
      </c>
      <c r="S79">
        <v>0</v>
      </c>
      <c r="T79">
        <v>0</v>
      </c>
      <c r="U79">
        <v>0</v>
      </c>
      <c r="V79">
        <v>0</v>
      </c>
      <c r="W79">
        <v>1</v>
      </c>
      <c r="X79">
        <v>0</v>
      </c>
      <c r="Y79">
        <v>0</v>
      </c>
      <c r="Z79">
        <v>0</v>
      </c>
    </row>
    <row r="80" spans="1:26" x14ac:dyDescent="0.25">
      <c r="A80">
        <v>73</v>
      </c>
      <c r="B80">
        <v>4</v>
      </c>
      <c r="C80">
        <v>3</v>
      </c>
      <c r="D80">
        <v>2916</v>
      </c>
      <c r="E80">
        <v>3</v>
      </c>
      <c r="F80">
        <v>0</v>
      </c>
      <c r="G80">
        <v>0</v>
      </c>
      <c r="H80">
        <v>1</v>
      </c>
      <c r="I80">
        <v>0</v>
      </c>
      <c r="J80">
        <v>1</v>
      </c>
      <c r="K80">
        <v>0</v>
      </c>
      <c r="L80">
        <v>0</v>
      </c>
      <c r="M80">
        <v>0</v>
      </c>
      <c r="N80">
        <v>0</v>
      </c>
      <c r="O80">
        <v>1</v>
      </c>
      <c r="P80">
        <v>0</v>
      </c>
      <c r="Q80">
        <v>0</v>
      </c>
      <c r="R80">
        <v>0</v>
      </c>
      <c r="S80">
        <v>1</v>
      </c>
      <c r="T80">
        <v>0</v>
      </c>
      <c r="U80">
        <v>1</v>
      </c>
      <c r="V80">
        <v>0</v>
      </c>
      <c r="W80">
        <v>0</v>
      </c>
      <c r="X80">
        <v>0</v>
      </c>
      <c r="Y80">
        <v>0</v>
      </c>
      <c r="Z80">
        <v>0</v>
      </c>
    </row>
    <row r="81" spans="1:26" x14ac:dyDescent="0.25">
      <c r="A81">
        <v>37</v>
      </c>
      <c r="B81">
        <v>31</v>
      </c>
      <c r="C81">
        <v>5</v>
      </c>
      <c r="D81">
        <v>1228</v>
      </c>
      <c r="E81">
        <v>9</v>
      </c>
      <c r="F81">
        <v>0</v>
      </c>
      <c r="G81">
        <v>0</v>
      </c>
      <c r="H81">
        <v>1</v>
      </c>
      <c r="I81">
        <v>0</v>
      </c>
      <c r="J81">
        <v>0</v>
      </c>
      <c r="K81">
        <v>1</v>
      </c>
      <c r="L81">
        <v>0</v>
      </c>
      <c r="M81">
        <v>0</v>
      </c>
      <c r="N81">
        <v>1</v>
      </c>
      <c r="O81">
        <v>0</v>
      </c>
      <c r="P81">
        <v>0</v>
      </c>
      <c r="Q81">
        <v>1</v>
      </c>
      <c r="R81">
        <v>0</v>
      </c>
      <c r="S81">
        <v>0</v>
      </c>
      <c r="T81">
        <v>1</v>
      </c>
      <c r="U81">
        <v>0</v>
      </c>
      <c r="V81">
        <v>0</v>
      </c>
      <c r="W81">
        <v>0</v>
      </c>
      <c r="X81">
        <v>0</v>
      </c>
      <c r="Y81">
        <v>0</v>
      </c>
      <c r="Z81">
        <v>0</v>
      </c>
    </row>
    <row r="82" spans="1:26" x14ac:dyDescent="0.25">
      <c r="A82">
        <v>69</v>
      </c>
      <c r="B82">
        <v>22</v>
      </c>
      <c r="C82">
        <v>5</v>
      </c>
      <c r="D82">
        <v>787</v>
      </c>
      <c r="E82">
        <v>6</v>
      </c>
      <c r="F82">
        <v>0</v>
      </c>
      <c r="G82">
        <v>0</v>
      </c>
      <c r="H82">
        <v>1</v>
      </c>
      <c r="I82">
        <v>0</v>
      </c>
      <c r="J82">
        <v>0</v>
      </c>
      <c r="K82">
        <v>1</v>
      </c>
      <c r="L82">
        <v>0</v>
      </c>
      <c r="M82">
        <v>1</v>
      </c>
      <c r="N82">
        <v>1</v>
      </c>
      <c r="O82">
        <v>0</v>
      </c>
      <c r="P82">
        <v>0</v>
      </c>
      <c r="Q82">
        <v>0</v>
      </c>
      <c r="R82">
        <v>0</v>
      </c>
      <c r="S82">
        <v>1</v>
      </c>
      <c r="T82">
        <v>0</v>
      </c>
      <c r="U82">
        <v>0</v>
      </c>
      <c r="V82">
        <v>0</v>
      </c>
      <c r="W82">
        <v>0</v>
      </c>
      <c r="X82">
        <v>1</v>
      </c>
      <c r="Y82">
        <v>0</v>
      </c>
      <c r="Z82">
        <v>0</v>
      </c>
    </row>
    <row r="83" spans="1:26" x14ac:dyDescent="0.25">
      <c r="A83">
        <v>30</v>
      </c>
      <c r="B83">
        <v>12</v>
      </c>
      <c r="C83">
        <v>5</v>
      </c>
      <c r="D83">
        <v>2916</v>
      </c>
      <c r="E83">
        <v>4</v>
      </c>
      <c r="F83">
        <v>0</v>
      </c>
      <c r="G83">
        <v>1</v>
      </c>
      <c r="H83">
        <v>0</v>
      </c>
      <c r="I83">
        <v>0</v>
      </c>
      <c r="J83">
        <v>0</v>
      </c>
      <c r="K83">
        <v>0</v>
      </c>
      <c r="L83">
        <v>1</v>
      </c>
      <c r="M83">
        <v>0</v>
      </c>
      <c r="N83">
        <v>0</v>
      </c>
      <c r="O83">
        <v>1</v>
      </c>
      <c r="P83">
        <v>0</v>
      </c>
      <c r="Q83">
        <v>1</v>
      </c>
      <c r="R83">
        <v>0</v>
      </c>
      <c r="S83">
        <v>0</v>
      </c>
      <c r="T83">
        <v>0</v>
      </c>
      <c r="U83">
        <v>0</v>
      </c>
      <c r="V83">
        <v>1</v>
      </c>
      <c r="W83">
        <v>0</v>
      </c>
      <c r="X83">
        <v>0</v>
      </c>
      <c r="Y83">
        <v>0</v>
      </c>
      <c r="Z83">
        <v>0</v>
      </c>
    </row>
    <row r="84" spans="1:26" x14ac:dyDescent="0.25">
      <c r="A84">
        <v>59</v>
      </c>
      <c r="B84">
        <v>56</v>
      </c>
      <c r="C84">
        <v>3</v>
      </c>
      <c r="D84">
        <v>3348</v>
      </c>
      <c r="E84">
        <v>6</v>
      </c>
      <c r="F84">
        <v>0</v>
      </c>
      <c r="G84">
        <v>1</v>
      </c>
      <c r="H84">
        <v>0</v>
      </c>
      <c r="I84">
        <v>0</v>
      </c>
      <c r="J84">
        <v>0</v>
      </c>
      <c r="K84">
        <v>1</v>
      </c>
      <c r="L84">
        <v>0</v>
      </c>
      <c r="M84">
        <v>0</v>
      </c>
      <c r="N84">
        <v>0</v>
      </c>
      <c r="O84">
        <v>0</v>
      </c>
      <c r="P84">
        <v>1</v>
      </c>
      <c r="Q84">
        <v>0</v>
      </c>
      <c r="R84">
        <v>1</v>
      </c>
      <c r="S84">
        <v>0</v>
      </c>
      <c r="T84">
        <v>0</v>
      </c>
      <c r="U84">
        <v>0</v>
      </c>
      <c r="V84">
        <v>0</v>
      </c>
      <c r="W84">
        <v>0</v>
      </c>
      <c r="X84">
        <v>0</v>
      </c>
      <c r="Y84">
        <v>1</v>
      </c>
      <c r="Z84">
        <v>0</v>
      </c>
    </row>
    <row r="85" spans="1:26" x14ac:dyDescent="0.25">
      <c r="A85">
        <v>97</v>
      </c>
      <c r="B85">
        <v>31</v>
      </c>
      <c r="C85">
        <v>4</v>
      </c>
      <c r="D85">
        <v>2884</v>
      </c>
      <c r="E85">
        <v>8</v>
      </c>
      <c r="F85">
        <v>0</v>
      </c>
      <c r="G85">
        <v>1</v>
      </c>
      <c r="H85">
        <v>0</v>
      </c>
      <c r="I85">
        <v>0</v>
      </c>
      <c r="J85">
        <v>0</v>
      </c>
      <c r="K85">
        <v>0</v>
      </c>
      <c r="L85">
        <v>1</v>
      </c>
      <c r="M85">
        <v>1</v>
      </c>
      <c r="N85">
        <v>0</v>
      </c>
      <c r="O85">
        <v>1</v>
      </c>
      <c r="P85">
        <v>0</v>
      </c>
      <c r="Q85">
        <v>1</v>
      </c>
      <c r="R85">
        <v>0</v>
      </c>
      <c r="S85">
        <v>0</v>
      </c>
      <c r="T85">
        <v>0</v>
      </c>
      <c r="U85">
        <v>0</v>
      </c>
      <c r="V85">
        <v>1</v>
      </c>
      <c r="W85">
        <v>0</v>
      </c>
      <c r="X85">
        <v>0</v>
      </c>
      <c r="Y85">
        <v>0</v>
      </c>
      <c r="Z85">
        <v>0</v>
      </c>
    </row>
    <row r="86" spans="1:26" x14ac:dyDescent="0.25">
      <c r="A86">
        <v>102</v>
      </c>
      <c r="B86">
        <v>25</v>
      </c>
      <c r="C86">
        <v>5</v>
      </c>
      <c r="D86">
        <v>3933</v>
      </c>
      <c r="E86">
        <v>6</v>
      </c>
      <c r="F86">
        <v>0</v>
      </c>
      <c r="G86">
        <v>1</v>
      </c>
      <c r="H86">
        <v>0</v>
      </c>
      <c r="I86">
        <v>0</v>
      </c>
      <c r="J86">
        <v>0</v>
      </c>
      <c r="K86">
        <v>1</v>
      </c>
      <c r="L86">
        <v>0</v>
      </c>
      <c r="M86">
        <v>0</v>
      </c>
      <c r="N86">
        <v>0</v>
      </c>
      <c r="O86">
        <v>0</v>
      </c>
      <c r="P86">
        <v>1</v>
      </c>
      <c r="Q86">
        <v>0</v>
      </c>
      <c r="R86">
        <v>1</v>
      </c>
      <c r="S86">
        <v>0</v>
      </c>
      <c r="T86">
        <v>0</v>
      </c>
      <c r="U86">
        <v>0</v>
      </c>
      <c r="V86">
        <v>0</v>
      </c>
      <c r="W86">
        <v>1</v>
      </c>
      <c r="X86">
        <v>0</v>
      </c>
      <c r="Y86">
        <v>0</v>
      </c>
      <c r="Z86">
        <v>0</v>
      </c>
    </row>
    <row r="87" spans="1:26" x14ac:dyDescent="0.25">
      <c r="A87">
        <v>25</v>
      </c>
      <c r="B87">
        <v>22</v>
      </c>
      <c r="C87">
        <v>1</v>
      </c>
      <c r="D87">
        <v>3348</v>
      </c>
      <c r="E87">
        <v>9</v>
      </c>
      <c r="F87">
        <v>0</v>
      </c>
      <c r="G87">
        <v>1</v>
      </c>
      <c r="H87">
        <v>0</v>
      </c>
      <c r="I87">
        <v>0</v>
      </c>
      <c r="J87">
        <v>1</v>
      </c>
      <c r="K87">
        <v>0</v>
      </c>
      <c r="L87">
        <v>0</v>
      </c>
      <c r="M87">
        <v>0</v>
      </c>
      <c r="N87">
        <v>0</v>
      </c>
      <c r="O87">
        <v>0</v>
      </c>
      <c r="P87">
        <v>1</v>
      </c>
      <c r="Q87">
        <v>0</v>
      </c>
      <c r="R87">
        <v>0</v>
      </c>
      <c r="S87">
        <v>1</v>
      </c>
      <c r="T87">
        <v>0</v>
      </c>
      <c r="U87">
        <v>0</v>
      </c>
      <c r="V87">
        <v>0</v>
      </c>
      <c r="W87">
        <v>0</v>
      </c>
      <c r="X87">
        <v>0</v>
      </c>
      <c r="Y87">
        <v>1</v>
      </c>
      <c r="Z87">
        <v>0</v>
      </c>
    </row>
    <row r="88" spans="1:26" x14ac:dyDescent="0.25">
      <c r="A88">
        <v>36</v>
      </c>
      <c r="B88">
        <v>19</v>
      </c>
      <c r="C88">
        <v>2</v>
      </c>
      <c r="D88">
        <v>3003</v>
      </c>
      <c r="E88">
        <v>5</v>
      </c>
      <c r="F88">
        <v>0</v>
      </c>
      <c r="G88">
        <v>1</v>
      </c>
      <c r="H88">
        <v>0</v>
      </c>
      <c r="I88">
        <v>0</v>
      </c>
      <c r="J88">
        <v>1</v>
      </c>
      <c r="K88">
        <v>0</v>
      </c>
      <c r="L88">
        <v>0</v>
      </c>
      <c r="M88">
        <v>0</v>
      </c>
      <c r="N88">
        <v>0</v>
      </c>
      <c r="O88">
        <v>1</v>
      </c>
      <c r="P88">
        <v>0</v>
      </c>
      <c r="Q88">
        <v>0</v>
      </c>
      <c r="R88">
        <v>1</v>
      </c>
      <c r="S88">
        <v>0</v>
      </c>
      <c r="T88">
        <v>0</v>
      </c>
      <c r="U88">
        <v>0</v>
      </c>
      <c r="V88">
        <v>0</v>
      </c>
      <c r="W88">
        <v>0</v>
      </c>
      <c r="X88">
        <v>1</v>
      </c>
      <c r="Y88">
        <v>0</v>
      </c>
      <c r="Z88">
        <v>0</v>
      </c>
    </row>
    <row r="89" spans="1:26" x14ac:dyDescent="0.25">
      <c r="A89">
        <v>87</v>
      </c>
      <c r="B89">
        <v>18</v>
      </c>
      <c r="C89">
        <v>3</v>
      </c>
      <c r="D89">
        <v>3981</v>
      </c>
      <c r="E89">
        <v>3</v>
      </c>
      <c r="F89">
        <v>1</v>
      </c>
      <c r="G89">
        <v>0</v>
      </c>
      <c r="H89">
        <v>0</v>
      </c>
      <c r="I89">
        <v>0</v>
      </c>
      <c r="J89">
        <v>1</v>
      </c>
      <c r="K89">
        <v>0</v>
      </c>
      <c r="L89">
        <v>0</v>
      </c>
      <c r="M89">
        <v>0</v>
      </c>
      <c r="N89">
        <v>1</v>
      </c>
      <c r="O89">
        <v>0</v>
      </c>
      <c r="P89">
        <v>0</v>
      </c>
      <c r="Q89">
        <v>0</v>
      </c>
      <c r="R89">
        <v>1</v>
      </c>
      <c r="S89">
        <v>0</v>
      </c>
      <c r="T89">
        <v>0</v>
      </c>
      <c r="U89">
        <v>0</v>
      </c>
      <c r="V89">
        <v>0</v>
      </c>
      <c r="W89">
        <v>0</v>
      </c>
      <c r="X89">
        <v>1</v>
      </c>
      <c r="Y89">
        <v>0</v>
      </c>
      <c r="Z89">
        <v>0</v>
      </c>
    </row>
    <row r="90" spans="1:26" x14ac:dyDescent="0.25">
      <c r="A90">
        <v>84</v>
      </c>
      <c r="B90">
        <v>18</v>
      </c>
      <c r="C90">
        <v>5</v>
      </c>
      <c r="D90">
        <v>732</v>
      </c>
      <c r="E90">
        <v>4</v>
      </c>
      <c r="F90">
        <v>1</v>
      </c>
      <c r="G90">
        <v>0</v>
      </c>
      <c r="H90">
        <v>0</v>
      </c>
      <c r="I90">
        <v>0</v>
      </c>
      <c r="J90">
        <v>0</v>
      </c>
      <c r="K90">
        <v>1</v>
      </c>
      <c r="L90">
        <v>0</v>
      </c>
      <c r="M90">
        <v>0</v>
      </c>
      <c r="N90">
        <v>1</v>
      </c>
      <c r="O90">
        <v>0</v>
      </c>
      <c r="P90">
        <v>0</v>
      </c>
      <c r="Q90">
        <v>0</v>
      </c>
      <c r="R90">
        <v>0</v>
      </c>
      <c r="S90">
        <v>1</v>
      </c>
      <c r="T90">
        <v>0</v>
      </c>
      <c r="U90">
        <v>0</v>
      </c>
      <c r="V90">
        <v>0</v>
      </c>
      <c r="W90">
        <v>0</v>
      </c>
      <c r="X90">
        <v>0</v>
      </c>
      <c r="Y90">
        <v>0</v>
      </c>
      <c r="Z90">
        <v>1</v>
      </c>
    </row>
    <row r="91" spans="1:26" x14ac:dyDescent="0.25">
      <c r="A91">
        <v>56</v>
      </c>
      <c r="B91">
        <v>14</v>
      </c>
      <c r="C91">
        <v>5</v>
      </c>
      <c r="D91">
        <v>3003</v>
      </c>
      <c r="E91">
        <v>3</v>
      </c>
      <c r="F91">
        <v>1</v>
      </c>
      <c r="G91">
        <v>0</v>
      </c>
      <c r="H91">
        <v>0</v>
      </c>
      <c r="I91">
        <v>0</v>
      </c>
      <c r="J91">
        <v>0</v>
      </c>
      <c r="K91">
        <v>0</v>
      </c>
      <c r="L91">
        <v>1</v>
      </c>
      <c r="M91">
        <v>0</v>
      </c>
      <c r="N91">
        <v>0</v>
      </c>
      <c r="O91">
        <v>1</v>
      </c>
      <c r="P91">
        <v>0</v>
      </c>
      <c r="Q91">
        <v>0</v>
      </c>
      <c r="R91">
        <v>0</v>
      </c>
      <c r="S91">
        <v>1</v>
      </c>
      <c r="T91">
        <v>0</v>
      </c>
      <c r="U91">
        <v>1</v>
      </c>
      <c r="V91">
        <v>0</v>
      </c>
      <c r="W91">
        <v>0</v>
      </c>
      <c r="X91">
        <v>0</v>
      </c>
      <c r="Y91">
        <v>0</v>
      </c>
      <c r="Z91">
        <v>0</v>
      </c>
    </row>
    <row r="92" spans="1:26" x14ac:dyDescent="0.25">
      <c r="A92">
        <v>42</v>
      </c>
      <c r="B92">
        <v>11</v>
      </c>
      <c r="C92">
        <v>5</v>
      </c>
      <c r="D92">
        <v>1228</v>
      </c>
      <c r="E92">
        <v>7</v>
      </c>
      <c r="F92">
        <v>1</v>
      </c>
      <c r="G92">
        <v>0</v>
      </c>
      <c r="H92">
        <v>0</v>
      </c>
      <c r="I92">
        <v>0</v>
      </c>
      <c r="J92">
        <v>0</v>
      </c>
      <c r="K92">
        <v>0</v>
      </c>
      <c r="L92">
        <v>1</v>
      </c>
      <c r="M92">
        <v>0</v>
      </c>
      <c r="N92">
        <v>1</v>
      </c>
      <c r="O92">
        <v>0</v>
      </c>
      <c r="P92">
        <v>0</v>
      </c>
      <c r="Q92">
        <v>0</v>
      </c>
      <c r="R92">
        <v>0</v>
      </c>
      <c r="S92">
        <v>1</v>
      </c>
      <c r="T92">
        <v>0</v>
      </c>
      <c r="U92">
        <v>1</v>
      </c>
      <c r="V92">
        <v>0</v>
      </c>
      <c r="W92">
        <v>0</v>
      </c>
      <c r="X92">
        <v>0</v>
      </c>
      <c r="Y92">
        <v>0</v>
      </c>
      <c r="Z92">
        <v>0</v>
      </c>
    </row>
    <row r="93" spans="1:26" x14ac:dyDescent="0.25">
      <c r="A93">
        <v>63</v>
      </c>
      <c r="B93">
        <v>27</v>
      </c>
      <c r="C93">
        <v>4</v>
      </c>
      <c r="D93">
        <v>3348</v>
      </c>
      <c r="E93">
        <v>5</v>
      </c>
      <c r="F93">
        <v>0</v>
      </c>
      <c r="G93">
        <v>0</v>
      </c>
      <c r="H93">
        <v>1</v>
      </c>
      <c r="I93">
        <v>0</v>
      </c>
      <c r="J93">
        <v>0</v>
      </c>
      <c r="K93">
        <v>0</v>
      </c>
      <c r="L93">
        <v>1</v>
      </c>
      <c r="M93">
        <v>0</v>
      </c>
      <c r="N93">
        <v>0</v>
      </c>
      <c r="O93">
        <v>0</v>
      </c>
      <c r="P93">
        <v>1</v>
      </c>
      <c r="Q93">
        <v>0</v>
      </c>
      <c r="R93">
        <v>1</v>
      </c>
      <c r="S93">
        <v>0</v>
      </c>
      <c r="T93">
        <v>0</v>
      </c>
      <c r="U93">
        <v>0</v>
      </c>
      <c r="V93">
        <v>0</v>
      </c>
      <c r="W93">
        <v>0</v>
      </c>
      <c r="X93">
        <v>0</v>
      </c>
      <c r="Y93">
        <v>0</v>
      </c>
      <c r="Z93">
        <v>1</v>
      </c>
    </row>
    <row r="94" spans="1:26" x14ac:dyDescent="0.25">
      <c r="A94">
        <v>31</v>
      </c>
      <c r="B94">
        <v>25</v>
      </c>
      <c r="C94">
        <v>3</v>
      </c>
      <c r="D94">
        <v>3025</v>
      </c>
      <c r="E94">
        <v>7</v>
      </c>
      <c r="F94">
        <v>0</v>
      </c>
      <c r="G94">
        <v>0</v>
      </c>
      <c r="H94">
        <v>0</v>
      </c>
      <c r="I94">
        <v>1</v>
      </c>
      <c r="J94">
        <v>0</v>
      </c>
      <c r="K94">
        <v>1</v>
      </c>
      <c r="L94">
        <v>0</v>
      </c>
      <c r="M94">
        <v>0</v>
      </c>
      <c r="N94">
        <v>0</v>
      </c>
      <c r="O94">
        <v>0</v>
      </c>
      <c r="P94">
        <v>1</v>
      </c>
      <c r="Q94">
        <v>1</v>
      </c>
      <c r="R94">
        <v>0</v>
      </c>
      <c r="S94">
        <v>0</v>
      </c>
      <c r="T94">
        <v>0</v>
      </c>
      <c r="U94">
        <v>0</v>
      </c>
      <c r="V94">
        <v>0</v>
      </c>
      <c r="W94">
        <v>1</v>
      </c>
      <c r="X94">
        <v>0</v>
      </c>
      <c r="Y94">
        <v>0</v>
      </c>
      <c r="Z94">
        <v>0</v>
      </c>
    </row>
    <row r="95" spans="1:26" x14ac:dyDescent="0.25">
      <c r="A95">
        <v>34</v>
      </c>
      <c r="B95">
        <v>12</v>
      </c>
      <c r="C95">
        <v>4</v>
      </c>
      <c r="D95">
        <v>787</v>
      </c>
      <c r="E95">
        <v>3</v>
      </c>
      <c r="F95">
        <v>0</v>
      </c>
      <c r="G95">
        <v>0</v>
      </c>
      <c r="H95">
        <v>1</v>
      </c>
      <c r="I95">
        <v>0</v>
      </c>
      <c r="J95">
        <v>0</v>
      </c>
      <c r="K95">
        <v>0</v>
      </c>
      <c r="L95">
        <v>1</v>
      </c>
      <c r="M95">
        <v>1</v>
      </c>
      <c r="N95">
        <v>1</v>
      </c>
      <c r="O95">
        <v>0</v>
      </c>
      <c r="P95">
        <v>0</v>
      </c>
      <c r="Q95">
        <v>0</v>
      </c>
      <c r="R95">
        <v>0</v>
      </c>
      <c r="S95">
        <v>1</v>
      </c>
      <c r="T95">
        <v>0</v>
      </c>
      <c r="U95">
        <v>0</v>
      </c>
      <c r="V95">
        <v>0</v>
      </c>
      <c r="W95">
        <v>0</v>
      </c>
      <c r="X95">
        <v>0</v>
      </c>
      <c r="Y95">
        <v>1</v>
      </c>
      <c r="Z95">
        <v>0</v>
      </c>
    </row>
    <row r="96" spans="1:26" x14ac:dyDescent="0.25">
      <c r="A96">
        <v>26</v>
      </c>
      <c r="B96">
        <v>17</v>
      </c>
      <c r="C96">
        <v>5</v>
      </c>
      <c r="D96">
        <v>716</v>
      </c>
      <c r="E96">
        <v>7</v>
      </c>
      <c r="F96">
        <v>0</v>
      </c>
      <c r="G96">
        <v>0</v>
      </c>
      <c r="H96">
        <v>1</v>
      </c>
      <c r="I96">
        <v>0</v>
      </c>
      <c r="J96">
        <v>0</v>
      </c>
      <c r="K96">
        <v>0</v>
      </c>
      <c r="L96">
        <v>1</v>
      </c>
      <c r="M96">
        <v>1</v>
      </c>
      <c r="N96">
        <v>1</v>
      </c>
      <c r="O96">
        <v>0</v>
      </c>
      <c r="P96">
        <v>0</v>
      </c>
      <c r="Q96">
        <v>0</v>
      </c>
      <c r="R96">
        <v>0</v>
      </c>
      <c r="S96">
        <v>1</v>
      </c>
      <c r="T96">
        <v>0</v>
      </c>
      <c r="U96">
        <v>0</v>
      </c>
      <c r="V96">
        <v>0</v>
      </c>
      <c r="W96">
        <v>0</v>
      </c>
      <c r="X96">
        <v>1</v>
      </c>
      <c r="Y96">
        <v>0</v>
      </c>
      <c r="Z96">
        <v>0</v>
      </c>
    </row>
    <row r="97" spans="1:26" x14ac:dyDescent="0.25">
      <c r="A97">
        <v>113</v>
      </c>
      <c r="B97">
        <v>48</v>
      </c>
      <c r="C97">
        <v>3</v>
      </c>
      <c r="D97">
        <v>315</v>
      </c>
      <c r="E97">
        <v>4</v>
      </c>
      <c r="F97">
        <v>0</v>
      </c>
      <c r="G97">
        <v>0</v>
      </c>
      <c r="H97">
        <v>1</v>
      </c>
      <c r="I97">
        <v>0</v>
      </c>
      <c r="J97">
        <v>0</v>
      </c>
      <c r="K97">
        <v>1</v>
      </c>
      <c r="L97">
        <v>0</v>
      </c>
      <c r="M97">
        <v>0</v>
      </c>
      <c r="N97">
        <v>1</v>
      </c>
      <c r="O97">
        <v>0</v>
      </c>
      <c r="P97">
        <v>0</v>
      </c>
      <c r="Q97">
        <v>0</v>
      </c>
      <c r="R97">
        <v>0</v>
      </c>
      <c r="S97">
        <v>1</v>
      </c>
      <c r="T97">
        <v>0</v>
      </c>
      <c r="U97">
        <v>0</v>
      </c>
      <c r="V97">
        <v>0</v>
      </c>
      <c r="W97">
        <v>1</v>
      </c>
      <c r="X97">
        <v>0</v>
      </c>
      <c r="Y97">
        <v>0</v>
      </c>
      <c r="Z97">
        <v>0</v>
      </c>
    </row>
    <row r="98" spans="1:26" x14ac:dyDescent="0.25">
      <c r="A98">
        <v>146</v>
      </c>
      <c r="B98">
        <v>17</v>
      </c>
      <c r="C98">
        <v>4</v>
      </c>
      <c r="D98">
        <v>3773</v>
      </c>
      <c r="E98">
        <v>2</v>
      </c>
      <c r="F98">
        <v>0</v>
      </c>
      <c r="G98">
        <v>1</v>
      </c>
      <c r="H98">
        <v>0</v>
      </c>
      <c r="I98">
        <v>0</v>
      </c>
      <c r="J98">
        <v>0</v>
      </c>
      <c r="K98">
        <v>1</v>
      </c>
      <c r="L98">
        <v>0</v>
      </c>
      <c r="M98">
        <v>0</v>
      </c>
      <c r="N98">
        <v>1</v>
      </c>
      <c r="O98">
        <v>0</v>
      </c>
      <c r="P98">
        <v>0</v>
      </c>
      <c r="Q98">
        <v>1</v>
      </c>
      <c r="R98">
        <v>0</v>
      </c>
      <c r="S98">
        <v>0</v>
      </c>
      <c r="T98">
        <v>0</v>
      </c>
      <c r="U98">
        <v>0</v>
      </c>
      <c r="V98">
        <v>1</v>
      </c>
      <c r="W98">
        <v>0</v>
      </c>
      <c r="X98">
        <v>0</v>
      </c>
      <c r="Y98">
        <v>0</v>
      </c>
      <c r="Z98">
        <v>0</v>
      </c>
    </row>
    <row r="99" spans="1:26" x14ac:dyDescent="0.25">
      <c r="A99">
        <v>60</v>
      </c>
      <c r="B99">
        <v>11</v>
      </c>
      <c r="C99">
        <v>5</v>
      </c>
      <c r="D99">
        <v>787</v>
      </c>
      <c r="E99">
        <v>3</v>
      </c>
      <c r="F99">
        <v>1</v>
      </c>
      <c r="G99">
        <v>0</v>
      </c>
      <c r="H99">
        <v>0</v>
      </c>
      <c r="I99">
        <v>0</v>
      </c>
      <c r="J99">
        <v>0</v>
      </c>
      <c r="K99">
        <v>0</v>
      </c>
      <c r="L99">
        <v>1</v>
      </c>
      <c r="M99">
        <v>1</v>
      </c>
      <c r="N99">
        <v>1</v>
      </c>
      <c r="O99">
        <v>0</v>
      </c>
      <c r="P99">
        <v>0</v>
      </c>
      <c r="Q99">
        <v>0</v>
      </c>
      <c r="R99">
        <v>0</v>
      </c>
      <c r="S99">
        <v>1</v>
      </c>
      <c r="T99">
        <v>0</v>
      </c>
      <c r="U99">
        <v>0</v>
      </c>
      <c r="V99">
        <v>0</v>
      </c>
      <c r="W99">
        <v>0</v>
      </c>
      <c r="X99">
        <v>1</v>
      </c>
      <c r="Y99">
        <v>0</v>
      </c>
      <c r="Z99">
        <v>0</v>
      </c>
    </row>
    <row r="100" spans="1:26" x14ac:dyDescent="0.25">
      <c r="A100">
        <v>76</v>
      </c>
      <c r="B100">
        <v>27</v>
      </c>
      <c r="C100">
        <v>3</v>
      </c>
      <c r="D100">
        <v>787</v>
      </c>
      <c r="E100">
        <v>6</v>
      </c>
      <c r="F100">
        <v>0</v>
      </c>
      <c r="G100">
        <v>0</v>
      </c>
      <c r="H100">
        <v>0</v>
      </c>
      <c r="I100">
        <v>1</v>
      </c>
      <c r="J100">
        <v>0</v>
      </c>
      <c r="K100">
        <v>0</v>
      </c>
      <c r="L100">
        <v>1</v>
      </c>
      <c r="M100">
        <v>1</v>
      </c>
      <c r="N100">
        <v>1</v>
      </c>
      <c r="O100">
        <v>0</v>
      </c>
      <c r="P100">
        <v>0</v>
      </c>
      <c r="Q100">
        <v>0</v>
      </c>
      <c r="R100">
        <v>1</v>
      </c>
      <c r="S100">
        <v>0</v>
      </c>
      <c r="T100">
        <v>0</v>
      </c>
      <c r="U100">
        <v>0</v>
      </c>
      <c r="V100">
        <v>0</v>
      </c>
      <c r="W100">
        <v>0</v>
      </c>
      <c r="X100">
        <v>1</v>
      </c>
      <c r="Y100">
        <v>0</v>
      </c>
      <c r="Z100">
        <v>0</v>
      </c>
    </row>
    <row r="101" spans="1:26" x14ac:dyDescent="0.25">
      <c r="A101">
        <v>30</v>
      </c>
      <c r="B101">
        <v>10</v>
      </c>
      <c r="C101">
        <v>3</v>
      </c>
      <c r="D101">
        <v>3003</v>
      </c>
      <c r="E101">
        <v>2</v>
      </c>
      <c r="F101">
        <v>0</v>
      </c>
      <c r="G101">
        <v>0</v>
      </c>
      <c r="H101">
        <v>1</v>
      </c>
      <c r="I101">
        <v>0</v>
      </c>
      <c r="J101">
        <v>0</v>
      </c>
      <c r="K101">
        <v>0</v>
      </c>
      <c r="L101">
        <v>1</v>
      </c>
      <c r="M101">
        <v>0</v>
      </c>
      <c r="N101">
        <v>0</v>
      </c>
      <c r="O101">
        <v>1</v>
      </c>
      <c r="P101">
        <v>0</v>
      </c>
      <c r="Q101">
        <v>0</v>
      </c>
      <c r="R101">
        <v>0</v>
      </c>
      <c r="S101">
        <v>1</v>
      </c>
      <c r="T101">
        <v>0</v>
      </c>
      <c r="U101">
        <v>0</v>
      </c>
      <c r="V101">
        <v>0</v>
      </c>
      <c r="W101">
        <v>0</v>
      </c>
      <c r="X101">
        <v>0</v>
      </c>
      <c r="Y101">
        <v>0</v>
      </c>
      <c r="Z101">
        <v>1</v>
      </c>
    </row>
    <row r="102" spans="1:26" x14ac:dyDescent="0.25">
      <c r="A102">
        <v>154</v>
      </c>
      <c r="B102">
        <v>23</v>
      </c>
      <c r="C102">
        <v>4</v>
      </c>
      <c r="D102">
        <v>826</v>
      </c>
      <c r="E102">
        <v>4</v>
      </c>
      <c r="F102">
        <v>0</v>
      </c>
      <c r="G102">
        <v>0</v>
      </c>
      <c r="H102">
        <v>0</v>
      </c>
      <c r="I102">
        <v>1</v>
      </c>
      <c r="J102">
        <v>1</v>
      </c>
      <c r="K102">
        <v>0</v>
      </c>
      <c r="L102">
        <v>0</v>
      </c>
      <c r="M102">
        <v>0</v>
      </c>
      <c r="N102">
        <v>0</v>
      </c>
      <c r="O102">
        <v>1</v>
      </c>
      <c r="P102">
        <v>0</v>
      </c>
      <c r="Q102">
        <v>0</v>
      </c>
      <c r="R102">
        <v>0</v>
      </c>
      <c r="S102">
        <v>1</v>
      </c>
      <c r="T102">
        <v>0</v>
      </c>
      <c r="U102">
        <v>0</v>
      </c>
      <c r="V102">
        <v>0</v>
      </c>
      <c r="W102">
        <v>0</v>
      </c>
      <c r="X102">
        <v>1</v>
      </c>
      <c r="Y102">
        <v>0</v>
      </c>
      <c r="Z102">
        <v>0</v>
      </c>
    </row>
    <row r="103" spans="1:26" x14ac:dyDescent="0.25">
      <c r="A103">
        <v>28</v>
      </c>
      <c r="B103">
        <v>23</v>
      </c>
      <c r="C103">
        <v>3</v>
      </c>
      <c r="D103">
        <v>3025</v>
      </c>
      <c r="E103">
        <v>4</v>
      </c>
      <c r="F103">
        <v>1</v>
      </c>
      <c r="G103">
        <v>0</v>
      </c>
      <c r="H103">
        <v>0</v>
      </c>
      <c r="I103">
        <v>0</v>
      </c>
      <c r="J103">
        <v>0</v>
      </c>
      <c r="K103">
        <v>0</v>
      </c>
      <c r="L103">
        <v>1</v>
      </c>
      <c r="M103">
        <v>0</v>
      </c>
      <c r="N103">
        <v>0</v>
      </c>
      <c r="O103">
        <v>0</v>
      </c>
      <c r="P103">
        <v>1</v>
      </c>
      <c r="Q103">
        <v>0</v>
      </c>
      <c r="R103">
        <v>0</v>
      </c>
      <c r="S103">
        <v>1</v>
      </c>
      <c r="T103">
        <v>1</v>
      </c>
      <c r="U103">
        <v>0</v>
      </c>
      <c r="V103">
        <v>0</v>
      </c>
      <c r="W103">
        <v>0</v>
      </c>
      <c r="X103">
        <v>0</v>
      </c>
      <c r="Y103">
        <v>0</v>
      </c>
      <c r="Z103">
        <v>0</v>
      </c>
    </row>
    <row r="104" spans="1:26" x14ac:dyDescent="0.25">
      <c r="A104">
        <v>39</v>
      </c>
      <c r="B104">
        <v>20</v>
      </c>
      <c r="C104">
        <v>4</v>
      </c>
      <c r="D104">
        <v>4027</v>
      </c>
      <c r="E104">
        <v>8</v>
      </c>
      <c r="F104">
        <v>0</v>
      </c>
      <c r="G104">
        <v>0</v>
      </c>
      <c r="H104">
        <v>0</v>
      </c>
      <c r="I104">
        <v>1</v>
      </c>
      <c r="J104">
        <v>0</v>
      </c>
      <c r="K104">
        <v>0</v>
      </c>
      <c r="L104">
        <v>1</v>
      </c>
      <c r="M104">
        <v>0</v>
      </c>
      <c r="N104">
        <v>0</v>
      </c>
      <c r="O104">
        <v>0</v>
      </c>
      <c r="P104">
        <v>1</v>
      </c>
      <c r="Q104">
        <v>0</v>
      </c>
      <c r="R104">
        <v>1</v>
      </c>
      <c r="S104">
        <v>0</v>
      </c>
      <c r="T104">
        <v>0</v>
      </c>
      <c r="U104">
        <v>0</v>
      </c>
      <c r="V104">
        <v>0</v>
      </c>
      <c r="W104">
        <v>0</v>
      </c>
      <c r="X104">
        <v>1</v>
      </c>
      <c r="Y104">
        <v>0</v>
      </c>
      <c r="Z104">
        <v>0</v>
      </c>
    </row>
    <row r="105" spans="1:26" x14ac:dyDescent="0.25">
      <c r="A105">
        <v>54</v>
      </c>
      <c r="B105">
        <v>18</v>
      </c>
      <c r="C105">
        <v>4</v>
      </c>
      <c r="D105">
        <v>3348</v>
      </c>
      <c r="E105">
        <v>5</v>
      </c>
      <c r="F105">
        <v>0</v>
      </c>
      <c r="G105">
        <v>1</v>
      </c>
      <c r="H105">
        <v>0</v>
      </c>
      <c r="I105">
        <v>0</v>
      </c>
      <c r="J105">
        <v>1</v>
      </c>
      <c r="K105">
        <v>0</v>
      </c>
      <c r="L105">
        <v>0</v>
      </c>
      <c r="M105">
        <v>0</v>
      </c>
      <c r="N105">
        <v>0</v>
      </c>
      <c r="O105">
        <v>0</v>
      </c>
      <c r="P105">
        <v>1</v>
      </c>
      <c r="Q105">
        <v>0</v>
      </c>
      <c r="R105">
        <v>0</v>
      </c>
      <c r="S105">
        <v>1</v>
      </c>
      <c r="T105">
        <v>0</v>
      </c>
      <c r="U105">
        <v>0</v>
      </c>
      <c r="V105">
        <v>0</v>
      </c>
      <c r="W105">
        <v>0</v>
      </c>
      <c r="X105">
        <v>0</v>
      </c>
      <c r="Y105">
        <v>0</v>
      </c>
      <c r="Z105">
        <v>1</v>
      </c>
    </row>
    <row r="106" spans="1:26" x14ac:dyDescent="0.25">
      <c r="A106">
        <v>142</v>
      </c>
      <c r="B106">
        <v>17</v>
      </c>
      <c r="C106">
        <v>4</v>
      </c>
      <c r="D106">
        <v>2700</v>
      </c>
      <c r="E106">
        <v>3</v>
      </c>
      <c r="F106">
        <v>0</v>
      </c>
      <c r="G106">
        <v>0</v>
      </c>
      <c r="H106">
        <v>0</v>
      </c>
      <c r="I106">
        <v>1</v>
      </c>
      <c r="J106">
        <v>0</v>
      </c>
      <c r="K106">
        <v>0</v>
      </c>
      <c r="L106">
        <v>1</v>
      </c>
      <c r="M106">
        <v>1</v>
      </c>
      <c r="N106">
        <v>0</v>
      </c>
      <c r="O106">
        <v>0</v>
      </c>
      <c r="P106">
        <v>1</v>
      </c>
      <c r="Q106">
        <v>0</v>
      </c>
      <c r="R106">
        <v>0</v>
      </c>
      <c r="S106">
        <v>1</v>
      </c>
      <c r="T106">
        <v>0</v>
      </c>
      <c r="U106">
        <v>1</v>
      </c>
      <c r="V106">
        <v>0</v>
      </c>
      <c r="W106">
        <v>0</v>
      </c>
      <c r="X106">
        <v>0</v>
      </c>
      <c r="Y106">
        <v>0</v>
      </c>
      <c r="Z106">
        <v>0</v>
      </c>
    </row>
    <row r="107" spans="1:26" x14ac:dyDescent="0.25">
      <c r="A107">
        <v>39</v>
      </c>
      <c r="B107">
        <v>15</v>
      </c>
      <c r="C107">
        <v>3</v>
      </c>
      <c r="D107">
        <v>1467</v>
      </c>
      <c r="E107">
        <v>1</v>
      </c>
      <c r="F107">
        <v>0</v>
      </c>
      <c r="G107">
        <v>0</v>
      </c>
      <c r="H107">
        <v>1</v>
      </c>
      <c r="I107">
        <v>0</v>
      </c>
      <c r="J107">
        <v>1</v>
      </c>
      <c r="K107">
        <v>0</v>
      </c>
      <c r="L107">
        <v>0</v>
      </c>
      <c r="M107">
        <v>1</v>
      </c>
      <c r="N107">
        <v>0</v>
      </c>
      <c r="O107">
        <v>1</v>
      </c>
      <c r="P107">
        <v>0</v>
      </c>
      <c r="Q107">
        <v>0</v>
      </c>
      <c r="R107">
        <v>1</v>
      </c>
      <c r="S107">
        <v>0</v>
      </c>
      <c r="T107">
        <v>0</v>
      </c>
      <c r="U107">
        <v>0</v>
      </c>
      <c r="V107">
        <v>0</v>
      </c>
      <c r="W107">
        <v>1</v>
      </c>
      <c r="X107">
        <v>0</v>
      </c>
      <c r="Y107">
        <v>0</v>
      </c>
      <c r="Z107">
        <v>0</v>
      </c>
    </row>
    <row r="108" spans="1:26" x14ac:dyDescent="0.25">
      <c r="A108">
        <v>62</v>
      </c>
      <c r="B108">
        <v>13</v>
      </c>
      <c r="C108">
        <v>4</v>
      </c>
      <c r="D108">
        <v>3933</v>
      </c>
      <c r="E108">
        <v>2</v>
      </c>
      <c r="F108">
        <v>0</v>
      </c>
      <c r="G108">
        <v>0</v>
      </c>
      <c r="H108">
        <v>0</v>
      </c>
      <c r="I108">
        <v>1</v>
      </c>
      <c r="J108">
        <v>1</v>
      </c>
      <c r="K108">
        <v>0</v>
      </c>
      <c r="L108">
        <v>0</v>
      </c>
      <c r="M108">
        <v>0</v>
      </c>
      <c r="N108">
        <v>0</v>
      </c>
      <c r="O108">
        <v>0</v>
      </c>
      <c r="P108">
        <v>1</v>
      </c>
      <c r="Q108">
        <v>0</v>
      </c>
      <c r="R108">
        <v>0</v>
      </c>
      <c r="S108">
        <v>1</v>
      </c>
      <c r="T108">
        <v>0</v>
      </c>
      <c r="U108">
        <v>0</v>
      </c>
      <c r="V108">
        <v>0</v>
      </c>
      <c r="W108">
        <v>0</v>
      </c>
      <c r="X108">
        <v>0</v>
      </c>
      <c r="Y108">
        <v>1</v>
      </c>
      <c r="Z108">
        <v>0</v>
      </c>
    </row>
    <row r="109" spans="1:26" x14ac:dyDescent="0.25">
      <c r="A109">
        <v>60</v>
      </c>
      <c r="B109">
        <v>4</v>
      </c>
      <c r="C109">
        <v>4</v>
      </c>
      <c r="D109">
        <v>732</v>
      </c>
      <c r="E109">
        <v>2</v>
      </c>
      <c r="F109">
        <v>0</v>
      </c>
      <c r="G109">
        <v>0</v>
      </c>
      <c r="H109">
        <v>1</v>
      </c>
      <c r="I109">
        <v>0</v>
      </c>
      <c r="J109">
        <v>0</v>
      </c>
      <c r="K109">
        <v>0</v>
      </c>
      <c r="L109">
        <v>1</v>
      </c>
      <c r="M109">
        <v>0</v>
      </c>
      <c r="N109">
        <v>1</v>
      </c>
      <c r="O109">
        <v>0</v>
      </c>
      <c r="P109">
        <v>0</v>
      </c>
      <c r="Q109">
        <v>0</v>
      </c>
      <c r="R109">
        <v>0</v>
      </c>
      <c r="S109">
        <v>1</v>
      </c>
      <c r="T109">
        <v>0</v>
      </c>
      <c r="U109">
        <v>0</v>
      </c>
      <c r="V109">
        <v>0</v>
      </c>
      <c r="W109">
        <v>0</v>
      </c>
      <c r="X109">
        <v>0</v>
      </c>
      <c r="Y109">
        <v>1</v>
      </c>
      <c r="Z109">
        <v>0</v>
      </c>
    </row>
    <row r="110" spans="1:26" x14ac:dyDescent="0.25">
      <c r="A110">
        <v>34</v>
      </c>
      <c r="B110">
        <v>17</v>
      </c>
      <c r="C110">
        <v>4</v>
      </c>
      <c r="D110">
        <v>1467</v>
      </c>
      <c r="E110">
        <v>8</v>
      </c>
      <c r="F110">
        <v>1</v>
      </c>
      <c r="G110">
        <v>0</v>
      </c>
      <c r="H110">
        <v>0</v>
      </c>
      <c r="I110">
        <v>0</v>
      </c>
      <c r="J110">
        <v>0</v>
      </c>
      <c r="K110">
        <v>1</v>
      </c>
      <c r="L110">
        <v>0</v>
      </c>
      <c r="M110">
        <v>1</v>
      </c>
      <c r="N110">
        <v>0</v>
      </c>
      <c r="O110">
        <v>1</v>
      </c>
      <c r="P110">
        <v>0</v>
      </c>
      <c r="Q110">
        <v>0</v>
      </c>
      <c r="R110">
        <v>1</v>
      </c>
      <c r="S110">
        <v>0</v>
      </c>
      <c r="T110">
        <v>0</v>
      </c>
      <c r="U110">
        <v>0</v>
      </c>
      <c r="V110">
        <v>0</v>
      </c>
      <c r="W110">
        <v>1</v>
      </c>
      <c r="X110">
        <v>0</v>
      </c>
      <c r="Y110">
        <v>0</v>
      </c>
      <c r="Z110">
        <v>0</v>
      </c>
    </row>
    <row r="111" spans="1:26" x14ac:dyDescent="0.25">
      <c r="A111">
        <v>48</v>
      </c>
      <c r="B111">
        <v>14</v>
      </c>
      <c r="C111">
        <v>5</v>
      </c>
      <c r="D111">
        <v>1282</v>
      </c>
      <c r="E111">
        <v>9</v>
      </c>
      <c r="F111">
        <v>0</v>
      </c>
      <c r="G111">
        <v>1</v>
      </c>
      <c r="H111">
        <v>0</v>
      </c>
      <c r="I111">
        <v>0</v>
      </c>
      <c r="J111">
        <v>1</v>
      </c>
      <c r="K111">
        <v>0</v>
      </c>
      <c r="L111">
        <v>0</v>
      </c>
      <c r="M111">
        <v>0</v>
      </c>
      <c r="N111">
        <v>0</v>
      </c>
      <c r="O111">
        <v>0</v>
      </c>
      <c r="P111">
        <v>1</v>
      </c>
      <c r="Q111">
        <v>0</v>
      </c>
      <c r="R111">
        <v>0</v>
      </c>
      <c r="S111">
        <v>1</v>
      </c>
      <c r="T111">
        <v>0</v>
      </c>
      <c r="U111">
        <v>0</v>
      </c>
      <c r="V111">
        <v>0</v>
      </c>
      <c r="W111">
        <v>0</v>
      </c>
      <c r="X111">
        <v>0</v>
      </c>
      <c r="Y111">
        <v>0</v>
      </c>
      <c r="Z111">
        <v>1</v>
      </c>
    </row>
    <row r="112" spans="1:26" x14ac:dyDescent="0.25">
      <c r="A112">
        <v>28</v>
      </c>
      <c r="B112">
        <v>12</v>
      </c>
      <c r="C112">
        <v>5</v>
      </c>
      <c r="D112">
        <v>2034</v>
      </c>
      <c r="E112">
        <v>2</v>
      </c>
      <c r="F112">
        <v>0</v>
      </c>
      <c r="G112">
        <v>1</v>
      </c>
      <c r="H112">
        <v>0</v>
      </c>
      <c r="I112">
        <v>0</v>
      </c>
      <c r="J112">
        <v>0</v>
      </c>
      <c r="K112">
        <v>0</v>
      </c>
      <c r="L112">
        <v>1</v>
      </c>
      <c r="M112">
        <v>0</v>
      </c>
      <c r="N112">
        <v>0</v>
      </c>
      <c r="O112">
        <v>0</v>
      </c>
      <c r="P112">
        <v>1</v>
      </c>
      <c r="Q112">
        <v>0</v>
      </c>
      <c r="R112">
        <v>1</v>
      </c>
      <c r="S112">
        <v>0</v>
      </c>
      <c r="T112">
        <v>0</v>
      </c>
      <c r="U112">
        <v>0</v>
      </c>
      <c r="V112">
        <v>1</v>
      </c>
      <c r="W112">
        <v>0</v>
      </c>
      <c r="X112">
        <v>0</v>
      </c>
      <c r="Y112">
        <v>0</v>
      </c>
      <c r="Z112">
        <v>0</v>
      </c>
    </row>
    <row r="113" spans="1:26" x14ac:dyDescent="0.25">
      <c r="A113">
        <v>24</v>
      </c>
      <c r="B113">
        <v>12</v>
      </c>
      <c r="C113">
        <v>4</v>
      </c>
      <c r="D113">
        <v>787</v>
      </c>
      <c r="E113">
        <v>4</v>
      </c>
      <c r="F113">
        <v>0</v>
      </c>
      <c r="G113">
        <v>0</v>
      </c>
      <c r="H113">
        <v>0</v>
      </c>
      <c r="I113">
        <v>1</v>
      </c>
      <c r="J113">
        <v>0</v>
      </c>
      <c r="K113">
        <v>0</v>
      </c>
      <c r="L113">
        <v>1</v>
      </c>
      <c r="M113">
        <v>1</v>
      </c>
      <c r="N113">
        <v>1</v>
      </c>
      <c r="O113">
        <v>0</v>
      </c>
      <c r="P113">
        <v>0</v>
      </c>
      <c r="Q113">
        <v>0</v>
      </c>
      <c r="R113">
        <v>1</v>
      </c>
      <c r="S113">
        <v>0</v>
      </c>
      <c r="T113">
        <v>0</v>
      </c>
      <c r="U113">
        <v>1</v>
      </c>
      <c r="V113">
        <v>0</v>
      </c>
      <c r="W113">
        <v>0</v>
      </c>
      <c r="X113">
        <v>0</v>
      </c>
      <c r="Y113">
        <v>0</v>
      </c>
      <c r="Z113">
        <v>0</v>
      </c>
    </row>
    <row r="114" spans="1:26" x14ac:dyDescent="0.25">
      <c r="A114">
        <v>78</v>
      </c>
      <c r="B114">
        <v>11</v>
      </c>
      <c r="C114">
        <v>4</v>
      </c>
      <c r="D114">
        <v>2884</v>
      </c>
      <c r="E114">
        <v>2</v>
      </c>
      <c r="F114">
        <v>0</v>
      </c>
      <c r="G114">
        <v>0</v>
      </c>
      <c r="H114">
        <v>0</v>
      </c>
      <c r="I114">
        <v>1</v>
      </c>
      <c r="J114">
        <v>1</v>
      </c>
      <c r="K114">
        <v>0</v>
      </c>
      <c r="L114">
        <v>0</v>
      </c>
      <c r="M114">
        <v>1</v>
      </c>
      <c r="N114">
        <v>0</v>
      </c>
      <c r="O114">
        <v>1</v>
      </c>
      <c r="P114">
        <v>0</v>
      </c>
      <c r="Q114">
        <v>0</v>
      </c>
      <c r="R114">
        <v>0</v>
      </c>
      <c r="S114">
        <v>1</v>
      </c>
      <c r="T114">
        <v>0</v>
      </c>
      <c r="U114">
        <v>0</v>
      </c>
      <c r="V114">
        <v>0</v>
      </c>
      <c r="W114">
        <v>0</v>
      </c>
      <c r="X114">
        <v>0</v>
      </c>
      <c r="Y114">
        <v>1</v>
      </c>
      <c r="Z114">
        <v>0</v>
      </c>
    </row>
    <row r="115" spans="1:26" x14ac:dyDescent="0.25">
      <c r="A115">
        <v>34</v>
      </c>
      <c r="B115">
        <v>8</v>
      </c>
      <c r="C115">
        <v>3</v>
      </c>
      <c r="D115">
        <v>3981</v>
      </c>
      <c r="E115">
        <v>4</v>
      </c>
      <c r="F115">
        <v>1</v>
      </c>
      <c r="G115">
        <v>0</v>
      </c>
      <c r="H115">
        <v>0</v>
      </c>
      <c r="I115">
        <v>0</v>
      </c>
      <c r="J115">
        <v>1</v>
      </c>
      <c r="K115">
        <v>0</v>
      </c>
      <c r="L115">
        <v>0</v>
      </c>
      <c r="M115">
        <v>0</v>
      </c>
      <c r="N115">
        <v>1</v>
      </c>
      <c r="O115">
        <v>0</v>
      </c>
      <c r="P115">
        <v>0</v>
      </c>
      <c r="Q115">
        <v>1</v>
      </c>
      <c r="R115">
        <v>0</v>
      </c>
      <c r="S115">
        <v>0</v>
      </c>
      <c r="T115">
        <v>0</v>
      </c>
      <c r="U115">
        <v>0</v>
      </c>
      <c r="V115">
        <v>0</v>
      </c>
      <c r="W115">
        <v>0</v>
      </c>
      <c r="X115">
        <v>0</v>
      </c>
      <c r="Y115">
        <v>1</v>
      </c>
      <c r="Z115">
        <v>0</v>
      </c>
    </row>
    <row r="116" spans="1:26" x14ac:dyDescent="0.25">
      <c r="A116">
        <v>43</v>
      </c>
      <c r="B116">
        <v>38</v>
      </c>
      <c r="C116">
        <v>5</v>
      </c>
      <c r="D116">
        <v>4027</v>
      </c>
      <c r="E116">
        <v>4</v>
      </c>
      <c r="F116">
        <v>0</v>
      </c>
      <c r="G116">
        <v>0</v>
      </c>
      <c r="H116">
        <v>0</v>
      </c>
      <c r="I116">
        <v>1</v>
      </c>
      <c r="J116">
        <v>0</v>
      </c>
      <c r="K116">
        <v>0</v>
      </c>
      <c r="L116">
        <v>1</v>
      </c>
      <c r="M116">
        <v>0</v>
      </c>
      <c r="N116">
        <v>0</v>
      </c>
      <c r="O116">
        <v>0</v>
      </c>
      <c r="P116">
        <v>1</v>
      </c>
      <c r="Q116">
        <v>1</v>
      </c>
      <c r="R116">
        <v>0</v>
      </c>
      <c r="S116">
        <v>0</v>
      </c>
      <c r="T116">
        <v>0</v>
      </c>
      <c r="U116">
        <v>0</v>
      </c>
      <c r="V116">
        <v>1</v>
      </c>
      <c r="W116">
        <v>0</v>
      </c>
      <c r="X116">
        <v>0</v>
      </c>
      <c r="Y116">
        <v>0</v>
      </c>
      <c r="Z116">
        <v>0</v>
      </c>
    </row>
    <row r="117" spans="1:26" x14ac:dyDescent="0.25">
      <c r="A117">
        <v>50</v>
      </c>
      <c r="B117">
        <v>13</v>
      </c>
      <c r="C117">
        <v>4</v>
      </c>
      <c r="D117">
        <v>826</v>
      </c>
      <c r="E117">
        <v>8</v>
      </c>
      <c r="F117">
        <v>0</v>
      </c>
      <c r="G117">
        <v>0</v>
      </c>
      <c r="H117">
        <v>0</v>
      </c>
      <c r="I117">
        <v>1</v>
      </c>
      <c r="J117">
        <v>0</v>
      </c>
      <c r="K117">
        <v>0</v>
      </c>
      <c r="L117">
        <v>1</v>
      </c>
      <c r="M117">
        <v>0</v>
      </c>
      <c r="N117">
        <v>0</v>
      </c>
      <c r="O117">
        <v>1</v>
      </c>
      <c r="P117">
        <v>0</v>
      </c>
      <c r="Q117">
        <v>0</v>
      </c>
      <c r="R117">
        <v>0</v>
      </c>
      <c r="S117">
        <v>1</v>
      </c>
      <c r="T117">
        <v>0</v>
      </c>
      <c r="U117">
        <v>0</v>
      </c>
      <c r="V117">
        <v>0</v>
      </c>
      <c r="W117">
        <v>0</v>
      </c>
      <c r="X117">
        <v>1</v>
      </c>
      <c r="Y117">
        <v>0</v>
      </c>
      <c r="Z117">
        <v>0</v>
      </c>
    </row>
    <row r="118" spans="1:26" x14ac:dyDescent="0.25">
      <c r="A118">
        <v>15</v>
      </c>
      <c r="B118">
        <v>10</v>
      </c>
      <c r="C118">
        <v>3</v>
      </c>
      <c r="D118">
        <v>3348</v>
      </c>
      <c r="E118">
        <v>9</v>
      </c>
      <c r="F118">
        <v>0</v>
      </c>
      <c r="G118">
        <v>0</v>
      </c>
      <c r="H118">
        <v>1</v>
      </c>
      <c r="I118">
        <v>0</v>
      </c>
      <c r="J118">
        <v>0</v>
      </c>
      <c r="K118">
        <v>1</v>
      </c>
      <c r="L118">
        <v>0</v>
      </c>
      <c r="M118">
        <v>0</v>
      </c>
      <c r="N118">
        <v>0</v>
      </c>
      <c r="O118">
        <v>0</v>
      </c>
      <c r="P118">
        <v>1</v>
      </c>
      <c r="Q118">
        <v>0</v>
      </c>
      <c r="R118">
        <v>0</v>
      </c>
      <c r="S118">
        <v>1</v>
      </c>
      <c r="T118">
        <v>1</v>
      </c>
      <c r="U118">
        <v>0</v>
      </c>
      <c r="V118">
        <v>0</v>
      </c>
      <c r="W118">
        <v>0</v>
      </c>
      <c r="X118">
        <v>0</v>
      </c>
      <c r="Y118">
        <v>0</v>
      </c>
      <c r="Z118">
        <v>0</v>
      </c>
    </row>
    <row r="119" spans="1:26" x14ac:dyDescent="0.25">
      <c r="A119">
        <v>26</v>
      </c>
      <c r="B119">
        <v>10</v>
      </c>
      <c r="C119">
        <v>5</v>
      </c>
      <c r="D119">
        <v>3981</v>
      </c>
      <c r="E119">
        <v>1</v>
      </c>
      <c r="F119">
        <v>0</v>
      </c>
      <c r="G119">
        <v>0</v>
      </c>
      <c r="H119">
        <v>1</v>
      </c>
      <c r="I119">
        <v>0</v>
      </c>
      <c r="J119">
        <v>1</v>
      </c>
      <c r="K119">
        <v>0</v>
      </c>
      <c r="L119">
        <v>0</v>
      </c>
      <c r="M119">
        <v>0</v>
      </c>
      <c r="N119">
        <v>1</v>
      </c>
      <c r="O119">
        <v>0</v>
      </c>
      <c r="P119">
        <v>0</v>
      </c>
      <c r="Q119">
        <v>0</v>
      </c>
      <c r="R119">
        <v>0</v>
      </c>
      <c r="S119">
        <v>1</v>
      </c>
      <c r="T119">
        <v>0</v>
      </c>
      <c r="U119">
        <v>0</v>
      </c>
      <c r="V119">
        <v>0</v>
      </c>
      <c r="W119">
        <v>0</v>
      </c>
      <c r="X119">
        <v>0</v>
      </c>
      <c r="Y119">
        <v>0</v>
      </c>
      <c r="Z119">
        <v>1</v>
      </c>
    </row>
    <row r="120" spans="1:26" x14ac:dyDescent="0.25">
      <c r="A120">
        <v>19</v>
      </c>
      <c r="B120">
        <v>9</v>
      </c>
      <c r="C120">
        <v>5</v>
      </c>
      <c r="D120">
        <v>1467</v>
      </c>
      <c r="E120">
        <v>3</v>
      </c>
      <c r="F120">
        <v>0</v>
      </c>
      <c r="G120">
        <v>0</v>
      </c>
      <c r="H120">
        <v>1</v>
      </c>
      <c r="I120">
        <v>0</v>
      </c>
      <c r="J120">
        <v>0</v>
      </c>
      <c r="K120">
        <v>0</v>
      </c>
      <c r="L120">
        <v>1</v>
      </c>
      <c r="M120">
        <v>1</v>
      </c>
      <c r="N120">
        <v>0</v>
      </c>
      <c r="O120">
        <v>1</v>
      </c>
      <c r="P120">
        <v>0</v>
      </c>
      <c r="Q120">
        <v>0</v>
      </c>
      <c r="R120">
        <v>1</v>
      </c>
      <c r="S120">
        <v>0</v>
      </c>
      <c r="T120">
        <v>1</v>
      </c>
      <c r="U120">
        <v>0</v>
      </c>
      <c r="V120">
        <v>0</v>
      </c>
      <c r="W120">
        <v>0</v>
      </c>
      <c r="X120">
        <v>0</v>
      </c>
      <c r="Y120">
        <v>0</v>
      </c>
      <c r="Z120">
        <v>0</v>
      </c>
    </row>
    <row r="121" spans="1:26" x14ac:dyDescent="0.25">
      <c r="A121">
        <v>113</v>
      </c>
      <c r="B121">
        <v>38</v>
      </c>
      <c r="C121">
        <v>4</v>
      </c>
      <c r="D121">
        <v>2034</v>
      </c>
      <c r="E121">
        <v>1</v>
      </c>
      <c r="F121">
        <v>0</v>
      </c>
      <c r="G121">
        <v>0</v>
      </c>
      <c r="H121">
        <v>1</v>
      </c>
      <c r="I121">
        <v>0</v>
      </c>
      <c r="J121">
        <v>1</v>
      </c>
      <c r="K121">
        <v>0</v>
      </c>
      <c r="L121">
        <v>0</v>
      </c>
      <c r="M121">
        <v>0</v>
      </c>
      <c r="N121">
        <v>0</v>
      </c>
      <c r="O121">
        <v>0</v>
      </c>
      <c r="P121">
        <v>1</v>
      </c>
      <c r="Q121">
        <v>0</v>
      </c>
      <c r="R121">
        <v>0</v>
      </c>
      <c r="S121">
        <v>1</v>
      </c>
      <c r="T121">
        <v>0</v>
      </c>
      <c r="U121">
        <v>0</v>
      </c>
      <c r="V121">
        <v>0</v>
      </c>
      <c r="W121">
        <v>0</v>
      </c>
      <c r="X121">
        <v>0</v>
      </c>
      <c r="Y121">
        <v>1</v>
      </c>
      <c r="Z121">
        <v>0</v>
      </c>
    </row>
    <row r="122" spans="1:26" x14ac:dyDescent="0.25">
      <c r="A122">
        <v>25</v>
      </c>
      <c r="B122">
        <v>19</v>
      </c>
      <c r="C122">
        <v>3</v>
      </c>
      <c r="D122">
        <v>826</v>
      </c>
      <c r="E122">
        <v>8</v>
      </c>
      <c r="F122">
        <v>1</v>
      </c>
      <c r="G122">
        <v>0</v>
      </c>
      <c r="H122">
        <v>0</v>
      </c>
      <c r="I122">
        <v>0</v>
      </c>
      <c r="J122">
        <v>0</v>
      </c>
      <c r="K122">
        <v>0</v>
      </c>
      <c r="L122">
        <v>1</v>
      </c>
      <c r="M122">
        <v>0</v>
      </c>
      <c r="N122">
        <v>0</v>
      </c>
      <c r="O122">
        <v>1</v>
      </c>
      <c r="P122">
        <v>0</v>
      </c>
      <c r="Q122">
        <v>0</v>
      </c>
      <c r="R122">
        <v>0</v>
      </c>
      <c r="S122">
        <v>1</v>
      </c>
      <c r="T122">
        <v>0</v>
      </c>
      <c r="U122">
        <v>1</v>
      </c>
      <c r="V122">
        <v>0</v>
      </c>
      <c r="W122">
        <v>0</v>
      </c>
      <c r="X122">
        <v>0</v>
      </c>
      <c r="Y122">
        <v>0</v>
      </c>
      <c r="Z122">
        <v>0</v>
      </c>
    </row>
    <row r="123" spans="1:26" x14ac:dyDescent="0.25">
      <c r="A123">
        <v>35</v>
      </c>
      <c r="B123">
        <v>17</v>
      </c>
      <c r="C123">
        <v>5</v>
      </c>
      <c r="D123">
        <v>787</v>
      </c>
      <c r="E123">
        <v>6</v>
      </c>
      <c r="F123">
        <v>0</v>
      </c>
      <c r="G123">
        <v>1</v>
      </c>
      <c r="H123">
        <v>0</v>
      </c>
      <c r="I123">
        <v>0</v>
      </c>
      <c r="J123">
        <v>0</v>
      </c>
      <c r="K123">
        <v>0</v>
      </c>
      <c r="L123">
        <v>1</v>
      </c>
      <c r="M123">
        <v>1</v>
      </c>
      <c r="N123">
        <v>1</v>
      </c>
      <c r="O123">
        <v>0</v>
      </c>
      <c r="P123">
        <v>0</v>
      </c>
      <c r="Q123">
        <v>0</v>
      </c>
      <c r="R123">
        <v>1</v>
      </c>
      <c r="S123">
        <v>0</v>
      </c>
      <c r="T123">
        <v>0</v>
      </c>
      <c r="U123">
        <v>0</v>
      </c>
      <c r="V123">
        <v>0</v>
      </c>
      <c r="W123">
        <v>0</v>
      </c>
      <c r="X123">
        <v>0</v>
      </c>
      <c r="Y123">
        <v>1</v>
      </c>
      <c r="Z123">
        <v>0</v>
      </c>
    </row>
    <row r="124" spans="1:26" x14ac:dyDescent="0.25">
      <c r="A124">
        <v>43</v>
      </c>
      <c r="B124">
        <v>14</v>
      </c>
      <c r="C124">
        <v>4</v>
      </c>
      <c r="D124">
        <v>2884</v>
      </c>
      <c r="E124">
        <v>5</v>
      </c>
      <c r="F124">
        <v>0</v>
      </c>
      <c r="G124">
        <v>1</v>
      </c>
      <c r="H124">
        <v>0</v>
      </c>
      <c r="I124">
        <v>0</v>
      </c>
      <c r="J124">
        <v>1</v>
      </c>
      <c r="K124">
        <v>0</v>
      </c>
      <c r="L124">
        <v>0</v>
      </c>
      <c r="M124">
        <v>1</v>
      </c>
      <c r="N124">
        <v>0</v>
      </c>
      <c r="O124">
        <v>1</v>
      </c>
      <c r="P124">
        <v>0</v>
      </c>
      <c r="Q124">
        <v>1</v>
      </c>
      <c r="R124">
        <v>0</v>
      </c>
      <c r="S124">
        <v>0</v>
      </c>
      <c r="T124">
        <v>0</v>
      </c>
      <c r="U124">
        <v>0</v>
      </c>
      <c r="V124">
        <v>0</v>
      </c>
      <c r="W124">
        <v>0</v>
      </c>
      <c r="X124">
        <v>1</v>
      </c>
      <c r="Y124">
        <v>0</v>
      </c>
      <c r="Z124">
        <v>0</v>
      </c>
    </row>
    <row r="125" spans="1:26" x14ac:dyDescent="0.25">
      <c r="A125">
        <v>92</v>
      </c>
      <c r="B125">
        <v>12</v>
      </c>
      <c r="C125">
        <v>4</v>
      </c>
      <c r="D125">
        <v>188</v>
      </c>
      <c r="E125">
        <v>2</v>
      </c>
      <c r="F125">
        <v>0</v>
      </c>
      <c r="G125">
        <v>0</v>
      </c>
      <c r="H125">
        <v>0</v>
      </c>
      <c r="I125">
        <v>1</v>
      </c>
      <c r="J125">
        <v>1</v>
      </c>
      <c r="K125">
        <v>0</v>
      </c>
      <c r="L125">
        <v>0</v>
      </c>
      <c r="M125">
        <v>0</v>
      </c>
      <c r="N125">
        <v>0</v>
      </c>
      <c r="O125">
        <v>1</v>
      </c>
      <c r="P125">
        <v>0</v>
      </c>
      <c r="Q125">
        <v>1</v>
      </c>
      <c r="R125">
        <v>0</v>
      </c>
      <c r="S125">
        <v>0</v>
      </c>
      <c r="T125">
        <v>0</v>
      </c>
      <c r="U125">
        <v>0</v>
      </c>
      <c r="V125">
        <v>1</v>
      </c>
      <c r="W125">
        <v>0</v>
      </c>
      <c r="X125">
        <v>0</v>
      </c>
      <c r="Y125">
        <v>0</v>
      </c>
      <c r="Z125">
        <v>0</v>
      </c>
    </row>
    <row r="126" spans="1:26" x14ac:dyDescent="0.25">
      <c r="A126">
        <v>20</v>
      </c>
      <c r="B126">
        <v>10</v>
      </c>
      <c r="C126">
        <v>4</v>
      </c>
      <c r="D126">
        <v>2916</v>
      </c>
      <c r="E126">
        <v>2</v>
      </c>
      <c r="F126">
        <v>0</v>
      </c>
      <c r="G126">
        <v>0</v>
      </c>
      <c r="H126">
        <v>0</v>
      </c>
      <c r="I126">
        <v>1</v>
      </c>
      <c r="J126">
        <v>0</v>
      </c>
      <c r="K126">
        <v>0</v>
      </c>
      <c r="L126">
        <v>1</v>
      </c>
      <c r="M126">
        <v>0</v>
      </c>
      <c r="N126">
        <v>0</v>
      </c>
      <c r="O126">
        <v>1</v>
      </c>
      <c r="P126">
        <v>0</v>
      </c>
      <c r="Q126">
        <v>0</v>
      </c>
      <c r="R126">
        <v>0</v>
      </c>
      <c r="S126">
        <v>1</v>
      </c>
      <c r="T126">
        <v>0</v>
      </c>
      <c r="U126">
        <v>0</v>
      </c>
      <c r="V126">
        <v>0</v>
      </c>
      <c r="W126">
        <v>0</v>
      </c>
      <c r="X126">
        <v>1</v>
      </c>
      <c r="Y126">
        <v>0</v>
      </c>
      <c r="Z126">
        <v>0</v>
      </c>
    </row>
    <row r="127" spans="1:26" x14ac:dyDescent="0.25">
      <c r="A127">
        <v>31</v>
      </c>
      <c r="B127">
        <v>8</v>
      </c>
      <c r="C127">
        <v>3</v>
      </c>
      <c r="D127">
        <v>3773</v>
      </c>
      <c r="E127">
        <v>2</v>
      </c>
      <c r="F127">
        <v>0</v>
      </c>
      <c r="G127">
        <v>0</v>
      </c>
      <c r="H127">
        <v>1</v>
      </c>
      <c r="I127">
        <v>0</v>
      </c>
      <c r="J127">
        <v>0</v>
      </c>
      <c r="K127">
        <v>0</v>
      </c>
      <c r="L127">
        <v>1</v>
      </c>
      <c r="M127">
        <v>0</v>
      </c>
      <c r="N127">
        <v>1</v>
      </c>
      <c r="O127">
        <v>0</v>
      </c>
      <c r="P127">
        <v>0</v>
      </c>
      <c r="Q127">
        <v>0</v>
      </c>
      <c r="R127">
        <v>0</v>
      </c>
      <c r="S127">
        <v>1</v>
      </c>
      <c r="T127">
        <v>0</v>
      </c>
      <c r="U127">
        <v>0</v>
      </c>
      <c r="V127">
        <v>0</v>
      </c>
      <c r="W127">
        <v>0</v>
      </c>
      <c r="X127">
        <v>0</v>
      </c>
      <c r="Y127">
        <v>1</v>
      </c>
      <c r="Z127">
        <v>0</v>
      </c>
    </row>
    <row r="128" spans="1:26" x14ac:dyDescent="0.25">
      <c r="A128">
        <v>47</v>
      </c>
      <c r="B128">
        <v>6</v>
      </c>
      <c r="C128">
        <v>4</v>
      </c>
      <c r="D128">
        <v>3981</v>
      </c>
      <c r="E128">
        <v>5</v>
      </c>
      <c r="F128">
        <v>0</v>
      </c>
      <c r="G128">
        <v>0</v>
      </c>
      <c r="H128">
        <v>0</v>
      </c>
      <c r="I128">
        <v>1</v>
      </c>
      <c r="J128">
        <v>1</v>
      </c>
      <c r="K128">
        <v>0</v>
      </c>
      <c r="L128">
        <v>0</v>
      </c>
      <c r="M128">
        <v>0</v>
      </c>
      <c r="N128">
        <v>1</v>
      </c>
      <c r="O128">
        <v>0</v>
      </c>
      <c r="P128">
        <v>0</v>
      </c>
      <c r="Q128">
        <v>0</v>
      </c>
      <c r="R128">
        <v>1</v>
      </c>
      <c r="S128">
        <v>0</v>
      </c>
      <c r="T128">
        <v>0</v>
      </c>
      <c r="U128">
        <v>1</v>
      </c>
      <c r="V128">
        <v>0</v>
      </c>
      <c r="W128">
        <v>0</v>
      </c>
      <c r="X128">
        <v>0</v>
      </c>
      <c r="Y128">
        <v>0</v>
      </c>
      <c r="Z128">
        <v>0</v>
      </c>
    </row>
    <row r="129" spans="1:26" x14ac:dyDescent="0.25">
      <c r="A129">
        <v>91</v>
      </c>
      <c r="B129">
        <v>16</v>
      </c>
      <c r="C129">
        <v>4</v>
      </c>
      <c r="D129">
        <v>3025</v>
      </c>
      <c r="E129">
        <v>3</v>
      </c>
      <c r="F129">
        <v>0</v>
      </c>
      <c r="G129">
        <v>1</v>
      </c>
      <c r="H129">
        <v>0</v>
      </c>
      <c r="I129">
        <v>0</v>
      </c>
      <c r="J129">
        <v>1</v>
      </c>
      <c r="K129">
        <v>0</v>
      </c>
      <c r="L129">
        <v>0</v>
      </c>
      <c r="M129">
        <v>0</v>
      </c>
      <c r="N129">
        <v>0</v>
      </c>
      <c r="O129">
        <v>0</v>
      </c>
      <c r="P129">
        <v>1</v>
      </c>
      <c r="Q129">
        <v>0</v>
      </c>
      <c r="R129">
        <v>0</v>
      </c>
      <c r="S129">
        <v>1</v>
      </c>
      <c r="T129">
        <v>0</v>
      </c>
      <c r="U129">
        <v>0</v>
      </c>
      <c r="V129">
        <v>0</v>
      </c>
      <c r="W129">
        <v>0</v>
      </c>
      <c r="X129">
        <v>0</v>
      </c>
      <c r="Y129">
        <v>0</v>
      </c>
      <c r="Z129">
        <v>1</v>
      </c>
    </row>
    <row r="130" spans="1:26" x14ac:dyDescent="0.25">
      <c r="A130">
        <v>61</v>
      </c>
      <c r="B130">
        <v>13</v>
      </c>
      <c r="C130">
        <v>2</v>
      </c>
      <c r="D130">
        <v>315</v>
      </c>
      <c r="E130">
        <v>4</v>
      </c>
      <c r="F130">
        <v>1</v>
      </c>
      <c r="G130">
        <v>0</v>
      </c>
      <c r="H130">
        <v>0</v>
      </c>
      <c r="I130">
        <v>0</v>
      </c>
      <c r="J130">
        <v>0</v>
      </c>
      <c r="K130">
        <v>0</v>
      </c>
      <c r="L130">
        <v>1</v>
      </c>
      <c r="M130">
        <v>0</v>
      </c>
      <c r="N130">
        <v>1</v>
      </c>
      <c r="O130">
        <v>0</v>
      </c>
      <c r="P130">
        <v>0</v>
      </c>
      <c r="Q130">
        <v>0</v>
      </c>
      <c r="R130">
        <v>1</v>
      </c>
      <c r="S130">
        <v>0</v>
      </c>
      <c r="T130">
        <v>0</v>
      </c>
      <c r="U130">
        <v>0</v>
      </c>
      <c r="V130">
        <v>0</v>
      </c>
      <c r="W130">
        <v>1</v>
      </c>
      <c r="X130">
        <v>0</v>
      </c>
      <c r="Y130">
        <v>0</v>
      </c>
      <c r="Z130">
        <v>0</v>
      </c>
    </row>
    <row r="131" spans="1:26" x14ac:dyDescent="0.25">
      <c r="A131">
        <v>22</v>
      </c>
      <c r="B131">
        <v>13</v>
      </c>
      <c r="C131">
        <v>4</v>
      </c>
      <c r="D131">
        <v>4027</v>
      </c>
      <c r="E131">
        <v>2</v>
      </c>
      <c r="F131">
        <v>0</v>
      </c>
      <c r="G131">
        <v>0</v>
      </c>
      <c r="H131">
        <v>1</v>
      </c>
      <c r="I131">
        <v>0</v>
      </c>
      <c r="J131">
        <v>0</v>
      </c>
      <c r="K131">
        <v>0</v>
      </c>
      <c r="L131">
        <v>1</v>
      </c>
      <c r="M131">
        <v>0</v>
      </c>
      <c r="N131">
        <v>0</v>
      </c>
      <c r="O131">
        <v>0</v>
      </c>
      <c r="P131">
        <v>1</v>
      </c>
      <c r="Q131">
        <v>1</v>
      </c>
      <c r="R131">
        <v>0</v>
      </c>
      <c r="S131">
        <v>0</v>
      </c>
      <c r="T131">
        <v>1</v>
      </c>
      <c r="U131">
        <v>0</v>
      </c>
      <c r="V131">
        <v>0</v>
      </c>
      <c r="W131">
        <v>0</v>
      </c>
      <c r="X131">
        <v>0</v>
      </c>
      <c r="Y131">
        <v>0</v>
      </c>
      <c r="Z131">
        <v>0</v>
      </c>
    </row>
    <row r="132" spans="1:26" x14ac:dyDescent="0.25">
      <c r="A132">
        <v>40</v>
      </c>
      <c r="B132">
        <v>12</v>
      </c>
      <c r="C132">
        <v>5</v>
      </c>
      <c r="D132">
        <v>2700</v>
      </c>
      <c r="E132">
        <v>7</v>
      </c>
      <c r="F132">
        <v>0</v>
      </c>
      <c r="G132">
        <v>0</v>
      </c>
      <c r="H132">
        <v>0</v>
      </c>
      <c r="I132">
        <v>1</v>
      </c>
      <c r="J132">
        <v>1</v>
      </c>
      <c r="K132">
        <v>0</v>
      </c>
      <c r="L132">
        <v>0</v>
      </c>
      <c r="M132">
        <v>1</v>
      </c>
      <c r="N132">
        <v>0</v>
      </c>
      <c r="O132">
        <v>0</v>
      </c>
      <c r="P132">
        <v>1</v>
      </c>
      <c r="Q132">
        <v>0</v>
      </c>
      <c r="R132">
        <v>0</v>
      </c>
      <c r="S132">
        <v>1</v>
      </c>
      <c r="T132">
        <v>0</v>
      </c>
      <c r="U132">
        <v>0</v>
      </c>
      <c r="V132">
        <v>1</v>
      </c>
      <c r="W132">
        <v>0</v>
      </c>
      <c r="X132">
        <v>0</v>
      </c>
      <c r="Y132">
        <v>0</v>
      </c>
      <c r="Z132">
        <v>0</v>
      </c>
    </row>
    <row r="133" spans="1:26" x14ac:dyDescent="0.25">
      <c r="A133">
        <v>83</v>
      </c>
      <c r="B133">
        <v>10</v>
      </c>
      <c r="C133">
        <v>4</v>
      </c>
      <c r="D133">
        <v>4027</v>
      </c>
      <c r="E133">
        <v>1</v>
      </c>
      <c r="F133">
        <v>0</v>
      </c>
      <c r="G133">
        <v>0</v>
      </c>
      <c r="H133">
        <v>1</v>
      </c>
      <c r="I133">
        <v>0</v>
      </c>
      <c r="J133">
        <v>0</v>
      </c>
      <c r="K133">
        <v>1</v>
      </c>
      <c r="L133">
        <v>0</v>
      </c>
      <c r="M133">
        <v>0</v>
      </c>
      <c r="N133">
        <v>0</v>
      </c>
      <c r="O133">
        <v>0</v>
      </c>
      <c r="P133">
        <v>1</v>
      </c>
      <c r="Q133">
        <v>1</v>
      </c>
      <c r="R133">
        <v>0</v>
      </c>
      <c r="S133">
        <v>0</v>
      </c>
      <c r="T133">
        <v>0</v>
      </c>
      <c r="U133">
        <v>0</v>
      </c>
      <c r="V133">
        <v>0</v>
      </c>
      <c r="W133">
        <v>0</v>
      </c>
      <c r="X133">
        <v>0</v>
      </c>
      <c r="Y133">
        <v>1</v>
      </c>
      <c r="Z133">
        <v>0</v>
      </c>
    </row>
    <row r="134" spans="1:26" x14ac:dyDescent="0.25">
      <c r="A134">
        <v>34</v>
      </c>
      <c r="B134">
        <v>8</v>
      </c>
      <c r="C134">
        <v>4</v>
      </c>
      <c r="D134">
        <v>2034</v>
      </c>
      <c r="E134">
        <v>4</v>
      </c>
      <c r="F134">
        <v>0</v>
      </c>
      <c r="G134">
        <v>1</v>
      </c>
      <c r="H134">
        <v>0</v>
      </c>
      <c r="I134">
        <v>0</v>
      </c>
      <c r="J134">
        <v>1</v>
      </c>
      <c r="K134">
        <v>0</v>
      </c>
      <c r="L134">
        <v>0</v>
      </c>
      <c r="M134">
        <v>0</v>
      </c>
      <c r="N134">
        <v>0</v>
      </c>
      <c r="O134">
        <v>0</v>
      </c>
      <c r="P134">
        <v>1</v>
      </c>
      <c r="Q134">
        <v>0</v>
      </c>
      <c r="R134">
        <v>0</v>
      </c>
      <c r="S134">
        <v>1</v>
      </c>
      <c r="T134">
        <v>0</v>
      </c>
      <c r="U134">
        <v>0</v>
      </c>
      <c r="V134">
        <v>0</v>
      </c>
      <c r="W134">
        <v>0</v>
      </c>
      <c r="X134">
        <v>0</v>
      </c>
      <c r="Y134">
        <v>1</v>
      </c>
      <c r="Z134">
        <v>0</v>
      </c>
    </row>
    <row r="135" spans="1:26" x14ac:dyDescent="0.25">
      <c r="A135">
        <v>73</v>
      </c>
      <c r="B135">
        <v>7</v>
      </c>
      <c r="C135">
        <v>5</v>
      </c>
      <c r="D135">
        <v>2916</v>
      </c>
      <c r="E135">
        <v>3</v>
      </c>
      <c r="F135">
        <v>0</v>
      </c>
      <c r="G135">
        <v>1</v>
      </c>
      <c r="H135">
        <v>0</v>
      </c>
      <c r="I135">
        <v>0</v>
      </c>
      <c r="J135">
        <v>0</v>
      </c>
      <c r="K135">
        <v>0</v>
      </c>
      <c r="L135">
        <v>1</v>
      </c>
      <c r="M135">
        <v>0</v>
      </c>
      <c r="N135">
        <v>0</v>
      </c>
      <c r="O135">
        <v>1</v>
      </c>
      <c r="P135">
        <v>0</v>
      </c>
      <c r="Q135">
        <v>0</v>
      </c>
      <c r="R135">
        <v>0</v>
      </c>
      <c r="S135">
        <v>1</v>
      </c>
      <c r="T135">
        <v>0</v>
      </c>
      <c r="U135">
        <v>0</v>
      </c>
      <c r="V135">
        <v>0</v>
      </c>
      <c r="W135">
        <v>0</v>
      </c>
      <c r="X135">
        <v>1</v>
      </c>
      <c r="Y135">
        <v>0</v>
      </c>
      <c r="Z135">
        <v>0</v>
      </c>
    </row>
    <row r="136" spans="1:26" x14ac:dyDescent="0.25">
      <c r="A136">
        <v>8</v>
      </c>
      <c r="B136">
        <v>7</v>
      </c>
      <c r="C136">
        <v>2</v>
      </c>
      <c r="D136">
        <v>3773</v>
      </c>
      <c r="E136">
        <v>10</v>
      </c>
      <c r="F136">
        <v>0</v>
      </c>
      <c r="G136">
        <v>0</v>
      </c>
      <c r="H136">
        <v>0</v>
      </c>
      <c r="I136">
        <v>1</v>
      </c>
      <c r="J136">
        <v>0</v>
      </c>
      <c r="K136">
        <v>0</v>
      </c>
      <c r="L136">
        <v>1</v>
      </c>
      <c r="M136">
        <v>0</v>
      </c>
      <c r="N136">
        <v>1</v>
      </c>
      <c r="O136">
        <v>0</v>
      </c>
      <c r="P136">
        <v>0</v>
      </c>
      <c r="Q136">
        <v>0</v>
      </c>
      <c r="R136">
        <v>0</v>
      </c>
      <c r="S136">
        <v>1</v>
      </c>
      <c r="T136">
        <v>0</v>
      </c>
      <c r="U136">
        <v>1</v>
      </c>
      <c r="V136">
        <v>0</v>
      </c>
      <c r="W136">
        <v>0</v>
      </c>
      <c r="X136">
        <v>0</v>
      </c>
      <c r="Y136">
        <v>0</v>
      </c>
      <c r="Z136">
        <v>0</v>
      </c>
    </row>
    <row r="137" spans="1:26" x14ac:dyDescent="0.25">
      <c r="A137">
        <v>30</v>
      </c>
      <c r="B137">
        <v>6</v>
      </c>
      <c r="C137">
        <v>4</v>
      </c>
      <c r="D137">
        <v>3933</v>
      </c>
      <c r="E137">
        <v>3</v>
      </c>
      <c r="F137">
        <v>1</v>
      </c>
      <c r="G137">
        <v>0</v>
      </c>
      <c r="H137">
        <v>0</v>
      </c>
      <c r="I137">
        <v>0</v>
      </c>
      <c r="J137">
        <v>0</v>
      </c>
      <c r="K137">
        <v>0</v>
      </c>
      <c r="L137">
        <v>1</v>
      </c>
      <c r="M137">
        <v>0</v>
      </c>
      <c r="N137">
        <v>0</v>
      </c>
      <c r="O137">
        <v>0</v>
      </c>
      <c r="P137">
        <v>1</v>
      </c>
      <c r="Q137">
        <v>0</v>
      </c>
      <c r="R137">
        <v>0</v>
      </c>
      <c r="S137">
        <v>1</v>
      </c>
      <c r="T137">
        <v>0</v>
      </c>
      <c r="U137">
        <v>0</v>
      </c>
      <c r="V137">
        <v>0</v>
      </c>
      <c r="W137">
        <v>0</v>
      </c>
      <c r="X137">
        <v>0</v>
      </c>
      <c r="Y137">
        <v>1</v>
      </c>
      <c r="Z137">
        <v>0</v>
      </c>
    </row>
    <row r="138" spans="1:26" x14ac:dyDescent="0.25">
      <c r="A138">
        <v>62</v>
      </c>
      <c r="B138">
        <v>40</v>
      </c>
      <c r="C138">
        <v>5</v>
      </c>
      <c r="D138">
        <v>732</v>
      </c>
      <c r="E138">
        <v>5</v>
      </c>
      <c r="F138">
        <v>0</v>
      </c>
      <c r="G138">
        <v>1</v>
      </c>
      <c r="H138">
        <v>0</v>
      </c>
      <c r="I138">
        <v>0</v>
      </c>
      <c r="J138">
        <v>0</v>
      </c>
      <c r="K138">
        <v>1</v>
      </c>
      <c r="L138">
        <v>0</v>
      </c>
      <c r="M138">
        <v>0</v>
      </c>
      <c r="N138">
        <v>1</v>
      </c>
      <c r="O138">
        <v>0</v>
      </c>
      <c r="P138">
        <v>0</v>
      </c>
      <c r="Q138">
        <v>1</v>
      </c>
      <c r="R138">
        <v>0</v>
      </c>
      <c r="S138">
        <v>0</v>
      </c>
      <c r="T138">
        <v>0</v>
      </c>
      <c r="U138">
        <v>0</v>
      </c>
      <c r="V138">
        <v>0</v>
      </c>
      <c r="W138">
        <v>1</v>
      </c>
      <c r="X138">
        <v>0</v>
      </c>
      <c r="Y138">
        <v>0</v>
      </c>
      <c r="Z138">
        <v>0</v>
      </c>
    </row>
    <row r="139" spans="1:26" x14ac:dyDescent="0.25">
      <c r="A139">
        <v>22</v>
      </c>
      <c r="B139">
        <v>15</v>
      </c>
      <c r="C139">
        <v>4</v>
      </c>
      <c r="D139">
        <v>1228</v>
      </c>
      <c r="E139">
        <v>6</v>
      </c>
      <c r="F139">
        <v>0</v>
      </c>
      <c r="G139">
        <v>0</v>
      </c>
      <c r="H139">
        <v>0</v>
      </c>
      <c r="I139">
        <v>1</v>
      </c>
      <c r="J139">
        <v>0</v>
      </c>
      <c r="K139">
        <v>1</v>
      </c>
      <c r="L139">
        <v>0</v>
      </c>
      <c r="M139">
        <v>0</v>
      </c>
      <c r="N139">
        <v>1</v>
      </c>
      <c r="O139">
        <v>0</v>
      </c>
      <c r="P139">
        <v>0</v>
      </c>
      <c r="Q139">
        <v>0</v>
      </c>
      <c r="R139">
        <v>0</v>
      </c>
      <c r="S139">
        <v>1</v>
      </c>
      <c r="T139">
        <v>0</v>
      </c>
      <c r="U139">
        <v>1</v>
      </c>
      <c r="V139">
        <v>0</v>
      </c>
      <c r="W139">
        <v>0</v>
      </c>
      <c r="X139">
        <v>0</v>
      </c>
      <c r="Y139">
        <v>0</v>
      </c>
      <c r="Z139">
        <v>0</v>
      </c>
    </row>
    <row r="140" spans="1:26" x14ac:dyDescent="0.25">
      <c r="A140">
        <v>18</v>
      </c>
      <c r="B140">
        <v>13</v>
      </c>
      <c r="C140">
        <v>5</v>
      </c>
      <c r="D140">
        <v>2700</v>
      </c>
      <c r="E140">
        <v>9</v>
      </c>
      <c r="F140">
        <v>0</v>
      </c>
      <c r="G140">
        <v>1</v>
      </c>
      <c r="H140">
        <v>0</v>
      </c>
      <c r="I140">
        <v>0</v>
      </c>
      <c r="J140">
        <v>1</v>
      </c>
      <c r="K140">
        <v>0</v>
      </c>
      <c r="L140">
        <v>0</v>
      </c>
      <c r="M140">
        <v>1</v>
      </c>
      <c r="N140">
        <v>0</v>
      </c>
      <c r="O140">
        <v>0</v>
      </c>
      <c r="P140">
        <v>1</v>
      </c>
      <c r="Q140">
        <v>0</v>
      </c>
      <c r="R140">
        <v>1</v>
      </c>
      <c r="S140">
        <v>0</v>
      </c>
      <c r="T140">
        <v>0</v>
      </c>
      <c r="U140">
        <v>0</v>
      </c>
      <c r="V140">
        <v>1</v>
      </c>
      <c r="W140">
        <v>0</v>
      </c>
      <c r="X140">
        <v>0</v>
      </c>
      <c r="Y140">
        <v>0</v>
      </c>
      <c r="Z140">
        <v>0</v>
      </c>
    </row>
    <row r="141" spans="1:26" x14ac:dyDescent="0.25">
      <c r="A141">
        <v>36</v>
      </c>
      <c r="B141">
        <v>9</v>
      </c>
      <c r="C141">
        <v>5</v>
      </c>
      <c r="D141">
        <v>3773</v>
      </c>
      <c r="E141">
        <v>2</v>
      </c>
      <c r="F141">
        <v>0</v>
      </c>
      <c r="G141">
        <v>0</v>
      </c>
      <c r="H141">
        <v>1</v>
      </c>
      <c r="I141">
        <v>0</v>
      </c>
      <c r="J141">
        <v>0</v>
      </c>
      <c r="K141">
        <v>1</v>
      </c>
      <c r="L141">
        <v>0</v>
      </c>
      <c r="M141">
        <v>0</v>
      </c>
      <c r="N141">
        <v>1</v>
      </c>
      <c r="O141">
        <v>0</v>
      </c>
      <c r="P141">
        <v>0</v>
      </c>
      <c r="Q141">
        <v>0</v>
      </c>
      <c r="R141">
        <v>0</v>
      </c>
      <c r="S141">
        <v>1</v>
      </c>
      <c r="T141">
        <v>0</v>
      </c>
      <c r="U141">
        <v>0</v>
      </c>
      <c r="V141">
        <v>1</v>
      </c>
      <c r="W141">
        <v>0</v>
      </c>
      <c r="X141">
        <v>0</v>
      </c>
      <c r="Y141">
        <v>0</v>
      </c>
      <c r="Z141">
        <v>0</v>
      </c>
    </row>
    <row r="142" spans="1:26" x14ac:dyDescent="0.25">
      <c r="A142">
        <v>20</v>
      </c>
      <c r="B142">
        <v>9</v>
      </c>
      <c r="C142">
        <v>4</v>
      </c>
      <c r="D142">
        <v>315</v>
      </c>
      <c r="E142">
        <v>8</v>
      </c>
      <c r="F142">
        <v>1</v>
      </c>
      <c r="G142">
        <v>0</v>
      </c>
      <c r="H142">
        <v>0</v>
      </c>
      <c r="I142">
        <v>0</v>
      </c>
      <c r="J142">
        <v>0</v>
      </c>
      <c r="K142">
        <v>0</v>
      </c>
      <c r="L142">
        <v>1</v>
      </c>
      <c r="M142">
        <v>0</v>
      </c>
      <c r="N142">
        <v>1</v>
      </c>
      <c r="O142">
        <v>0</v>
      </c>
      <c r="P142">
        <v>0</v>
      </c>
      <c r="Q142">
        <v>0</v>
      </c>
      <c r="R142">
        <v>0</v>
      </c>
      <c r="S142">
        <v>1</v>
      </c>
      <c r="T142">
        <v>0</v>
      </c>
      <c r="U142">
        <v>0</v>
      </c>
      <c r="V142">
        <v>0</v>
      </c>
      <c r="W142">
        <v>0</v>
      </c>
      <c r="X142">
        <v>0</v>
      </c>
      <c r="Y142">
        <v>1</v>
      </c>
      <c r="Z142">
        <v>0</v>
      </c>
    </row>
    <row r="143" spans="1:26" x14ac:dyDescent="0.25">
      <c r="A143">
        <v>48</v>
      </c>
      <c r="B143">
        <v>8</v>
      </c>
      <c r="C143">
        <v>4</v>
      </c>
      <c r="D143">
        <v>2916</v>
      </c>
      <c r="E143">
        <v>6</v>
      </c>
      <c r="F143">
        <v>0</v>
      </c>
      <c r="G143">
        <v>0</v>
      </c>
      <c r="H143">
        <v>0</v>
      </c>
      <c r="I143">
        <v>1</v>
      </c>
      <c r="J143">
        <v>0</v>
      </c>
      <c r="K143">
        <v>0</v>
      </c>
      <c r="L143">
        <v>1</v>
      </c>
      <c r="M143">
        <v>0</v>
      </c>
      <c r="N143">
        <v>0</v>
      </c>
      <c r="O143">
        <v>1</v>
      </c>
      <c r="P143">
        <v>0</v>
      </c>
      <c r="Q143">
        <v>0</v>
      </c>
      <c r="R143">
        <v>0</v>
      </c>
      <c r="S143">
        <v>1</v>
      </c>
      <c r="T143">
        <v>0</v>
      </c>
      <c r="U143">
        <v>1</v>
      </c>
      <c r="V143">
        <v>0</v>
      </c>
      <c r="W143">
        <v>0</v>
      </c>
      <c r="X143">
        <v>0</v>
      </c>
      <c r="Y143">
        <v>0</v>
      </c>
      <c r="Z143">
        <v>0</v>
      </c>
    </row>
    <row r="144" spans="1:26" x14ac:dyDescent="0.25">
      <c r="A144">
        <v>56</v>
      </c>
      <c r="B144">
        <v>7</v>
      </c>
      <c r="C144">
        <v>3</v>
      </c>
      <c r="D144">
        <v>315</v>
      </c>
      <c r="E144">
        <v>7</v>
      </c>
      <c r="F144">
        <v>0</v>
      </c>
      <c r="G144">
        <v>1</v>
      </c>
      <c r="H144">
        <v>0</v>
      </c>
      <c r="I144">
        <v>0</v>
      </c>
      <c r="J144">
        <v>0</v>
      </c>
      <c r="K144">
        <v>1</v>
      </c>
      <c r="L144">
        <v>0</v>
      </c>
      <c r="M144">
        <v>0</v>
      </c>
      <c r="N144">
        <v>1</v>
      </c>
      <c r="O144">
        <v>0</v>
      </c>
      <c r="P144">
        <v>0</v>
      </c>
      <c r="Q144">
        <v>0</v>
      </c>
      <c r="R144">
        <v>0</v>
      </c>
      <c r="S144">
        <v>1</v>
      </c>
      <c r="T144">
        <v>0</v>
      </c>
      <c r="U144">
        <v>0</v>
      </c>
      <c r="V144">
        <v>0</v>
      </c>
      <c r="W144">
        <v>1</v>
      </c>
      <c r="X144">
        <v>0</v>
      </c>
      <c r="Y144">
        <v>0</v>
      </c>
      <c r="Z144">
        <v>0</v>
      </c>
    </row>
    <row r="145" spans="1:26" x14ac:dyDescent="0.25">
      <c r="A145">
        <v>12</v>
      </c>
      <c r="B145">
        <v>4</v>
      </c>
      <c r="C145">
        <v>3</v>
      </c>
      <c r="D145">
        <v>2884</v>
      </c>
      <c r="E145">
        <v>1</v>
      </c>
      <c r="F145">
        <v>0</v>
      </c>
      <c r="G145">
        <v>0</v>
      </c>
      <c r="H145">
        <v>1</v>
      </c>
      <c r="I145">
        <v>0</v>
      </c>
      <c r="J145">
        <v>0</v>
      </c>
      <c r="K145">
        <v>1</v>
      </c>
      <c r="L145">
        <v>0</v>
      </c>
      <c r="M145">
        <v>1</v>
      </c>
      <c r="N145">
        <v>0</v>
      </c>
      <c r="O145">
        <v>1</v>
      </c>
      <c r="P145">
        <v>0</v>
      </c>
      <c r="Q145">
        <v>1</v>
      </c>
      <c r="R145">
        <v>0</v>
      </c>
      <c r="S145">
        <v>0</v>
      </c>
      <c r="T145">
        <v>1</v>
      </c>
      <c r="U145">
        <v>0</v>
      </c>
      <c r="V145">
        <v>0</v>
      </c>
      <c r="W145">
        <v>0</v>
      </c>
      <c r="X145">
        <v>0</v>
      </c>
      <c r="Y145">
        <v>0</v>
      </c>
      <c r="Z145">
        <v>0</v>
      </c>
    </row>
    <row r="146" spans="1:26" x14ac:dyDescent="0.25">
      <c r="A146">
        <v>35</v>
      </c>
      <c r="B146">
        <v>3</v>
      </c>
      <c r="C146">
        <v>5</v>
      </c>
      <c r="D146">
        <v>826</v>
      </c>
      <c r="E146">
        <v>1</v>
      </c>
      <c r="F146">
        <v>0</v>
      </c>
      <c r="G146">
        <v>0</v>
      </c>
      <c r="H146">
        <v>0</v>
      </c>
      <c r="I146">
        <v>1</v>
      </c>
      <c r="J146">
        <v>0</v>
      </c>
      <c r="K146">
        <v>0</v>
      </c>
      <c r="L146">
        <v>1</v>
      </c>
      <c r="M146">
        <v>0</v>
      </c>
      <c r="N146">
        <v>0</v>
      </c>
      <c r="O146">
        <v>1</v>
      </c>
      <c r="P146">
        <v>0</v>
      </c>
      <c r="Q146">
        <v>0</v>
      </c>
      <c r="R146">
        <v>1</v>
      </c>
      <c r="S146">
        <v>0</v>
      </c>
      <c r="T146">
        <v>0</v>
      </c>
      <c r="U146">
        <v>1</v>
      </c>
      <c r="V146">
        <v>0</v>
      </c>
      <c r="W146">
        <v>0</v>
      </c>
      <c r="X146">
        <v>0</v>
      </c>
      <c r="Y146">
        <v>0</v>
      </c>
      <c r="Z146">
        <v>0</v>
      </c>
    </row>
    <row r="147" spans="1:26" x14ac:dyDescent="0.25">
      <c r="A147">
        <v>70</v>
      </c>
      <c r="B147">
        <v>27</v>
      </c>
      <c r="C147">
        <v>4</v>
      </c>
      <c r="D147">
        <v>3981</v>
      </c>
      <c r="E147">
        <v>6</v>
      </c>
      <c r="F147">
        <v>0</v>
      </c>
      <c r="G147">
        <v>1</v>
      </c>
      <c r="H147">
        <v>0</v>
      </c>
      <c r="I147">
        <v>0</v>
      </c>
      <c r="J147">
        <v>1</v>
      </c>
      <c r="K147">
        <v>0</v>
      </c>
      <c r="L147">
        <v>0</v>
      </c>
      <c r="M147">
        <v>0</v>
      </c>
      <c r="N147">
        <v>1</v>
      </c>
      <c r="O147">
        <v>0</v>
      </c>
      <c r="P147">
        <v>0</v>
      </c>
      <c r="Q147">
        <v>0</v>
      </c>
      <c r="R147">
        <v>0</v>
      </c>
      <c r="S147">
        <v>1</v>
      </c>
      <c r="T147">
        <v>1</v>
      </c>
      <c r="U147">
        <v>0</v>
      </c>
      <c r="V147">
        <v>0</v>
      </c>
      <c r="W147">
        <v>0</v>
      </c>
      <c r="X147">
        <v>0</v>
      </c>
      <c r="Y147">
        <v>0</v>
      </c>
      <c r="Z147">
        <v>0</v>
      </c>
    </row>
    <row r="148" spans="1:26" x14ac:dyDescent="0.25">
      <c r="A148">
        <v>53</v>
      </c>
      <c r="B148">
        <v>25</v>
      </c>
      <c r="C148">
        <v>5</v>
      </c>
      <c r="D148">
        <v>1282</v>
      </c>
      <c r="E148">
        <v>3</v>
      </c>
      <c r="F148">
        <v>1</v>
      </c>
      <c r="G148">
        <v>0</v>
      </c>
      <c r="H148">
        <v>0</v>
      </c>
      <c r="I148">
        <v>0</v>
      </c>
      <c r="J148">
        <v>0</v>
      </c>
      <c r="K148">
        <v>0</v>
      </c>
      <c r="L148">
        <v>1</v>
      </c>
      <c r="M148">
        <v>0</v>
      </c>
      <c r="N148">
        <v>0</v>
      </c>
      <c r="O148">
        <v>0</v>
      </c>
      <c r="P148">
        <v>1</v>
      </c>
      <c r="Q148">
        <v>0</v>
      </c>
      <c r="R148">
        <v>0</v>
      </c>
      <c r="S148">
        <v>1</v>
      </c>
      <c r="T148">
        <v>0</v>
      </c>
      <c r="U148">
        <v>0</v>
      </c>
      <c r="V148">
        <v>0</v>
      </c>
      <c r="W148">
        <v>1</v>
      </c>
      <c r="X148">
        <v>0</v>
      </c>
      <c r="Y148">
        <v>0</v>
      </c>
      <c r="Z148">
        <v>0</v>
      </c>
    </row>
    <row r="149" spans="1:26" x14ac:dyDescent="0.25">
      <c r="A149">
        <v>24</v>
      </c>
      <c r="B149">
        <v>24</v>
      </c>
      <c r="C149">
        <v>2</v>
      </c>
      <c r="D149">
        <v>2959</v>
      </c>
      <c r="E149">
        <v>7</v>
      </c>
      <c r="F149">
        <v>0</v>
      </c>
      <c r="G149">
        <v>1</v>
      </c>
      <c r="H149">
        <v>0</v>
      </c>
      <c r="I149">
        <v>0</v>
      </c>
      <c r="J149">
        <v>0</v>
      </c>
      <c r="K149">
        <v>0</v>
      </c>
      <c r="L149">
        <v>1</v>
      </c>
      <c r="M149">
        <v>0</v>
      </c>
      <c r="N149">
        <v>0</v>
      </c>
      <c r="O149">
        <v>0</v>
      </c>
      <c r="P149">
        <v>1</v>
      </c>
      <c r="Q149">
        <v>0</v>
      </c>
      <c r="R149">
        <v>1</v>
      </c>
      <c r="S149">
        <v>0</v>
      </c>
      <c r="T149">
        <v>0</v>
      </c>
      <c r="U149">
        <v>0</v>
      </c>
      <c r="V149">
        <v>0</v>
      </c>
      <c r="W149">
        <v>0</v>
      </c>
      <c r="X149">
        <v>0</v>
      </c>
      <c r="Y149">
        <v>0</v>
      </c>
      <c r="Z149">
        <v>1</v>
      </c>
    </row>
    <row r="150" spans="1:26" x14ac:dyDescent="0.25">
      <c r="A150">
        <v>56</v>
      </c>
      <c r="B150">
        <v>18</v>
      </c>
      <c r="C150">
        <v>5</v>
      </c>
      <c r="D150">
        <v>315</v>
      </c>
      <c r="E150">
        <v>4</v>
      </c>
      <c r="F150">
        <v>0</v>
      </c>
      <c r="G150">
        <v>0</v>
      </c>
      <c r="H150">
        <v>0</v>
      </c>
      <c r="I150">
        <v>1</v>
      </c>
      <c r="J150">
        <v>1</v>
      </c>
      <c r="K150">
        <v>0</v>
      </c>
      <c r="L150">
        <v>0</v>
      </c>
      <c r="M150">
        <v>0</v>
      </c>
      <c r="N150">
        <v>1</v>
      </c>
      <c r="O150">
        <v>0</v>
      </c>
      <c r="P150">
        <v>0</v>
      </c>
      <c r="Q150">
        <v>0</v>
      </c>
      <c r="R150">
        <v>0</v>
      </c>
      <c r="S150">
        <v>1</v>
      </c>
      <c r="T150">
        <v>0</v>
      </c>
      <c r="U150">
        <v>0</v>
      </c>
      <c r="V150">
        <v>1</v>
      </c>
      <c r="W150">
        <v>0</v>
      </c>
      <c r="X150">
        <v>0</v>
      </c>
      <c r="Y150">
        <v>0</v>
      </c>
      <c r="Z150">
        <v>0</v>
      </c>
    </row>
    <row r="151" spans="1:26" x14ac:dyDescent="0.25">
      <c r="A151">
        <v>78</v>
      </c>
      <c r="B151">
        <v>17</v>
      </c>
      <c r="C151">
        <v>4</v>
      </c>
      <c r="D151">
        <v>1228</v>
      </c>
      <c r="E151">
        <v>5</v>
      </c>
      <c r="F151">
        <v>0</v>
      </c>
      <c r="G151">
        <v>1</v>
      </c>
      <c r="H151">
        <v>0</v>
      </c>
      <c r="I151">
        <v>0</v>
      </c>
      <c r="J151">
        <v>0</v>
      </c>
      <c r="K151">
        <v>0</v>
      </c>
      <c r="L151">
        <v>1</v>
      </c>
      <c r="M151">
        <v>0</v>
      </c>
      <c r="N151">
        <v>1</v>
      </c>
      <c r="O151">
        <v>0</v>
      </c>
      <c r="P151">
        <v>0</v>
      </c>
      <c r="Q151">
        <v>0</v>
      </c>
      <c r="R151">
        <v>0</v>
      </c>
      <c r="S151">
        <v>1</v>
      </c>
      <c r="T151">
        <v>0</v>
      </c>
      <c r="U151">
        <v>1</v>
      </c>
      <c r="V151">
        <v>0</v>
      </c>
      <c r="W151">
        <v>0</v>
      </c>
      <c r="X151">
        <v>0</v>
      </c>
      <c r="Y151">
        <v>0</v>
      </c>
      <c r="Z151">
        <v>0</v>
      </c>
    </row>
    <row r="152" spans="1:26" x14ac:dyDescent="0.25">
      <c r="A152">
        <v>78</v>
      </c>
      <c r="B152">
        <v>17</v>
      </c>
      <c r="C152">
        <v>5</v>
      </c>
      <c r="D152">
        <v>1282</v>
      </c>
      <c r="E152">
        <v>5</v>
      </c>
      <c r="F152">
        <v>0</v>
      </c>
      <c r="G152">
        <v>1</v>
      </c>
      <c r="H152">
        <v>0</v>
      </c>
      <c r="I152">
        <v>0</v>
      </c>
      <c r="J152">
        <v>0</v>
      </c>
      <c r="K152">
        <v>0</v>
      </c>
      <c r="L152">
        <v>1</v>
      </c>
      <c r="M152">
        <v>0</v>
      </c>
      <c r="N152">
        <v>0</v>
      </c>
      <c r="O152">
        <v>0</v>
      </c>
      <c r="P152">
        <v>1</v>
      </c>
      <c r="Q152">
        <v>0</v>
      </c>
      <c r="R152">
        <v>0</v>
      </c>
      <c r="S152">
        <v>1</v>
      </c>
      <c r="T152">
        <v>0</v>
      </c>
      <c r="U152">
        <v>1</v>
      </c>
      <c r="V152">
        <v>0</v>
      </c>
      <c r="W152">
        <v>0</v>
      </c>
      <c r="X152">
        <v>0</v>
      </c>
      <c r="Y152">
        <v>0</v>
      </c>
      <c r="Z152">
        <v>0</v>
      </c>
    </row>
    <row r="153" spans="1:26" x14ac:dyDescent="0.25">
      <c r="A153">
        <v>50</v>
      </c>
      <c r="B153">
        <v>14</v>
      </c>
      <c r="C153">
        <v>5</v>
      </c>
      <c r="D153">
        <v>3348</v>
      </c>
      <c r="E153">
        <v>7</v>
      </c>
      <c r="F153">
        <v>1</v>
      </c>
      <c r="G153">
        <v>0</v>
      </c>
      <c r="H153">
        <v>0</v>
      </c>
      <c r="I153">
        <v>0</v>
      </c>
      <c r="J153">
        <v>1</v>
      </c>
      <c r="K153">
        <v>0</v>
      </c>
      <c r="L153">
        <v>0</v>
      </c>
      <c r="M153">
        <v>0</v>
      </c>
      <c r="N153">
        <v>0</v>
      </c>
      <c r="O153">
        <v>0</v>
      </c>
      <c r="P153">
        <v>1</v>
      </c>
      <c r="Q153">
        <v>0</v>
      </c>
      <c r="R153">
        <v>0</v>
      </c>
      <c r="S153">
        <v>1</v>
      </c>
      <c r="T153">
        <v>0</v>
      </c>
      <c r="U153">
        <v>0</v>
      </c>
      <c r="V153">
        <v>0</v>
      </c>
      <c r="W153">
        <v>0</v>
      </c>
      <c r="X153">
        <v>0</v>
      </c>
      <c r="Y153">
        <v>0</v>
      </c>
      <c r="Z153">
        <v>1</v>
      </c>
    </row>
    <row r="154" spans="1:26" x14ac:dyDescent="0.25">
      <c r="A154">
        <v>31</v>
      </c>
      <c r="B154">
        <v>11</v>
      </c>
      <c r="C154">
        <v>5</v>
      </c>
      <c r="D154">
        <v>315</v>
      </c>
      <c r="E154">
        <v>2</v>
      </c>
      <c r="F154">
        <v>0</v>
      </c>
      <c r="G154">
        <v>1</v>
      </c>
      <c r="H154">
        <v>0</v>
      </c>
      <c r="I154">
        <v>0</v>
      </c>
      <c r="J154">
        <v>0</v>
      </c>
      <c r="K154">
        <v>0</v>
      </c>
      <c r="L154">
        <v>1</v>
      </c>
      <c r="M154">
        <v>0</v>
      </c>
      <c r="N154">
        <v>1</v>
      </c>
      <c r="O154">
        <v>0</v>
      </c>
      <c r="P154">
        <v>0</v>
      </c>
      <c r="Q154">
        <v>0</v>
      </c>
      <c r="R154">
        <v>0</v>
      </c>
      <c r="S154">
        <v>1</v>
      </c>
      <c r="T154">
        <v>0</v>
      </c>
      <c r="U154">
        <v>0</v>
      </c>
      <c r="V154">
        <v>0</v>
      </c>
      <c r="W154">
        <v>0</v>
      </c>
      <c r="X154">
        <v>0</v>
      </c>
      <c r="Y154">
        <v>0</v>
      </c>
      <c r="Z154">
        <v>1</v>
      </c>
    </row>
    <row r="155" spans="1:26" x14ac:dyDescent="0.25">
      <c r="A155">
        <v>20</v>
      </c>
      <c r="B155">
        <v>9</v>
      </c>
      <c r="C155">
        <v>3</v>
      </c>
      <c r="D155">
        <v>3773</v>
      </c>
      <c r="E155">
        <v>4</v>
      </c>
      <c r="F155">
        <v>0</v>
      </c>
      <c r="G155">
        <v>1</v>
      </c>
      <c r="H155">
        <v>0</v>
      </c>
      <c r="I155">
        <v>0</v>
      </c>
      <c r="J155">
        <v>1</v>
      </c>
      <c r="K155">
        <v>0</v>
      </c>
      <c r="L155">
        <v>0</v>
      </c>
      <c r="M155">
        <v>0</v>
      </c>
      <c r="N155">
        <v>1</v>
      </c>
      <c r="O155">
        <v>0</v>
      </c>
      <c r="P155">
        <v>0</v>
      </c>
      <c r="Q155">
        <v>1</v>
      </c>
      <c r="R155">
        <v>0</v>
      </c>
      <c r="S155">
        <v>0</v>
      </c>
      <c r="T155">
        <v>0</v>
      </c>
      <c r="U155">
        <v>0</v>
      </c>
      <c r="V155">
        <v>1</v>
      </c>
      <c r="W155">
        <v>0</v>
      </c>
      <c r="X155">
        <v>0</v>
      </c>
      <c r="Y155">
        <v>0</v>
      </c>
      <c r="Z155">
        <v>0</v>
      </c>
    </row>
    <row r="156" spans="1:26" x14ac:dyDescent="0.25">
      <c r="A156">
        <v>19</v>
      </c>
      <c r="B156">
        <v>8</v>
      </c>
      <c r="C156">
        <v>5</v>
      </c>
      <c r="D156">
        <v>4027</v>
      </c>
      <c r="E156">
        <v>10</v>
      </c>
      <c r="F156">
        <v>0</v>
      </c>
      <c r="G156">
        <v>1</v>
      </c>
      <c r="H156">
        <v>0</v>
      </c>
      <c r="I156">
        <v>0</v>
      </c>
      <c r="J156">
        <v>0</v>
      </c>
      <c r="K156">
        <v>1</v>
      </c>
      <c r="L156">
        <v>0</v>
      </c>
      <c r="M156">
        <v>0</v>
      </c>
      <c r="N156">
        <v>0</v>
      </c>
      <c r="O156">
        <v>0</v>
      </c>
      <c r="P156">
        <v>1</v>
      </c>
      <c r="Q156">
        <v>0</v>
      </c>
      <c r="R156">
        <v>0</v>
      </c>
      <c r="S156">
        <v>1</v>
      </c>
      <c r="T156">
        <v>0</v>
      </c>
      <c r="U156">
        <v>0</v>
      </c>
      <c r="V156">
        <v>0</v>
      </c>
      <c r="W156">
        <v>0</v>
      </c>
      <c r="X156">
        <v>0</v>
      </c>
      <c r="Y156">
        <v>0</v>
      </c>
      <c r="Z156">
        <v>1</v>
      </c>
    </row>
    <row r="157" spans="1:26" x14ac:dyDescent="0.25">
      <c r="A157">
        <v>41</v>
      </c>
      <c r="B157">
        <v>7</v>
      </c>
      <c r="C157">
        <v>4</v>
      </c>
      <c r="D157">
        <v>3003</v>
      </c>
      <c r="E157">
        <v>3</v>
      </c>
      <c r="F157">
        <v>0</v>
      </c>
      <c r="G157">
        <v>0</v>
      </c>
      <c r="H157">
        <v>1</v>
      </c>
      <c r="I157">
        <v>0</v>
      </c>
      <c r="J157">
        <v>0</v>
      </c>
      <c r="K157">
        <v>0</v>
      </c>
      <c r="L157">
        <v>1</v>
      </c>
      <c r="M157">
        <v>0</v>
      </c>
      <c r="N157">
        <v>0</v>
      </c>
      <c r="O157">
        <v>1</v>
      </c>
      <c r="P157">
        <v>0</v>
      </c>
      <c r="Q157">
        <v>0</v>
      </c>
      <c r="R157">
        <v>1</v>
      </c>
      <c r="S157">
        <v>0</v>
      </c>
      <c r="T157">
        <v>0</v>
      </c>
      <c r="U157">
        <v>1</v>
      </c>
      <c r="V157">
        <v>0</v>
      </c>
      <c r="W157">
        <v>0</v>
      </c>
      <c r="X157">
        <v>0</v>
      </c>
      <c r="Y157">
        <v>0</v>
      </c>
      <c r="Z157">
        <v>0</v>
      </c>
    </row>
    <row r="158" spans="1:26" x14ac:dyDescent="0.25">
      <c r="A158">
        <v>64</v>
      </c>
      <c r="B158">
        <v>33</v>
      </c>
      <c r="C158">
        <v>4</v>
      </c>
      <c r="D158">
        <v>732</v>
      </c>
      <c r="E158">
        <v>7</v>
      </c>
      <c r="F158">
        <v>1</v>
      </c>
      <c r="G158">
        <v>0</v>
      </c>
      <c r="H158">
        <v>0</v>
      </c>
      <c r="I158">
        <v>0</v>
      </c>
      <c r="J158">
        <v>0</v>
      </c>
      <c r="K158">
        <v>1</v>
      </c>
      <c r="L158">
        <v>0</v>
      </c>
      <c r="M158">
        <v>0</v>
      </c>
      <c r="N158">
        <v>1</v>
      </c>
      <c r="O158">
        <v>0</v>
      </c>
      <c r="P158">
        <v>0</v>
      </c>
      <c r="Q158">
        <v>0</v>
      </c>
      <c r="R158">
        <v>1</v>
      </c>
      <c r="S158">
        <v>0</v>
      </c>
      <c r="T158">
        <v>0</v>
      </c>
      <c r="U158">
        <v>0</v>
      </c>
      <c r="V158">
        <v>0</v>
      </c>
      <c r="W158">
        <v>0</v>
      </c>
      <c r="X158">
        <v>1</v>
      </c>
      <c r="Y158">
        <v>0</v>
      </c>
      <c r="Z158">
        <v>0</v>
      </c>
    </row>
    <row r="159" spans="1:26" x14ac:dyDescent="0.25">
      <c r="A159">
        <v>50</v>
      </c>
      <c r="B159">
        <v>15</v>
      </c>
      <c r="C159">
        <v>4</v>
      </c>
      <c r="D159">
        <v>2916</v>
      </c>
      <c r="E159">
        <v>3</v>
      </c>
      <c r="F159">
        <v>0</v>
      </c>
      <c r="G159">
        <v>1</v>
      </c>
      <c r="H159">
        <v>0</v>
      </c>
      <c r="I159">
        <v>0</v>
      </c>
      <c r="J159">
        <v>0</v>
      </c>
      <c r="K159">
        <v>0</v>
      </c>
      <c r="L159">
        <v>1</v>
      </c>
      <c r="M159">
        <v>0</v>
      </c>
      <c r="N159">
        <v>0</v>
      </c>
      <c r="O159">
        <v>1</v>
      </c>
      <c r="P159">
        <v>0</v>
      </c>
      <c r="Q159">
        <v>0</v>
      </c>
      <c r="R159">
        <v>0</v>
      </c>
      <c r="S159">
        <v>1</v>
      </c>
      <c r="T159">
        <v>1</v>
      </c>
      <c r="U159">
        <v>0</v>
      </c>
      <c r="V159">
        <v>0</v>
      </c>
      <c r="W159">
        <v>0</v>
      </c>
      <c r="X159">
        <v>0</v>
      </c>
      <c r="Y159">
        <v>0</v>
      </c>
      <c r="Z159">
        <v>0</v>
      </c>
    </row>
    <row r="160" spans="1:26" x14ac:dyDescent="0.25">
      <c r="A160">
        <v>16</v>
      </c>
      <c r="B160">
        <v>14</v>
      </c>
      <c r="C160">
        <v>5</v>
      </c>
      <c r="D160">
        <v>2034</v>
      </c>
      <c r="E160">
        <v>7</v>
      </c>
      <c r="F160">
        <v>0</v>
      </c>
      <c r="G160">
        <v>0</v>
      </c>
      <c r="H160">
        <v>1</v>
      </c>
      <c r="I160">
        <v>0</v>
      </c>
      <c r="J160">
        <v>0</v>
      </c>
      <c r="K160">
        <v>0</v>
      </c>
      <c r="L160">
        <v>1</v>
      </c>
      <c r="M160">
        <v>0</v>
      </c>
      <c r="N160">
        <v>0</v>
      </c>
      <c r="O160">
        <v>0</v>
      </c>
      <c r="P160">
        <v>1</v>
      </c>
      <c r="Q160">
        <v>0</v>
      </c>
      <c r="R160">
        <v>0</v>
      </c>
      <c r="S160">
        <v>1</v>
      </c>
      <c r="T160">
        <v>1</v>
      </c>
      <c r="U160">
        <v>0</v>
      </c>
      <c r="V160">
        <v>0</v>
      </c>
      <c r="W160">
        <v>0</v>
      </c>
      <c r="X160">
        <v>0</v>
      </c>
      <c r="Y160">
        <v>0</v>
      </c>
      <c r="Z160">
        <v>0</v>
      </c>
    </row>
    <row r="161" spans="1:26" x14ac:dyDescent="0.25">
      <c r="A161">
        <v>23</v>
      </c>
      <c r="B161">
        <v>9</v>
      </c>
      <c r="C161">
        <v>3</v>
      </c>
      <c r="D161">
        <v>787</v>
      </c>
      <c r="E161">
        <v>4</v>
      </c>
      <c r="F161">
        <v>0</v>
      </c>
      <c r="G161">
        <v>0</v>
      </c>
      <c r="H161">
        <v>0</v>
      </c>
      <c r="I161">
        <v>1</v>
      </c>
      <c r="J161">
        <v>0</v>
      </c>
      <c r="K161">
        <v>1</v>
      </c>
      <c r="L161">
        <v>0</v>
      </c>
      <c r="M161">
        <v>1</v>
      </c>
      <c r="N161">
        <v>1</v>
      </c>
      <c r="O161">
        <v>0</v>
      </c>
      <c r="P161">
        <v>0</v>
      </c>
      <c r="Q161">
        <v>1</v>
      </c>
      <c r="R161">
        <v>0</v>
      </c>
      <c r="S161">
        <v>0</v>
      </c>
      <c r="T161">
        <v>0</v>
      </c>
      <c r="U161">
        <v>1</v>
      </c>
      <c r="V161">
        <v>0</v>
      </c>
      <c r="W161">
        <v>0</v>
      </c>
      <c r="X161">
        <v>0</v>
      </c>
      <c r="Y161">
        <v>0</v>
      </c>
      <c r="Z161">
        <v>0</v>
      </c>
    </row>
    <row r="162" spans="1:26" x14ac:dyDescent="0.25">
      <c r="A162">
        <v>49</v>
      </c>
      <c r="B162">
        <v>8</v>
      </c>
      <c r="C162">
        <v>5</v>
      </c>
      <c r="D162">
        <v>1282</v>
      </c>
      <c r="E162">
        <v>5</v>
      </c>
      <c r="F162">
        <v>0</v>
      </c>
      <c r="G162">
        <v>0</v>
      </c>
      <c r="H162">
        <v>1</v>
      </c>
      <c r="I162">
        <v>0</v>
      </c>
      <c r="J162">
        <v>0</v>
      </c>
      <c r="K162">
        <v>0</v>
      </c>
      <c r="L162">
        <v>1</v>
      </c>
      <c r="M162">
        <v>0</v>
      </c>
      <c r="N162">
        <v>0</v>
      </c>
      <c r="O162">
        <v>0</v>
      </c>
      <c r="P162">
        <v>1</v>
      </c>
      <c r="Q162">
        <v>0</v>
      </c>
      <c r="R162">
        <v>0</v>
      </c>
      <c r="S162">
        <v>1</v>
      </c>
      <c r="T162">
        <v>0</v>
      </c>
      <c r="U162">
        <v>1</v>
      </c>
      <c r="V162">
        <v>0</v>
      </c>
      <c r="W162">
        <v>0</v>
      </c>
      <c r="X162">
        <v>0</v>
      </c>
      <c r="Y162">
        <v>0</v>
      </c>
      <c r="Z162">
        <v>0</v>
      </c>
    </row>
    <row r="163" spans="1:26" x14ac:dyDescent="0.25">
      <c r="A163">
        <v>28</v>
      </c>
      <c r="B163">
        <v>5</v>
      </c>
      <c r="C163">
        <v>5</v>
      </c>
      <c r="D163">
        <v>3933</v>
      </c>
      <c r="E163">
        <v>5</v>
      </c>
      <c r="F163">
        <v>0</v>
      </c>
      <c r="G163">
        <v>1</v>
      </c>
      <c r="H163">
        <v>0</v>
      </c>
      <c r="I163">
        <v>0</v>
      </c>
      <c r="J163">
        <v>0</v>
      </c>
      <c r="K163">
        <v>0</v>
      </c>
      <c r="L163">
        <v>1</v>
      </c>
      <c r="M163">
        <v>0</v>
      </c>
      <c r="N163">
        <v>0</v>
      </c>
      <c r="O163">
        <v>0</v>
      </c>
      <c r="P163">
        <v>1</v>
      </c>
      <c r="Q163">
        <v>0</v>
      </c>
      <c r="R163">
        <v>0</v>
      </c>
      <c r="S163">
        <v>1</v>
      </c>
      <c r="T163">
        <v>1</v>
      </c>
      <c r="U163">
        <v>0</v>
      </c>
      <c r="V163">
        <v>0</v>
      </c>
      <c r="W163">
        <v>0</v>
      </c>
      <c r="X163">
        <v>0</v>
      </c>
      <c r="Y163">
        <v>0</v>
      </c>
      <c r="Z163">
        <v>0</v>
      </c>
    </row>
    <row r="164" spans="1:26" x14ac:dyDescent="0.25">
      <c r="A164">
        <v>23</v>
      </c>
      <c r="B164">
        <v>21</v>
      </c>
      <c r="C164">
        <v>3</v>
      </c>
      <c r="D164">
        <v>826</v>
      </c>
      <c r="E164">
        <v>7</v>
      </c>
      <c r="F164">
        <v>0</v>
      </c>
      <c r="G164">
        <v>1</v>
      </c>
      <c r="H164">
        <v>0</v>
      </c>
      <c r="I164">
        <v>0</v>
      </c>
      <c r="J164">
        <v>0</v>
      </c>
      <c r="K164">
        <v>1</v>
      </c>
      <c r="L164">
        <v>0</v>
      </c>
      <c r="M164">
        <v>0</v>
      </c>
      <c r="N164">
        <v>0</v>
      </c>
      <c r="O164">
        <v>1</v>
      </c>
      <c r="P164">
        <v>0</v>
      </c>
      <c r="Q164">
        <v>0</v>
      </c>
      <c r="R164">
        <v>0</v>
      </c>
      <c r="S164">
        <v>1</v>
      </c>
      <c r="T164">
        <v>0</v>
      </c>
      <c r="U164">
        <v>0</v>
      </c>
      <c r="V164">
        <v>0</v>
      </c>
      <c r="W164">
        <v>0</v>
      </c>
      <c r="X164">
        <v>0</v>
      </c>
      <c r="Y164">
        <v>0</v>
      </c>
      <c r="Z164">
        <v>1</v>
      </c>
    </row>
    <row r="165" spans="1:26" x14ac:dyDescent="0.25">
      <c r="A165">
        <v>108</v>
      </c>
      <c r="B165">
        <v>20</v>
      </c>
      <c r="C165">
        <v>3</v>
      </c>
      <c r="D165">
        <v>716</v>
      </c>
      <c r="E165">
        <v>5</v>
      </c>
      <c r="F165">
        <v>0</v>
      </c>
      <c r="G165">
        <v>0</v>
      </c>
      <c r="H165">
        <v>1</v>
      </c>
      <c r="I165">
        <v>0</v>
      </c>
      <c r="J165">
        <v>1</v>
      </c>
      <c r="K165">
        <v>0</v>
      </c>
      <c r="L165">
        <v>0</v>
      </c>
      <c r="M165">
        <v>1</v>
      </c>
      <c r="N165">
        <v>1</v>
      </c>
      <c r="O165">
        <v>0</v>
      </c>
      <c r="P165">
        <v>0</v>
      </c>
      <c r="Q165">
        <v>0</v>
      </c>
      <c r="R165">
        <v>0</v>
      </c>
      <c r="S165">
        <v>1</v>
      </c>
      <c r="T165">
        <v>0</v>
      </c>
      <c r="U165">
        <v>0</v>
      </c>
      <c r="V165">
        <v>0</v>
      </c>
      <c r="W165">
        <v>0</v>
      </c>
      <c r="X165">
        <v>1</v>
      </c>
      <c r="Y165">
        <v>0</v>
      </c>
      <c r="Z165">
        <v>0</v>
      </c>
    </row>
    <row r="166" spans="1:26" x14ac:dyDescent="0.25">
      <c r="A166">
        <v>73</v>
      </c>
      <c r="B166">
        <v>13</v>
      </c>
      <c r="C166">
        <v>4</v>
      </c>
      <c r="D166">
        <v>3003</v>
      </c>
      <c r="E166">
        <v>2</v>
      </c>
      <c r="F166">
        <v>1</v>
      </c>
      <c r="G166">
        <v>0</v>
      </c>
      <c r="H166">
        <v>0</v>
      </c>
      <c r="I166">
        <v>0</v>
      </c>
      <c r="J166">
        <v>0</v>
      </c>
      <c r="K166">
        <v>0</v>
      </c>
      <c r="L166">
        <v>1</v>
      </c>
      <c r="M166">
        <v>0</v>
      </c>
      <c r="N166">
        <v>0</v>
      </c>
      <c r="O166">
        <v>1</v>
      </c>
      <c r="P166">
        <v>0</v>
      </c>
      <c r="Q166">
        <v>0</v>
      </c>
      <c r="R166">
        <v>0</v>
      </c>
      <c r="S166">
        <v>1</v>
      </c>
      <c r="T166">
        <v>0</v>
      </c>
      <c r="U166">
        <v>0</v>
      </c>
      <c r="V166">
        <v>0</v>
      </c>
      <c r="W166">
        <v>0</v>
      </c>
      <c r="X166">
        <v>0</v>
      </c>
      <c r="Y166">
        <v>1</v>
      </c>
      <c r="Z166">
        <v>0</v>
      </c>
    </row>
    <row r="167" spans="1:26" x14ac:dyDescent="0.25">
      <c r="A167">
        <v>32</v>
      </c>
      <c r="B167">
        <v>12</v>
      </c>
      <c r="C167">
        <v>4</v>
      </c>
      <c r="D167">
        <v>315</v>
      </c>
      <c r="E167">
        <v>5</v>
      </c>
      <c r="F167">
        <v>0</v>
      </c>
      <c r="G167">
        <v>1</v>
      </c>
      <c r="H167">
        <v>0</v>
      </c>
      <c r="I167">
        <v>0</v>
      </c>
      <c r="J167">
        <v>0</v>
      </c>
      <c r="K167">
        <v>0</v>
      </c>
      <c r="L167">
        <v>1</v>
      </c>
      <c r="M167">
        <v>0</v>
      </c>
      <c r="N167">
        <v>1</v>
      </c>
      <c r="O167">
        <v>0</v>
      </c>
      <c r="P167">
        <v>0</v>
      </c>
      <c r="Q167">
        <v>1</v>
      </c>
      <c r="R167">
        <v>0</v>
      </c>
      <c r="S167">
        <v>0</v>
      </c>
      <c r="T167">
        <v>0</v>
      </c>
      <c r="U167">
        <v>0</v>
      </c>
      <c r="V167">
        <v>0</v>
      </c>
      <c r="W167">
        <v>0</v>
      </c>
      <c r="X167">
        <v>0</v>
      </c>
      <c r="Y167">
        <v>0</v>
      </c>
      <c r="Z167">
        <v>1</v>
      </c>
    </row>
    <row r="168" spans="1:26" x14ac:dyDescent="0.25">
      <c r="A168">
        <v>42</v>
      </c>
      <c r="B168">
        <v>8</v>
      </c>
      <c r="C168">
        <v>4</v>
      </c>
      <c r="D168">
        <v>3025</v>
      </c>
      <c r="E168">
        <v>6</v>
      </c>
      <c r="F168">
        <v>0</v>
      </c>
      <c r="G168">
        <v>1</v>
      </c>
      <c r="H168">
        <v>0</v>
      </c>
      <c r="I168">
        <v>0</v>
      </c>
      <c r="J168">
        <v>1</v>
      </c>
      <c r="K168">
        <v>0</v>
      </c>
      <c r="L168">
        <v>0</v>
      </c>
      <c r="M168">
        <v>0</v>
      </c>
      <c r="N168">
        <v>0</v>
      </c>
      <c r="O168">
        <v>0</v>
      </c>
      <c r="P168">
        <v>1</v>
      </c>
      <c r="Q168">
        <v>0</v>
      </c>
      <c r="R168">
        <v>0</v>
      </c>
      <c r="S168">
        <v>1</v>
      </c>
      <c r="T168">
        <v>0</v>
      </c>
      <c r="U168">
        <v>1</v>
      </c>
      <c r="V168">
        <v>0</v>
      </c>
      <c r="W168">
        <v>0</v>
      </c>
      <c r="X168">
        <v>0</v>
      </c>
      <c r="Y168">
        <v>0</v>
      </c>
      <c r="Z168">
        <v>0</v>
      </c>
    </row>
    <row r="169" spans="1:26" x14ac:dyDescent="0.25">
      <c r="A169">
        <v>26</v>
      </c>
      <c r="B169">
        <v>7</v>
      </c>
      <c r="C169">
        <v>4</v>
      </c>
      <c r="D169">
        <v>188</v>
      </c>
      <c r="E169">
        <v>4</v>
      </c>
      <c r="F169">
        <v>1</v>
      </c>
      <c r="G169">
        <v>0</v>
      </c>
      <c r="H169">
        <v>0</v>
      </c>
      <c r="I169">
        <v>0</v>
      </c>
      <c r="J169">
        <v>0</v>
      </c>
      <c r="K169">
        <v>0</v>
      </c>
      <c r="L169">
        <v>1</v>
      </c>
      <c r="M169">
        <v>0</v>
      </c>
      <c r="N169">
        <v>0</v>
      </c>
      <c r="O169">
        <v>1</v>
      </c>
      <c r="P169">
        <v>0</v>
      </c>
      <c r="Q169">
        <v>0</v>
      </c>
      <c r="R169">
        <v>0</v>
      </c>
      <c r="S169">
        <v>1</v>
      </c>
      <c r="T169">
        <v>0</v>
      </c>
      <c r="U169">
        <v>0</v>
      </c>
      <c r="V169">
        <v>0</v>
      </c>
      <c r="W169">
        <v>0</v>
      </c>
      <c r="X169">
        <v>0</v>
      </c>
      <c r="Y169">
        <v>0</v>
      </c>
      <c r="Z169">
        <v>1</v>
      </c>
    </row>
    <row r="170" spans="1:26" x14ac:dyDescent="0.25">
      <c r="A170">
        <v>45</v>
      </c>
      <c r="B170">
        <v>6</v>
      </c>
      <c r="C170">
        <v>5</v>
      </c>
      <c r="D170">
        <v>315</v>
      </c>
      <c r="E170">
        <v>3</v>
      </c>
      <c r="F170">
        <v>0</v>
      </c>
      <c r="G170">
        <v>1</v>
      </c>
      <c r="H170">
        <v>0</v>
      </c>
      <c r="I170">
        <v>0</v>
      </c>
      <c r="J170">
        <v>0</v>
      </c>
      <c r="K170">
        <v>0</v>
      </c>
      <c r="L170">
        <v>1</v>
      </c>
      <c r="M170">
        <v>0</v>
      </c>
      <c r="N170">
        <v>1</v>
      </c>
      <c r="O170">
        <v>0</v>
      </c>
      <c r="P170">
        <v>0</v>
      </c>
      <c r="Q170">
        <v>0</v>
      </c>
      <c r="R170">
        <v>0</v>
      </c>
      <c r="S170">
        <v>1</v>
      </c>
      <c r="T170">
        <v>0</v>
      </c>
      <c r="U170">
        <v>0</v>
      </c>
      <c r="V170">
        <v>0</v>
      </c>
      <c r="W170">
        <v>0</v>
      </c>
      <c r="X170">
        <v>1</v>
      </c>
      <c r="Y170">
        <v>0</v>
      </c>
      <c r="Z170">
        <v>0</v>
      </c>
    </row>
    <row r="171" spans="1:26" x14ac:dyDescent="0.25">
      <c r="A171">
        <v>20</v>
      </c>
      <c r="B171">
        <v>17</v>
      </c>
      <c r="C171">
        <v>3</v>
      </c>
      <c r="D171">
        <v>826</v>
      </c>
      <c r="E171">
        <v>4</v>
      </c>
      <c r="F171">
        <v>0</v>
      </c>
      <c r="G171">
        <v>0</v>
      </c>
      <c r="H171">
        <v>1</v>
      </c>
      <c r="I171">
        <v>0</v>
      </c>
      <c r="J171">
        <v>1</v>
      </c>
      <c r="K171">
        <v>0</v>
      </c>
      <c r="L171">
        <v>0</v>
      </c>
      <c r="M171">
        <v>0</v>
      </c>
      <c r="N171">
        <v>0</v>
      </c>
      <c r="O171">
        <v>1</v>
      </c>
      <c r="P171">
        <v>0</v>
      </c>
      <c r="Q171">
        <v>0</v>
      </c>
      <c r="R171">
        <v>0</v>
      </c>
      <c r="S171">
        <v>1</v>
      </c>
      <c r="T171">
        <v>0</v>
      </c>
      <c r="U171">
        <v>0</v>
      </c>
      <c r="V171">
        <v>0</v>
      </c>
      <c r="W171">
        <v>1</v>
      </c>
      <c r="X171">
        <v>0</v>
      </c>
      <c r="Y171">
        <v>0</v>
      </c>
      <c r="Z171">
        <v>0</v>
      </c>
    </row>
    <row r="172" spans="1:26" x14ac:dyDescent="0.25">
      <c r="A172">
        <v>66</v>
      </c>
      <c r="B172">
        <v>13</v>
      </c>
      <c r="C172">
        <v>5</v>
      </c>
      <c r="D172">
        <v>315</v>
      </c>
      <c r="E172">
        <v>9</v>
      </c>
      <c r="F172">
        <v>0</v>
      </c>
      <c r="G172">
        <v>0</v>
      </c>
      <c r="H172">
        <v>1</v>
      </c>
      <c r="I172">
        <v>0</v>
      </c>
      <c r="J172">
        <v>1</v>
      </c>
      <c r="K172">
        <v>0</v>
      </c>
      <c r="L172">
        <v>0</v>
      </c>
      <c r="M172">
        <v>0</v>
      </c>
      <c r="N172">
        <v>1</v>
      </c>
      <c r="O172">
        <v>0</v>
      </c>
      <c r="P172">
        <v>0</v>
      </c>
      <c r="Q172">
        <v>0</v>
      </c>
      <c r="R172">
        <v>0</v>
      </c>
      <c r="S172">
        <v>1</v>
      </c>
      <c r="T172">
        <v>1</v>
      </c>
      <c r="U172">
        <v>0</v>
      </c>
      <c r="V172">
        <v>0</v>
      </c>
      <c r="W172">
        <v>0</v>
      </c>
      <c r="X172">
        <v>0</v>
      </c>
      <c r="Y172">
        <v>0</v>
      </c>
      <c r="Z172">
        <v>0</v>
      </c>
    </row>
    <row r="173" spans="1:26" x14ac:dyDescent="0.25">
      <c r="A173">
        <v>20</v>
      </c>
      <c r="B173">
        <v>11</v>
      </c>
      <c r="C173">
        <v>5</v>
      </c>
      <c r="D173">
        <v>3025</v>
      </c>
      <c r="E173">
        <v>9</v>
      </c>
      <c r="F173">
        <v>0</v>
      </c>
      <c r="G173">
        <v>1</v>
      </c>
      <c r="H173">
        <v>0</v>
      </c>
      <c r="I173">
        <v>0</v>
      </c>
      <c r="J173">
        <v>0</v>
      </c>
      <c r="K173">
        <v>1</v>
      </c>
      <c r="L173">
        <v>0</v>
      </c>
      <c r="M173">
        <v>0</v>
      </c>
      <c r="N173">
        <v>0</v>
      </c>
      <c r="O173">
        <v>0</v>
      </c>
      <c r="P173">
        <v>1</v>
      </c>
      <c r="Q173">
        <v>0</v>
      </c>
      <c r="R173">
        <v>0</v>
      </c>
      <c r="S173">
        <v>1</v>
      </c>
      <c r="T173">
        <v>1</v>
      </c>
      <c r="U173">
        <v>0</v>
      </c>
      <c r="V173">
        <v>0</v>
      </c>
      <c r="W173">
        <v>0</v>
      </c>
      <c r="X173">
        <v>0</v>
      </c>
      <c r="Y173">
        <v>0</v>
      </c>
      <c r="Z173">
        <v>0</v>
      </c>
    </row>
    <row r="174" spans="1:26" x14ac:dyDescent="0.25">
      <c r="A174">
        <v>59</v>
      </c>
      <c r="B174">
        <v>9</v>
      </c>
      <c r="C174">
        <v>5</v>
      </c>
      <c r="D174">
        <v>188</v>
      </c>
      <c r="E174">
        <v>3</v>
      </c>
      <c r="F174">
        <v>0</v>
      </c>
      <c r="G174">
        <v>0</v>
      </c>
      <c r="H174">
        <v>1</v>
      </c>
      <c r="I174">
        <v>0</v>
      </c>
      <c r="J174">
        <v>0</v>
      </c>
      <c r="K174">
        <v>0</v>
      </c>
      <c r="L174">
        <v>1</v>
      </c>
      <c r="M174">
        <v>0</v>
      </c>
      <c r="N174">
        <v>0</v>
      </c>
      <c r="O174">
        <v>1</v>
      </c>
      <c r="P174">
        <v>0</v>
      </c>
      <c r="Q174">
        <v>0</v>
      </c>
      <c r="R174">
        <v>0</v>
      </c>
      <c r="S174">
        <v>1</v>
      </c>
      <c r="T174">
        <v>0</v>
      </c>
      <c r="U174">
        <v>1</v>
      </c>
      <c r="V174">
        <v>0</v>
      </c>
      <c r="W174">
        <v>0</v>
      </c>
      <c r="X174">
        <v>0</v>
      </c>
      <c r="Y174">
        <v>0</v>
      </c>
      <c r="Z174">
        <v>0</v>
      </c>
    </row>
    <row r="175" spans="1:26" x14ac:dyDescent="0.25">
      <c r="A175">
        <v>29</v>
      </c>
      <c r="B175">
        <v>8</v>
      </c>
      <c r="C175">
        <v>3</v>
      </c>
      <c r="D175">
        <v>3981</v>
      </c>
      <c r="E175">
        <v>2</v>
      </c>
      <c r="F175">
        <v>0</v>
      </c>
      <c r="G175">
        <v>0</v>
      </c>
      <c r="H175">
        <v>0</v>
      </c>
      <c r="I175">
        <v>1</v>
      </c>
      <c r="J175">
        <v>1</v>
      </c>
      <c r="K175">
        <v>0</v>
      </c>
      <c r="L175">
        <v>0</v>
      </c>
      <c r="M175">
        <v>0</v>
      </c>
      <c r="N175">
        <v>1</v>
      </c>
      <c r="O175">
        <v>0</v>
      </c>
      <c r="P175">
        <v>0</v>
      </c>
      <c r="Q175">
        <v>0</v>
      </c>
      <c r="R175">
        <v>1</v>
      </c>
      <c r="S175">
        <v>0</v>
      </c>
      <c r="T175">
        <v>0</v>
      </c>
      <c r="U175">
        <v>0</v>
      </c>
      <c r="V175">
        <v>0</v>
      </c>
      <c r="W175">
        <v>0</v>
      </c>
      <c r="X175">
        <v>0</v>
      </c>
      <c r="Y175">
        <v>0</v>
      </c>
      <c r="Z175">
        <v>1</v>
      </c>
    </row>
    <row r="176" spans="1:26" x14ac:dyDescent="0.25">
      <c r="A176">
        <v>23</v>
      </c>
      <c r="B176">
        <v>7</v>
      </c>
      <c r="C176">
        <v>4</v>
      </c>
      <c r="D176">
        <v>2959</v>
      </c>
      <c r="E176">
        <v>7</v>
      </c>
      <c r="F176">
        <v>0</v>
      </c>
      <c r="G176">
        <v>0</v>
      </c>
      <c r="H176">
        <v>1</v>
      </c>
      <c r="I176">
        <v>0</v>
      </c>
      <c r="J176">
        <v>1</v>
      </c>
      <c r="K176">
        <v>0</v>
      </c>
      <c r="L176">
        <v>0</v>
      </c>
      <c r="M176">
        <v>0</v>
      </c>
      <c r="N176">
        <v>0</v>
      </c>
      <c r="O176">
        <v>0</v>
      </c>
      <c r="P176">
        <v>1</v>
      </c>
      <c r="Q176">
        <v>0</v>
      </c>
      <c r="R176">
        <v>1</v>
      </c>
      <c r="S176">
        <v>0</v>
      </c>
      <c r="T176">
        <v>0</v>
      </c>
      <c r="U176">
        <v>0</v>
      </c>
      <c r="V176">
        <v>0</v>
      </c>
      <c r="W176">
        <v>0</v>
      </c>
      <c r="X176">
        <v>1</v>
      </c>
      <c r="Y176">
        <v>0</v>
      </c>
      <c r="Z176">
        <v>0</v>
      </c>
    </row>
    <row r="177" spans="1:26" x14ac:dyDescent="0.25">
      <c r="A177">
        <v>46</v>
      </c>
      <c r="B177">
        <v>4</v>
      </c>
      <c r="C177">
        <v>4</v>
      </c>
      <c r="D177">
        <v>3348</v>
      </c>
      <c r="E177">
        <v>2</v>
      </c>
      <c r="F177">
        <v>0</v>
      </c>
      <c r="G177">
        <v>0</v>
      </c>
      <c r="H177">
        <v>1</v>
      </c>
      <c r="I177">
        <v>0</v>
      </c>
      <c r="J177">
        <v>0</v>
      </c>
      <c r="K177">
        <v>0</v>
      </c>
      <c r="L177">
        <v>1</v>
      </c>
      <c r="M177">
        <v>0</v>
      </c>
      <c r="N177">
        <v>0</v>
      </c>
      <c r="O177">
        <v>0</v>
      </c>
      <c r="P177">
        <v>1</v>
      </c>
      <c r="Q177">
        <v>0</v>
      </c>
      <c r="R177">
        <v>0</v>
      </c>
      <c r="S177">
        <v>1</v>
      </c>
      <c r="T177">
        <v>0</v>
      </c>
      <c r="U177">
        <v>0</v>
      </c>
      <c r="V177">
        <v>1</v>
      </c>
      <c r="W177">
        <v>0</v>
      </c>
      <c r="X177">
        <v>0</v>
      </c>
      <c r="Y177">
        <v>0</v>
      </c>
      <c r="Z177">
        <v>0</v>
      </c>
    </row>
    <row r="178" spans="1:26" x14ac:dyDescent="0.25">
      <c r="A178">
        <v>47</v>
      </c>
      <c r="B178">
        <v>23</v>
      </c>
      <c r="C178">
        <v>4</v>
      </c>
      <c r="D178">
        <v>732</v>
      </c>
      <c r="E178">
        <v>1</v>
      </c>
      <c r="F178">
        <v>0</v>
      </c>
      <c r="G178">
        <v>0</v>
      </c>
      <c r="H178">
        <v>0</v>
      </c>
      <c r="I178">
        <v>1</v>
      </c>
      <c r="J178">
        <v>0</v>
      </c>
      <c r="K178">
        <v>0</v>
      </c>
      <c r="L178">
        <v>1</v>
      </c>
      <c r="M178">
        <v>0</v>
      </c>
      <c r="N178">
        <v>1</v>
      </c>
      <c r="O178">
        <v>0</v>
      </c>
      <c r="P178">
        <v>0</v>
      </c>
      <c r="Q178">
        <v>1</v>
      </c>
      <c r="R178">
        <v>0</v>
      </c>
      <c r="S178">
        <v>0</v>
      </c>
      <c r="T178">
        <v>0</v>
      </c>
      <c r="U178">
        <v>0</v>
      </c>
      <c r="V178">
        <v>0</v>
      </c>
      <c r="W178">
        <v>0</v>
      </c>
      <c r="X178">
        <v>1</v>
      </c>
      <c r="Y178">
        <v>0</v>
      </c>
      <c r="Z178">
        <v>0</v>
      </c>
    </row>
    <row r="179" spans="1:26" x14ac:dyDescent="0.25">
      <c r="A179">
        <v>21</v>
      </c>
      <c r="B179">
        <v>13</v>
      </c>
      <c r="C179">
        <v>5</v>
      </c>
      <c r="D179">
        <v>732</v>
      </c>
      <c r="E179">
        <v>5</v>
      </c>
      <c r="F179">
        <v>1</v>
      </c>
      <c r="G179">
        <v>0</v>
      </c>
      <c r="H179">
        <v>0</v>
      </c>
      <c r="I179">
        <v>0</v>
      </c>
      <c r="J179">
        <v>1</v>
      </c>
      <c r="K179">
        <v>0</v>
      </c>
      <c r="L179">
        <v>0</v>
      </c>
      <c r="M179">
        <v>0</v>
      </c>
      <c r="N179">
        <v>1</v>
      </c>
      <c r="O179">
        <v>0</v>
      </c>
      <c r="P179">
        <v>0</v>
      </c>
      <c r="Q179">
        <v>0</v>
      </c>
      <c r="R179">
        <v>0</v>
      </c>
      <c r="S179">
        <v>1</v>
      </c>
      <c r="T179">
        <v>0</v>
      </c>
      <c r="U179">
        <v>0</v>
      </c>
      <c r="V179">
        <v>0</v>
      </c>
      <c r="W179">
        <v>0</v>
      </c>
      <c r="X179">
        <v>1</v>
      </c>
      <c r="Y179">
        <v>0</v>
      </c>
      <c r="Z179">
        <v>0</v>
      </c>
    </row>
    <row r="180" spans="1:26" x14ac:dyDescent="0.25">
      <c r="A180">
        <v>31</v>
      </c>
      <c r="B180">
        <v>11</v>
      </c>
      <c r="C180">
        <v>4</v>
      </c>
      <c r="D180">
        <v>4027</v>
      </c>
      <c r="E180">
        <v>2</v>
      </c>
      <c r="F180">
        <v>1</v>
      </c>
      <c r="G180">
        <v>0</v>
      </c>
      <c r="H180">
        <v>0</v>
      </c>
      <c r="I180">
        <v>0</v>
      </c>
      <c r="J180">
        <v>1</v>
      </c>
      <c r="K180">
        <v>0</v>
      </c>
      <c r="L180">
        <v>0</v>
      </c>
      <c r="M180">
        <v>0</v>
      </c>
      <c r="N180">
        <v>0</v>
      </c>
      <c r="O180">
        <v>0</v>
      </c>
      <c r="P180">
        <v>1</v>
      </c>
      <c r="Q180">
        <v>0</v>
      </c>
      <c r="R180">
        <v>1</v>
      </c>
      <c r="S180">
        <v>0</v>
      </c>
      <c r="T180">
        <v>1</v>
      </c>
      <c r="U180">
        <v>0</v>
      </c>
      <c r="V180">
        <v>0</v>
      </c>
      <c r="W180">
        <v>0</v>
      </c>
      <c r="X180">
        <v>0</v>
      </c>
      <c r="Y180">
        <v>0</v>
      </c>
      <c r="Z180">
        <v>0</v>
      </c>
    </row>
    <row r="181" spans="1:26" x14ac:dyDescent="0.25">
      <c r="A181">
        <v>43</v>
      </c>
      <c r="B181">
        <v>8</v>
      </c>
      <c r="C181">
        <v>4</v>
      </c>
      <c r="D181">
        <v>2884</v>
      </c>
      <c r="E181">
        <v>1</v>
      </c>
      <c r="F181">
        <v>0</v>
      </c>
      <c r="G181">
        <v>0</v>
      </c>
      <c r="H181">
        <v>1</v>
      </c>
      <c r="I181">
        <v>0</v>
      </c>
      <c r="J181">
        <v>0</v>
      </c>
      <c r="K181">
        <v>0</v>
      </c>
      <c r="L181">
        <v>1</v>
      </c>
      <c r="M181">
        <v>1</v>
      </c>
      <c r="N181">
        <v>0</v>
      </c>
      <c r="O181">
        <v>1</v>
      </c>
      <c r="P181">
        <v>0</v>
      </c>
      <c r="Q181">
        <v>0</v>
      </c>
      <c r="R181">
        <v>0</v>
      </c>
      <c r="S181">
        <v>1</v>
      </c>
      <c r="T181">
        <v>1</v>
      </c>
      <c r="U181">
        <v>0</v>
      </c>
      <c r="V181">
        <v>0</v>
      </c>
      <c r="W181">
        <v>0</v>
      </c>
      <c r="X181">
        <v>0</v>
      </c>
      <c r="Y181">
        <v>0</v>
      </c>
      <c r="Z181">
        <v>0</v>
      </c>
    </row>
    <row r="182" spans="1:26" x14ac:dyDescent="0.25">
      <c r="A182">
        <v>7</v>
      </c>
      <c r="B182">
        <v>5</v>
      </c>
      <c r="C182">
        <v>4</v>
      </c>
      <c r="D182">
        <v>2700</v>
      </c>
      <c r="E182">
        <v>3</v>
      </c>
      <c r="F182">
        <v>1</v>
      </c>
      <c r="G182">
        <v>0</v>
      </c>
      <c r="H182">
        <v>0</v>
      </c>
      <c r="I182">
        <v>0</v>
      </c>
      <c r="J182">
        <v>0</v>
      </c>
      <c r="K182">
        <v>0</v>
      </c>
      <c r="L182">
        <v>1</v>
      </c>
      <c r="M182">
        <v>1</v>
      </c>
      <c r="N182">
        <v>0</v>
      </c>
      <c r="O182">
        <v>0</v>
      </c>
      <c r="P182">
        <v>1</v>
      </c>
      <c r="Q182">
        <v>0</v>
      </c>
      <c r="R182">
        <v>0</v>
      </c>
      <c r="S182">
        <v>1</v>
      </c>
      <c r="T182">
        <v>0</v>
      </c>
      <c r="U182">
        <v>0</v>
      </c>
      <c r="V182">
        <v>1</v>
      </c>
      <c r="W182">
        <v>0</v>
      </c>
      <c r="X182">
        <v>0</v>
      </c>
      <c r="Y182">
        <v>0</v>
      </c>
      <c r="Z182">
        <v>0</v>
      </c>
    </row>
    <row r="183" spans="1:26" x14ac:dyDescent="0.25">
      <c r="A183">
        <v>3</v>
      </c>
      <c r="B183">
        <v>3</v>
      </c>
      <c r="C183">
        <v>1</v>
      </c>
      <c r="D183">
        <v>2034</v>
      </c>
      <c r="E183">
        <v>5</v>
      </c>
      <c r="F183">
        <v>1</v>
      </c>
      <c r="G183">
        <v>0</v>
      </c>
      <c r="H183">
        <v>0</v>
      </c>
      <c r="I183">
        <v>0</v>
      </c>
      <c r="J183">
        <v>1</v>
      </c>
      <c r="K183">
        <v>0</v>
      </c>
      <c r="L183">
        <v>0</v>
      </c>
      <c r="M183">
        <v>0</v>
      </c>
      <c r="N183">
        <v>0</v>
      </c>
      <c r="O183">
        <v>0</v>
      </c>
      <c r="P183">
        <v>1</v>
      </c>
      <c r="Q183">
        <v>1</v>
      </c>
      <c r="R183">
        <v>0</v>
      </c>
      <c r="S183">
        <v>0</v>
      </c>
      <c r="T183">
        <v>0</v>
      </c>
      <c r="U183">
        <v>0</v>
      </c>
      <c r="V183">
        <v>0</v>
      </c>
      <c r="W183">
        <v>0</v>
      </c>
      <c r="X183">
        <v>0</v>
      </c>
      <c r="Y183">
        <v>1</v>
      </c>
      <c r="Z183">
        <v>0</v>
      </c>
    </row>
    <row r="184" spans="1:26" x14ac:dyDescent="0.25">
      <c r="A184">
        <v>30</v>
      </c>
      <c r="B184">
        <v>27</v>
      </c>
      <c r="C184">
        <v>5</v>
      </c>
      <c r="D184">
        <v>826</v>
      </c>
      <c r="E184">
        <v>6</v>
      </c>
      <c r="F184">
        <v>0</v>
      </c>
      <c r="G184">
        <v>0</v>
      </c>
      <c r="H184">
        <v>0</v>
      </c>
      <c r="I184">
        <v>1</v>
      </c>
      <c r="J184">
        <v>1</v>
      </c>
      <c r="K184">
        <v>0</v>
      </c>
      <c r="L184">
        <v>0</v>
      </c>
      <c r="M184">
        <v>0</v>
      </c>
      <c r="N184">
        <v>0</v>
      </c>
      <c r="O184">
        <v>1</v>
      </c>
      <c r="P184">
        <v>0</v>
      </c>
      <c r="Q184">
        <v>0</v>
      </c>
      <c r="R184">
        <v>0</v>
      </c>
      <c r="S184">
        <v>1</v>
      </c>
      <c r="T184">
        <v>1</v>
      </c>
      <c r="U184">
        <v>0</v>
      </c>
      <c r="V184">
        <v>0</v>
      </c>
      <c r="W184">
        <v>0</v>
      </c>
      <c r="X184">
        <v>0</v>
      </c>
      <c r="Y184">
        <v>0</v>
      </c>
      <c r="Z184">
        <v>0</v>
      </c>
    </row>
    <row r="185" spans="1:26" x14ac:dyDescent="0.25">
      <c r="A185">
        <v>70</v>
      </c>
      <c r="B185">
        <v>25</v>
      </c>
      <c r="C185">
        <v>1</v>
      </c>
      <c r="D185">
        <v>1228</v>
      </c>
      <c r="E185">
        <v>3</v>
      </c>
      <c r="F185">
        <v>0</v>
      </c>
      <c r="G185">
        <v>0</v>
      </c>
      <c r="H185">
        <v>1</v>
      </c>
      <c r="I185">
        <v>0</v>
      </c>
      <c r="J185">
        <v>0</v>
      </c>
      <c r="K185">
        <v>0</v>
      </c>
      <c r="L185">
        <v>1</v>
      </c>
      <c r="M185">
        <v>0</v>
      </c>
      <c r="N185">
        <v>1</v>
      </c>
      <c r="O185">
        <v>0</v>
      </c>
      <c r="P185">
        <v>0</v>
      </c>
      <c r="Q185">
        <v>0</v>
      </c>
      <c r="R185">
        <v>0</v>
      </c>
      <c r="S185">
        <v>1</v>
      </c>
      <c r="T185">
        <v>1</v>
      </c>
      <c r="U185">
        <v>0</v>
      </c>
      <c r="V185">
        <v>0</v>
      </c>
      <c r="W185">
        <v>0</v>
      </c>
      <c r="X185">
        <v>0</v>
      </c>
      <c r="Y185">
        <v>0</v>
      </c>
      <c r="Z185">
        <v>0</v>
      </c>
    </row>
    <row r="186" spans="1:26" x14ac:dyDescent="0.25">
      <c r="A186">
        <v>48</v>
      </c>
      <c r="B186">
        <v>21</v>
      </c>
      <c r="C186">
        <v>5</v>
      </c>
      <c r="D186">
        <v>1228</v>
      </c>
      <c r="E186">
        <v>4</v>
      </c>
      <c r="F186">
        <v>0</v>
      </c>
      <c r="G186">
        <v>1</v>
      </c>
      <c r="H186">
        <v>0</v>
      </c>
      <c r="I186">
        <v>0</v>
      </c>
      <c r="J186">
        <v>0</v>
      </c>
      <c r="K186">
        <v>1</v>
      </c>
      <c r="L186">
        <v>0</v>
      </c>
      <c r="M186">
        <v>0</v>
      </c>
      <c r="N186">
        <v>1</v>
      </c>
      <c r="O186">
        <v>0</v>
      </c>
      <c r="P186">
        <v>0</v>
      </c>
      <c r="Q186">
        <v>0</v>
      </c>
      <c r="R186">
        <v>1</v>
      </c>
      <c r="S186">
        <v>0</v>
      </c>
      <c r="T186">
        <v>1</v>
      </c>
      <c r="U186">
        <v>0</v>
      </c>
      <c r="V186">
        <v>0</v>
      </c>
      <c r="W186">
        <v>0</v>
      </c>
      <c r="X186">
        <v>0</v>
      </c>
      <c r="Y186">
        <v>0</v>
      </c>
      <c r="Z186">
        <v>0</v>
      </c>
    </row>
    <row r="187" spans="1:26" x14ac:dyDescent="0.25">
      <c r="A187">
        <v>20</v>
      </c>
      <c r="B187">
        <v>18</v>
      </c>
      <c r="C187">
        <v>2</v>
      </c>
      <c r="D187">
        <v>3933</v>
      </c>
      <c r="E187">
        <v>4</v>
      </c>
      <c r="F187">
        <v>1</v>
      </c>
      <c r="G187">
        <v>0</v>
      </c>
      <c r="H187">
        <v>0</v>
      </c>
      <c r="I187">
        <v>0</v>
      </c>
      <c r="J187">
        <v>0</v>
      </c>
      <c r="K187">
        <v>1</v>
      </c>
      <c r="L187">
        <v>0</v>
      </c>
      <c r="M187">
        <v>0</v>
      </c>
      <c r="N187">
        <v>0</v>
      </c>
      <c r="O187">
        <v>0</v>
      </c>
      <c r="P187">
        <v>1</v>
      </c>
      <c r="Q187">
        <v>1</v>
      </c>
      <c r="R187">
        <v>0</v>
      </c>
      <c r="S187">
        <v>0</v>
      </c>
      <c r="T187">
        <v>1</v>
      </c>
      <c r="U187">
        <v>0</v>
      </c>
      <c r="V187">
        <v>0</v>
      </c>
      <c r="W187">
        <v>0</v>
      </c>
      <c r="X187">
        <v>0</v>
      </c>
      <c r="Y187">
        <v>0</v>
      </c>
      <c r="Z187">
        <v>0</v>
      </c>
    </row>
    <row r="188" spans="1:26" x14ac:dyDescent="0.25">
      <c r="A188">
        <v>33</v>
      </c>
      <c r="B188">
        <v>12</v>
      </c>
      <c r="C188">
        <v>3</v>
      </c>
      <c r="D188">
        <v>3003</v>
      </c>
      <c r="E188">
        <v>5</v>
      </c>
      <c r="F188">
        <v>0</v>
      </c>
      <c r="G188">
        <v>1</v>
      </c>
      <c r="H188">
        <v>0</v>
      </c>
      <c r="I188">
        <v>0</v>
      </c>
      <c r="J188">
        <v>0</v>
      </c>
      <c r="K188">
        <v>1</v>
      </c>
      <c r="L188">
        <v>0</v>
      </c>
      <c r="M188">
        <v>0</v>
      </c>
      <c r="N188">
        <v>0</v>
      </c>
      <c r="O188">
        <v>1</v>
      </c>
      <c r="P188">
        <v>0</v>
      </c>
      <c r="Q188">
        <v>0</v>
      </c>
      <c r="R188">
        <v>1</v>
      </c>
      <c r="S188">
        <v>0</v>
      </c>
      <c r="T188">
        <v>0</v>
      </c>
      <c r="U188">
        <v>0</v>
      </c>
      <c r="V188">
        <v>1</v>
      </c>
      <c r="W188">
        <v>0</v>
      </c>
      <c r="X188">
        <v>0</v>
      </c>
      <c r="Y188">
        <v>0</v>
      </c>
      <c r="Z188">
        <v>0</v>
      </c>
    </row>
    <row r="189" spans="1:26" x14ac:dyDescent="0.25">
      <c r="A189">
        <v>41</v>
      </c>
      <c r="B189">
        <v>9</v>
      </c>
      <c r="C189">
        <v>3</v>
      </c>
      <c r="D189">
        <v>3773</v>
      </c>
      <c r="E189">
        <v>2</v>
      </c>
      <c r="F189">
        <v>0</v>
      </c>
      <c r="G189">
        <v>0</v>
      </c>
      <c r="H189">
        <v>0</v>
      </c>
      <c r="I189">
        <v>1</v>
      </c>
      <c r="J189">
        <v>0</v>
      </c>
      <c r="K189">
        <v>0</v>
      </c>
      <c r="L189">
        <v>1</v>
      </c>
      <c r="M189">
        <v>0</v>
      </c>
      <c r="N189">
        <v>1</v>
      </c>
      <c r="O189">
        <v>0</v>
      </c>
      <c r="P189">
        <v>0</v>
      </c>
      <c r="Q189">
        <v>0</v>
      </c>
      <c r="R189">
        <v>0</v>
      </c>
      <c r="S189">
        <v>1</v>
      </c>
      <c r="T189">
        <v>0</v>
      </c>
      <c r="U189">
        <v>0</v>
      </c>
      <c r="V189">
        <v>0</v>
      </c>
      <c r="W189">
        <v>0</v>
      </c>
      <c r="X189">
        <v>0</v>
      </c>
      <c r="Y189">
        <v>1</v>
      </c>
      <c r="Z189">
        <v>0</v>
      </c>
    </row>
    <row r="190" spans="1:26" x14ac:dyDescent="0.25">
      <c r="A190">
        <v>35</v>
      </c>
      <c r="B190">
        <v>8</v>
      </c>
      <c r="C190">
        <v>4</v>
      </c>
      <c r="D190">
        <v>3981</v>
      </c>
      <c r="E190">
        <v>6</v>
      </c>
      <c r="F190">
        <v>0</v>
      </c>
      <c r="G190">
        <v>0</v>
      </c>
      <c r="H190">
        <v>0</v>
      </c>
      <c r="I190">
        <v>1</v>
      </c>
      <c r="J190">
        <v>0</v>
      </c>
      <c r="K190">
        <v>1</v>
      </c>
      <c r="L190">
        <v>0</v>
      </c>
      <c r="M190">
        <v>0</v>
      </c>
      <c r="N190">
        <v>1</v>
      </c>
      <c r="O190">
        <v>0</v>
      </c>
      <c r="P190">
        <v>0</v>
      </c>
      <c r="Q190">
        <v>0</v>
      </c>
      <c r="R190">
        <v>0</v>
      </c>
      <c r="S190">
        <v>1</v>
      </c>
      <c r="T190">
        <v>0</v>
      </c>
      <c r="U190">
        <v>0</v>
      </c>
      <c r="V190">
        <v>0</v>
      </c>
      <c r="W190">
        <v>1</v>
      </c>
      <c r="X190">
        <v>0</v>
      </c>
      <c r="Y190">
        <v>0</v>
      </c>
      <c r="Z190">
        <v>0</v>
      </c>
    </row>
    <row r="191" spans="1:26" x14ac:dyDescent="0.25">
      <c r="A191">
        <v>18</v>
      </c>
      <c r="B191">
        <v>7</v>
      </c>
      <c r="C191">
        <v>4</v>
      </c>
      <c r="D191">
        <v>3773</v>
      </c>
      <c r="E191">
        <v>0</v>
      </c>
      <c r="F191">
        <v>1</v>
      </c>
      <c r="G191">
        <v>0</v>
      </c>
      <c r="H191">
        <v>0</v>
      </c>
      <c r="I191">
        <v>0</v>
      </c>
      <c r="J191">
        <v>0</v>
      </c>
      <c r="K191">
        <v>1</v>
      </c>
      <c r="L191">
        <v>0</v>
      </c>
      <c r="M191">
        <v>0</v>
      </c>
      <c r="N191">
        <v>1</v>
      </c>
      <c r="O191">
        <v>0</v>
      </c>
      <c r="P191">
        <v>0</v>
      </c>
      <c r="Q191">
        <v>0</v>
      </c>
      <c r="R191">
        <v>1</v>
      </c>
      <c r="S191">
        <v>0</v>
      </c>
      <c r="T191">
        <v>0</v>
      </c>
      <c r="U191">
        <v>0</v>
      </c>
      <c r="V191">
        <v>1</v>
      </c>
      <c r="W191">
        <v>0</v>
      </c>
      <c r="X191">
        <v>0</v>
      </c>
      <c r="Y191">
        <v>0</v>
      </c>
      <c r="Z191">
        <v>0</v>
      </c>
    </row>
    <row r="192" spans="1:26" x14ac:dyDescent="0.25">
      <c r="A192">
        <v>15</v>
      </c>
      <c r="B192">
        <v>6</v>
      </c>
      <c r="C192">
        <v>4</v>
      </c>
      <c r="D192">
        <v>4027</v>
      </c>
      <c r="E192">
        <v>4</v>
      </c>
      <c r="F192">
        <v>0</v>
      </c>
      <c r="G192">
        <v>1</v>
      </c>
      <c r="H192">
        <v>0</v>
      </c>
      <c r="I192">
        <v>0</v>
      </c>
      <c r="J192">
        <v>0</v>
      </c>
      <c r="K192">
        <v>0</v>
      </c>
      <c r="L192">
        <v>1</v>
      </c>
      <c r="M192">
        <v>0</v>
      </c>
      <c r="N192">
        <v>0</v>
      </c>
      <c r="O192">
        <v>0</v>
      </c>
      <c r="P192">
        <v>1</v>
      </c>
      <c r="Q192">
        <v>1</v>
      </c>
      <c r="R192">
        <v>0</v>
      </c>
      <c r="S192">
        <v>0</v>
      </c>
      <c r="T192">
        <v>0</v>
      </c>
      <c r="U192">
        <v>0</v>
      </c>
      <c r="V192">
        <v>0</v>
      </c>
      <c r="W192">
        <v>0</v>
      </c>
      <c r="X192">
        <v>0</v>
      </c>
      <c r="Y192">
        <v>0</v>
      </c>
      <c r="Z192">
        <v>1</v>
      </c>
    </row>
    <row r="193" spans="1:26" x14ac:dyDescent="0.25">
      <c r="A193">
        <v>9</v>
      </c>
      <c r="B193">
        <v>6</v>
      </c>
      <c r="C193">
        <v>3</v>
      </c>
      <c r="D193">
        <v>3003</v>
      </c>
      <c r="E193">
        <v>7</v>
      </c>
      <c r="F193">
        <v>0</v>
      </c>
      <c r="G193">
        <v>1</v>
      </c>
      <c r="H193">
        <v>0</v>
      </c>
      <c r="I193">
        <v>0</v>
      </c>
      <c r="J193">
        <v>0</v>
      </c>
      <c r="K193">
        <v>0</v>
      </c>
      <c r="L193">
        <v>1</v>
      </c>
      <c r="M193">
        <v>0</v>
      </c>
      <c r="N193">
        <v>0</v>
      </c>
      <c r="O193">
        <v>1</v>
      </c>
      <c r="P193">
        <v>0</v>
      </c>
      <c r="Q193">
        <v>1</v>
      </c>
      <c r="R193">
        <v>0</v>
      </c>
      <c r="S193">
        <v>0</v>
      </c>
      <c r="T193">
        <v>0</v>
      </c>
      <c r="U193">
        <v>0</v>
      </c>
      <c r="V193">
        <v>0</v>
      </c>
      <c r="W193">
        <v>0</v>
      </c>
      <c r="X193">
        <v>0</v>
      </c>
      <c r="Y193">
        <v>0</v>
      </c>
      <c r="Z193">
        <v>1</v>
      </c>
    </row>
    <row r="194" spans="1:26" x14ac:dyDescent="0.25">
      <c r="A194">
        <v>11</v>
      </c>
      <c r="B194">
        <v>3</v>
      </c>
      <c r="C194">
        <v>4</v>
      </c>
      <c r="D194">
        <v>716</v>
      </c>
      <c r="E194">
        <v>6</v>
      </c>
      <c r="F194">
        <v>0</v>
      </c>
      <c r="G194">
        <v>1</v>
      </c>
      <c r="H194">
        <v>0</v>
      </c>
      <c r="I194">
        <v>0</v>
      </c>
      <c r="J194">
        <v>0</v>
      </c>
      <c r="K194">
        <v>0</v>
      </c>
      <c r="L194">
        <v>1</v>
      </c>
      <c r="M194">
        <v>1</v>
      </c>
      <c r="N194">
        <v>1</v>
      </c>
      <c r="O194">
        <v>0</v>
      </c>
      <c r="P194">
        <v>0</v>
      </c>
      <c r="Q194">
        <v>0</v>
      </c>
      <c r="R194">
        <v>0</v>
      </c>
      <c r="S194">
        <v>1</v>
      </c>
      <c r="T194">
        <v>0</v>
      </c>
      <c r="U194">
        <v>1</v>
      </c>
      <c r="V194">
        <v>0</v>
      </c>
      <c r="W194">
        <v>0</v>
      </c>
      <c r="X194">
        <v>0</v>
      </c>
      <c r="Y194">
        <v>0</v>
      </c>
      <c r="Z194">
        <v>0</v>
      </c>
    </row>
    <row r="195" spans="1:26" x14ac:dyDescent="0.25">
      <c r="A195">
        <v>92</v>
      </c>
      <c r="B195">
        <v>49</v>
      </c>
      <c r="C195">
        <v>4</v>
      </c>
      <c r="D195">
        <v>1228</v>
      </c>
      <c r="E195">
        <v>5</v>
      </c>
      <c r="F195">
        <v>0</v>
      </c>
      <c r="G195">
        <v>0</v>
      </c>
      <c r="H195">
        <v>1</v>
      </c>
      <c r="I195">
        <v>0</v>
      </c>
      <c r="J195">
        <v>0</v>
      </c>
      <c r="K195">
        <v>0</v>
      </c>
      <c r="L195">
        <v>1</v>
      </c>
      <c r="M195">
        <v>0</v>
      </c>
      <c r="N195">
        <v>1</v>
      </c>
      <c r="O195">
        <v>0</v>
      </c>
      <c r="P195">
        <v>0</v>
      </c>
      <c r="Q195">
        <v>0</v>
      </c>
      <c r="R195">
        <v>1</v>
      </c>
      <c r="S195">
        <v>0</v>
      </c>
      <c r="T195">
        <v>0</v>
      </c>
      <c r="U195">
        <v>0</v>
      </c>
      <c r="V195">
        <v>0</v>
      </c>
      <c r="W195">
        <v>0</v>
      </c>
      <c r="X195">
        <v>1</v>
      </c>
      <c r="Y195">
        <v>0</v>
      </c>
      <c r="Z195">
        <v>0</v>
      </c>
    </row>
    <row r="196" spans="1:26" x14ac:dyDescent="0.25">
      <c r="A196">
        <v>23</v>
      </c>
      <c r="B196">
        <v>10</v>
      </c>
      <c r="C196">
        <v>5</v>
      </c>
      <c r="D196">
        <v>3933</v>
      </c>
      <c r="E196">
        <v>4</v>
      </c>
      <c r="F196">
        <v>0</v>
      </c>
      <c r="G196">
        <v>0</v>
      </c>
      <c r="H196">
        <v>1</v>
      </c>
      <c r="I196">
        <v>0</v>
      </c>
      <c r="J196">
        <v>1</v>
      </c>
      <c r="K196">
        <v>0</v>
      </c>
      <c r="L196">
        <v>0</v>
      </c>
      <c r="M196">
        <v>0</v>
      </c>
      <c r="N196">
        <v>0</v>
      </c>
      <c r="O196">
        <v>0</v>
      </c>
      <c r="P196">
        <v>1</v>
      </c>
      <c r="Q196">
        <v>0</v>
      </c>
      <c r="R196">
        <v>1</v>
      </c>
      <c r="S196">
        <v>0</v>
      </c>
      <c r="T196">
        <v>0</v>
      </c>
      <c r="U196">
        <v>1</v>
      </c>
      <c r="V196">
        <v>0</v>
      </c>
      <c r="W196">
        <v>0</v>
      </c>
      <c r="X196">
        <v>0</v>
      </c>
      <c r="Y196">
        <v>0</v>
      </c>
      <c r="Z196">
        <v>0</v>
      </c>
    </row>
    <row r="197" spans="1:26" x14ac:dyDescent="0.25">
      <c r="A197">
        <v>17</v>
      </c>
      <c r="B197">
        <v>10</v>
      </c>
      <c r="C197">
        <v>4</v>
      </c>
      <c r="D197">
        <v>826</v>
      </c>
      <c r="E197">
        <v>3</v>
      </c>
      <c r="F197">
        <v>0</v>
      </c>
      <c r="G197">
        <v>0</v>
      </c>
      <c r="H197">
        <v>1</v>
      </c>
      <c r="I197">
        <v>0</v>
      </c>
      <c r="J197">
        <v>0</v>
      </c>
      <c r="K197">
        <v>0</v>
      </c>
      <c r="L197">
        <v>1</v>
      </c>
      <c r="M197">
        <v>0</v>
      </c>
      <c r="N197">
        <v>0</v>
      </c>
      <c r="O197">
        <v>1</v>
      </c>
      <c r="P197">
        <v>0</v>
      </c>
      <c r="Q197">
        <v>0</v>
      </c>
      <c r="R197">
        <v>0</v>
      </c>
      <c r="S197">
        <v>1</v>
      </c>
      <c r="T197">
        <v>0</v>
      </c>
      <c r="U197">
        <v>0</v>
      </c>
      <c r="V197">
        <v>0</v>
      </c>
      <c r="W197">
        <v>0</v>
      </c>
      <c r="X197">
        <v>0</v>
      </c>
      <c r="Y197">
        <v>1</v>
      </c>
      <c r="Z197">
        <v>0</v>
      </c>
    </row>
    <row r="198" spans="1:26" x14ac:dyDescent="0.25">
      <c r="A198">
        <v>15</v>
      </c>
      <c r="B198">
        <v>5</v>
      </c>
      <c r="C198">
        <v>5</v>
      </c>
      <c r="D198">
        <v>2959</v>
      </c>
      <c r="E198">
        <v>3</v>
      </c>
      <c r="F198">
        <v>0</v>
      </c>
      <c r="G198">
        <v>1</v>
      </c>
      <c r="H198">
        <v>0</v>
      </c>
      <c r="I198">
        <v>0</v>
      </c>
      <c r="J198">
        <v>1</v>
      </c>
      <c r="K198">
        <v>0</v>
      </c>
      <c r="L198">
        <v>0</v>
      </c>
      <c r="M198">
        <v>0</v>
      </c>
      <c r="N198">
        <v>0</v>
      </c>
      <c r="O198">
        <v>0</v>
      </c>
      <c r="P198">
        <v>1</v>
      </c>
      <c r="Q198">
        <v>0</v>
      </c>
      <c r="R198">
        <v>1</v>
      </c>
      <c r="S198">
        <v>0</v>
      </c>
      <c r="T198">
        <v>0</v>
      </c>
      <c r="U198">
        <v>0</v>
      </c>
      <c r="V198">
        <v>0</v>
      </c>
      <c r="W198">
        <v>0</v>
      </c>
      <c r="X198">
        <v>0</v>
      </c>
      <c r="Y198">
        <v>0</v>
      </c>
      <c r="Z198">
        <v>1</v>
      </c>
    </row>
    <row r="199" spans="1:26" x14ac:dyDescent="0.25">
      <c r="A199">
        <v>35</v>
      </c>
      <c r="B199">
        <v>16</v>
      </c>
      <c r="C199">
        <v>4</v>
      </c>
      <c r="D199">
        <v>1282</v>
      </c>
      <c r="E199">
        <v>2</v>
      </c>
      <c r="F199">
        <v>0</v>
      </c>
      <c r="G199">
        <v>0</v>
      </c>
      <c r="H199">
        <v>0</v>
      </c>
      <c r="I199">
        <v>1</v>
      </c>
      <c r="J199">
        <v>0</v>
      </c>
      <c r="K199">
        <v>1</v>
      </c>
      <c r="L199">
        <v>0</v>
      </c>
      <c r="M199">
        <v>0</v>
      </c>
      <c r="N199">
        <v>0</v>
      </c>
      <c r="O199">
        <v>0</v>
      </c>
      <c r="P199">
        <v>1</v>
      </c>
      <c r="Q199">
        <v>1</v>
      </c>
      <c r="R199">
        <v>0</v>
      </c>
      <c r="S199">
        <v>0</v>
      </c>
      <c r="T199">
        <v>0</v>
      </c>
      <c r="U199">
        <v>0</v>
      </c>
      <c r="V199">
        <v>0</v>
      </c>
      <c r="W199">
        <v>0</v>
      </c>
      <c r="X199">
        <v>0</v>
      </c>
      <c r="Y199">
        <v>1</v>
      </c>
      <c r="Z199">
        <v>0</v>
      </c>
    </row>
    <row r="200" spans="1:26" x14ac:dyDescent="0.25">
      <c r="A200">
        <v>63</v>
      </c>
      <c r="B200">
        <v>15</v>
      </c>
      <c r="C200">
        <v>4</v>
      </c>
      <c r="D200">
        <v>3003</v>
      </c>
      <c r="E200">
        <v>2</v>
      </c>
      <c r="F200">
        <v>0</v>
      </c>
      <c r="G200">
        <v>0</v>
      </c>
      <c r="H200">
        <v>1</v>
      </c>
      <c r="I200">
        <v>0</v>
      </c>
      <c r="J200">
        <v>1</v>
      </c>
      <c r="K200">
        <v>0</v>
      </c>
      <c r="L200">
        <v>0</v>
      </c>
      <c r="M200">
        <v>0</v>
      </c>
      <c r="N200">
        <v>0</v>
      </c>
      <c r="O200">
        <v>1</v>
      </c>
      <c r="P200">
        <v>0</v>
      </c>
      <c r="Q200">
        <v>0</v>
      </c>
      <c r="R200">
        <v>0</v>
      </c>
      <c r="S200">
        <v>1</v>
      </c>
      <c r="T200">
        <v>0</v>
      </c>
      <c r="U200">
        <v>0</v>
      </c>
      <c r="V200">
        <v>0</v>
      </c>
      <c r="W200">
        <v>0</v>
      </c>
      <c r="X200">
        <v>0</v>
      </c>
      <c r="Y200">
        <v>1</v>
      </c>
      <c r="Z200">
        <v>0</v>
      </c>
    </row>
    <row r="201" spans="1:26" x14ac:dyDescent="0.25">
      <c r="A201">
        <v>27</v>
      </c>
      <c r="B201">
        <v>15</v>
      </c>
      <c r="C201">
        <v>3</v>
      </c>
      <c r="D201">
        <v>716</v>
      </c>
      <c r="E201">
        <v>6</v>
      </c>
      <c r="F201">
        <v>0</v>
      </c>
      <c r="G201">
        <v>1</v>
      </c>
      <c r="H201">
        <v>0</v>
      </c>
      <c r="I201">
        <v>0</v>
      </c>
      <c r="J201">
        <v>0</v>
      </c>
      <c r="K201">
        <v>0</v>
      </c>
      <c r="L201">
        <v>1</v>
      </c>
      <c r="M201">
        <v>1</v>
      </c>
      <c r="N201">
        <v>1</v>
      </c>
      <c r="O201">
        <v>0</v>
      </c>
      <c r="P201">
        <v>0</v>
      </c>
      <c r="Q201">
        <v>0</v>
      </c>
      <c r="R201">
        <v>0</v>
      </c>
      <c r="S201">
        <v>1</v>
      </c>
      <c r="T201">
        <v>0</v>
      </c>
      <c r="U201">
        <v>0</v>
      </c>
      <c r="V201">
        <v>0</v>
      </c>
      <c r="W201">
        <v>0</v>
      </c>
      <c r="X201">
        <v>0</v>
      </c>
      <c r="Y201">
        <v>1</v>
      </c>
      <c r="Z201">
        <v>0</v>
      </c>
    </row>
    <row r="202" spans="1:26" x14ac:dyDescent="0.25">
      <c r="A202">
        <v>20</v>
      </c>
      <c r="B202">
        <v>13</v>
      </c>
      <c r="C202">
        <v>4</v>
      </c>
      <c r="D202">
        <v>826</v>
      </c>
      <c r="E202">
        <v>4</v>
      </c>
      <c r="F202">
        <v>1</v>
      </c>
      <c r="G202">
        <v>0</v>
      </c>
      <c r="H202">
        <v>0</v>
      </c>
      <c r="I202">
        <v>0</v>
      </c>
      <c r="J202">
        <v>0</v>
      </c>
      <c r="K202">
        <v>0</v>
      </c>
      <c r="L202">
        <v>1</v>
      </c>
      <c r="M202">
        <v>0</v>
      </c>
      <c r="N202">
        <v>0</v>
      </c>
      <c r="O202">
        <v>1</v>
      </c>
      <c r="P202">
        <v>0</v>
      </c>
      <c r="Q202">
        <v>0</v>
      </c>
      <c r="R202">
        <v>0</v>
      </c>
      <c r="S202">
        <v>1</v>
      </c>
      <c r="T202">
        <v>0</v>
      </c>
      <c r="U202">
        <v>1</v>
      </c>
      <c r="V202">
        <v>0</v>
      </c>
      <c r="W202">
        <v>0</v>
      </c>
      <c r="X202">
        <v>0</v>
      </c>
      <c r="Y202">
        <v>0</v>
      </c>
      <c r="Z202">
        <v>0</v>
      </c>
    </row>
    <row r="203" spans="1:26" x14ac:dyDescent="0.25">
      <c r="A203">
        <v>38</v>
      </c>
      <c r="B203">
        <v>12</v>
      </c>
      <c r="C203">
        <v>5</v>
      </c>
      <c r="D203">
        <v>716</v>
      </c>
      <c r="E203">
        <v>7</v>
      </c>
      <c r="F203">
        <v>0</v>
      </c>
      <c r="G203">
        <v>0</v>
      </c>
      <c r="H203">
        <v>0</v>
      </c>
      <c r="I203">
        <v>1</v>
      </c>
      <c r="J203">
        <v>1</v>
      </c>
      <c r="K203">
        <v>0</v>
      </c>
      <c r="L203">
        <v>0</v>
      </c>
      <c r="M203">
        <v>1</v>
      </c>
      <c r="N203">
        <v>1</v>
      </c>
      <c r="O203">
        <v>0</v>
      </c>
      <c r="P203">
        <v>0</v>
      </c>
      <c r="Q203">
        <v>0</v>
      </c>
      <c r="R203">
        <v>0</v>
      </c>
      <c r="S203">
        <v>1</v>
      </c>
      <c r="T203">
        <v>1</v>
      </c>
      <c r="U203">
        <v>0</v>
      </c>
      <c r="V203">
        <v>0</v>
      </c>
      <c r="W203">
        <v>0</v>
      </c>
      <c r="X203">
        <v>0</v>
      </c>
      <c r="Y203">
        <v>0</v>
      </c>
      <c r="Z203">
        <v>0</v>
      </c>
    </row>
    <row r="204" spans="1:26" x14ac:dyDescent="0.25">
      <c r="A204">
        <v>30</v>
      </c>
      <c r="B204">
        <v>12</v>
      </c>
      <c r="C204">
        <v>5</v>
      </c>
      <c r="D204">
        <v>3981</v>
      </c>
      <c r="E204">
        <v>8</v>
      </c>
      <c r="F204">
        <v>1</v>
      </c>
      <c r="G204">
        <v>0</v>
      </c>
      <c r="H204">
        <v>0</v>
      </c>
      <c r="I204">
        <v>0</v>
      </c>
      <c r="J204">
        <v>0</v>
      </c>
      <c r="K204">
        <v>0</v>
      </c>
      <c r="L204">
        <v>1</v>
      </c>
      <c r="M204">
        <v>0</v>
      </c>
      <c r="N204">
        <v>1</v>
      </c>
      <c r="O204">
        <v>0</v>
      </c>
      <c r="P204">
        <v>0</v>
      </c>
      <c r="Q204">
        <v>0</v>
      </c>
      <c r="R204">
        <v>0</v>
      </c>
      <c r="S204">
        <v>1</v>
      </c>
      <c r="T204">
        <v>1</v>
      </c>
      <c r="U204">
        <v>0</v>
      </c>
      <c r="V204">
        <v>0</v>
      </c>
      <c r="W204">
        <v>0</v>
      </c>
      <c r="X204">
        <v>0</v>
      </c>
      <c r="Y204">
        <v>0</v>
      </c>
      <c r="Z204">
        <v>0</v>
      </c>
    </row>
    <row r="205" spans="1:26" x14ac:dyDescent="0.25">
      <c r="A205">
        <v>69</v>
      </c>
      <c r="B205">
        <v>11</v>
      </c>
      <c r="C205">
        <v>5</v>
      </c>
      <c r="D205">
        <v>188</v>
      </c>
      <c r="E205">
        <v>0</v>
      </c>
      <c r="F205">
        <v>0</v>
      </c>
      <c r="G205">
        <v>0</v>
      </c>
      <c r="H205">
        <v>0</v>
      </c>
      <c r="I205">
        <v>1</v>
      </c>
      <c r="J205">
        <v>0</v>
      </c>
      <c r="K205">
        <v>0</v>
      </c>
      <c r="L205">
        <v>1</v>
      </c>
      <c r="M205">
        <v>0</v>
      </c>
      <c r="N205">
        <v>0</v>
      </c>
      <c r="O205">
        <v>1</v>
      </c>
      <c r="P205">
        <v>0</v>
      </c>
      <c r="Q205">
        <v>0</v>
      </c>
      <c r="R205">
        <v>0</v>
      </c>
      <c r="S205">
        <v>1</v>
      </c>
      <c r="T205">
        <v>0</v>
      </c>
      <c r="U205">
        <v>0</v>
      </c>
      <c r="V205">
        <v>0</v>
      </c>
      <c r="W205">
        <v>1</v>
      </c>
      <c r="X205">
        <v>0</v>
      </c>
      <c r="Y205">
        <v>0</v>
      </c>
      <c r="Z205">
        <v>0</v>
      </c>
    </row>
    <row r="206" spans="1:26" x14ac:dyDescent="0.25">
      <c r="A206">
        <v>19</v>
      </c>
      <c r="B206">
        <v>11</v>
      </c>
      <c r="C206">
        <v>4</v>
      </c>
      <c r="D206">
        <v>1282</v>
      </c>
      <c r="E206">
        <v>7</v>
      </c>
      <c r="F206">
        <v>0</v>
      </c>
      <c r="G206">
        <v>0</v>
      </c>
      <c r="H206">
        <v>1</v>
      </c>
      <c r="I206">
        <v>0</v>
      </c>
      <c r="J206">
        <v>0</v>
      </c>
      <c r="K206">
        <v>1</v>
      </c>
      <c r="L206">
        <v>0</v>
      </c>
      <c r="M206">
        <v>0</v>
      </c>
      <c r="N206">
        <v>0</v>
      </c>
      <c r="O206">
        <v>0</v>
      </c>
      <c r="P206">
        <v>1</v>
      </c>
      <c r="Q206">
        <v>1</v>
      </c>
      <c r="R206">
        <v>0</v>
      </c>
      <c r="S206">
        <v>0</v>
      </c>
      <c r="T206">
        <v>1</v>
      </c>
      <c r="U206">
        <v>0</v>
      </c>
      <c r="V206">
        <v>0</v>
      </c>
      <c r="W206">
        <v>0</v>
      </c>
      <c r="X206">
        <v>0</v>
      </c>
      <c r="Y206">
        <v>0</v>
      </c>
      <c r="Z206">
        <v>0</v>
      </c>
    </row>
    <row r="207" spans="1:26" x14ac:dyDescent="0.25">
      <c r="A207">
        <v>30</v>
      </c>
      <c r="B207">
        <v>10</v>
      </c>
      <c r="C207">
        <v>5</v>
      </c>
      <c r="D207">
        <v>2700</v>
      </c>
      <c r="E207">
        <v>3</v>
      </c>
      <c r="F207">
        <v>0</v>
      </c>
      <c r="G207">
        <v>1</v>
      </c>
      <c r="H207">
        <v>0</v>
      </c>
      <c r="I207">
        <v>0</v>
      </c>
      <c r="J207">
        <v>0</v>
      </c>
      <c r="K207">
        <v>0</v>
      </c>
      <c r="L207">
        <v>1</v>
      </c>
      <c r="M207">
        <v>1</v>
      </c>
      <c r="N207">
        <v>0</v>
      </c>
      <c r="O207">
        <v>0</v>
      </c>
      <c r="P207">
        <v>1</v>
      </c>
      <c r="Q207">
        <v>0</v>
      </c>
      <c r="R207">
        <v>0</v>
      </c>
      <c r="S207">
        <v>1</v>
      </c>
      <c r="T207">
        <v>0</v>
      </c>
      <c r="U207">
        <v>1</v>
      </c>
      <c r="V207">
        <v>0</v>
      </c>
      <c r="W207">
        <v>0</v>
      </c>
      <c r="X207">
        <v>0</v>
      </c>
      <c r="Y207">
        <v>0</v>
      </c>
      <c r="Z207">
        <v>0</v>
      </c>
    </row>
    <row r="208" spans="1:26" x14ac:dyDescent="0.25">
      <c r="A208">
        <v>11</v>
      </c>
      <c r="B208">
        <v>10</v>
      </c>
      <c r="C208">
        <v>5</v>
      </c>
      <c r="D208">
        <v>3348</v>
      </c>
      <c r="E208">
        <v>3</v>
      </c>
      <c r="F208">
        <v>0</v>
      </c>
      <c r="G208">
        <v>1</v>
      </c>
      <c r="H208">
        <v>0</v>
      </c>
      <c r="I208">
        <v>0</v>
      </c>
      <c r="J208">
        <v>0</v>
      </c>
      <c r="K208">
        <v>1</v>
      </c>
      <c r="L208">
        <v>0</v>
      </c>
      <c r="M208">
        <v>0</v>
      </c>
      <c r="N208">
        <v>0</v>
      </c>
      <c r="O208">
        <v>0</v>
      </c>
      <c r="P208">
        <v>1</v>
      </c>
      <c r="Q208">
        <v>0</v>
      </c>
      <c r="R208">
        <v>1</v>
      </c>
      <c r="S208">
        <v>0</v>
      </c>
      <c r="T208">
        <v>1</v>
      </c>
      <c r="U208">
        <v>0</v>
      </c>
      <c r="V208">
        <v>0</v>
      </c>
      <c r="W208">
        <v>0</v>
      </c>
      <c r="X208">
        <v>0</v>
      </c>
      <c r="Y208">
        <v>0</v>
      </c>
      <c r="Z208">
        <v>0</v>
      </c>
    </row>
    <row r="209" spans="1:26" x14ac:dyDescent="0.25">
      <c r="A209">
        <v>30</v>
      </c>
      <c r="B209">
        <v>9</v>
      </c>
      <c r="C209">
        <v>2</v>
      </c>
      <c r="D209">
        <v>3933</v>
      </c>
      <c r="E209">
        <v>0</v>
      </c>
      <c r="F209">
        <v>0</v>
      </c>
      <c r="G209">
        <v>0</v>
      </c>
      <c r="H209">
        <v>1</v>
      </c>
      <c r="I209">
        <v>0</v>
      </c>
      <c r="J209">
        <v>1</v>
      </c>
      <c r="K209">
        <v>0</v>
      </c>
      <c r="L209">
        <v>0</v>
      </c>
      <c r="M209">
        <v>0</v>
      </c>
      <c r="N209">
        <v>0</v>
      </c>
      <c r="O209">
        <v>0</v>
      </c>
      <c r="P209">
        <v>1</v>
      </c>
      <c r="Q209">
        <v>0</v>
      </c>
      <c r="R209">
        <v>0</v>
      </c>
      <c r="S209">
        <v>1</v>
      </c>
      <c r="T209">
        <v>0</v>
      </c>
      <c r="U209">
        <v>0</v>
      </c>
      <c r="V209">
        <v>0</v>
      </c>
      <c r="W209">
        <v>0</v>
      </c>
      <c r="X209">
        <v>0</v>
      </c>
      <c r="Y209">
        <v>1</v>
      </c>
      <c r="Z209">
        <v>0</v>
      </c>
    </row>
    <row r="210" spans="1:26" x14ac:dyDescent="0.25">
      <c r="A210">
        <v>11</v>
      </c>
      <c r="B210">
        <v>7</v>
      </c>
      <c r="C210">
        <v>5</v>
      </c>
      <c r="D210">
        <v>1282</v>
      </c>
      <c r="E210">
        <v>2</v>
      </c>
      <c r="F210">
        <v>0</v>
      </c>
      <c r="G210">
        <v>0</v>
      </c>
      <c r="H210">
        <v>0</v>
      </c>
      <c r="I210">
        <v>1</v>
      </c>
      <c r="J210">
        <v>0</v>
      </c>
      <c r="K210">
        <v>0</v>
      </c>
      <c r="L210">
        <v>1</v>
      </c>
      <c r="M210">
        <v>0</v>
      </c>
      <c r="N210">
        <v>0</v>
      </c>
      <c r="O210">
        <v>0</v>
      </c>
      <c r="P210">
        <v>1</v>
      </c>
      <c r="Q210">
        <v>1</v>
      </c>
      <c r="R210">
        <v>0</v>
      </c>
      <c r="S210">
        <v>0</v>
      </c>
      <c r="T210">
        <v>0</v>
      </c>
      <c r="U210">
        <v>0</v>
      </c>
      <c r="V210">
        <v>1</v>
      </c>
      <c r="W210">
        <v>0</v>
      </c>
      <c r="X210">
        <v>0</v>
      </c>
      <c r="Y210">
        <v>0</v>
      </c>
      <c r="Z210">
        <v>0</v>
      </c>
    </row>
    <row r="211" spans="1:26" x14ac:dyDescent="0.25">
      <c r="A211">
        <v>18</v>
      </c>
      <c r="B211">
        <v>6</v>
      </c>
      <c r="C211">
        <v>4</v>
      </c>
      <c r="D211">
        <v>1467</v>
      </c>
      <c r="E211">
        <v>1</v>
      </c>
      <c r="F211">
        <v>0</v>
      </c>
      <c r="G211">
        <v>1</v>
      </c>
      <c r="H211">
        <v>0</v>
      </c>
      <c r="I211">
        <v>0</v>
      </c>
      <c r="J211">
        <v>0</v>
      </c>
      <c r="K211">
        <v>0</v>
      </c>
      <c r="L211">
        <v>1</v>
      </c>
      <c r="M211">
        <v>1</v>
      </c>
      <c r="N211">
        <v>0</v>
      </c>
      <c r="O211">
        <v>1</v>
      </c>
      <c r="P211">
        <v>0</v>
      </c>
      <c r="Q211">
        <v>0</v>
      </c>
      <c r="R211">
        <v>1</v>
      </c>
      <c r="S211">
        <v>0</v>
      </c>
      <c r="T211">
        <v>0</v>
      </c>
      <c r="U211">
        <v>1</v>
      </c>
      <c r="V211">
        <v>0</v>
      </c>
      <c r="W211">
        <v>0</v>
      </c>
      <c r="X211">
        <v>0</v>
      </c>
      <c r="Y211">
        <v>0</v>
      </c>
      <c r="Z211">
        <v>0</v>
      </c>
    </row>
    <row r="212" spans="1:26" x14ac:dyDescent="0.25">
      <c r="A212">
        <v>15</v>
      </c>
      <c r="B212">
        <v>6</v>
      </c>
      <c r="C212">
        <v>5</v>
      </c>
      <c r="D212">
        <v>3933</v>
      </c>
      <c r="E212">
        <v>1</v>
      </c>
      <c r="F212">
        <v>0</v>
      </c>
      <c r="G212">
        <v>0</v>
      </c>
      <c r="H212">
        <v>1</v>
      </c>
      <c r="I212">
        <v>0</v>
      </c>
      <c r="J212">
        <v>0</v>
      </c>
      <c r="K212">
        <v>0</v>
      </c>
      <c r="L212">
        <v>1</v>
      </c>
      <c r="M212">
        <v>0</v>
      </c>
      <c r="N212">
        <v>0</v>
      </c>
      <c r="O212">
        <v>0</v>
      </c>
      <c r="P212">
        <v>1</v>
      </c>
      <c r="Q212">
        <v>0</v>
      </c>
      <c r="R212">
        <v>1</v>
      </c>
      <c r="S212">
        <v>0</v>
      </c>
      <c r="T212">
        <v>0</v>
      </c>
      <c r="U212">
        <v>0</v>
      </c>
      <c r="V212">
        <v>0</v>
      </c>
      <c r="W212">
        <v>0</v>
      </c>
      <c r="X212">
        <v>1</v>
      </c>
      <c r="Y212">
        <v>0</v>
      </c>
      <c r="Z212">
        <v>0</v>
      </c>
    </row>
    <row r="213" spans="1:26" x14ac:dyDescent="0.25">
      <c r="A213">
        <v>54</v>
      </c>
      <c r="B213">
        <v>18</v>
      </c>
      <c r="C213">
        <v>2</v>
      </c>
      <c r="D213">
        <v>3003</v>
      </c>
      <c r="E213">
        <v>5</v>
      </c>
      <c r="F213">
        <v>0</v>
      </c>
      <c r="G213">
        <v>0</v>
      </c>
      <c r="H213">
        <v>1</v>
      </c>
      <c r="I213">
        <v>0</v>
      </c>
      <c r="J213">
        <v>1</v>
      </c>
      <c r="K213">
        <v>0</v>
      </c>
      <c r="L213">
        <v>0</v>
      </c>
      <c r="M213">
        <v>0</v>
      </c>
      <c r="N213">
        <v>0</v>
      </c>
      <c r="O213">
        <v>1</v>
      </c>
      <c r="P213">
        <v>0</v>
      </c>
      <c r="Q213">
        <v>1</v>
      </c>
      <c r="R213">
        <v>0</v>
      </c>
      <c r="S213">
        <v>0</v>
      </c>
      <c r="T213">
        <v>0</v>
      </c>
      <c r="U213">
        <v>0</v>
      </c>
      <c r="V213">
        <v>0</v>
      </c>
      <c r="W213">
        <v>0</v>
      </c>
      <c r="X213">
        <v>0</v>
      </c>
      <c r="Y213">
        <v>1</v>
      </c>
      <c r="Z213">
        <v>0</v>
      </c>
    </row>
    <row r="214" spans="1:26" x14ac:dyDescent="0.25">
      <c r="A214">
        <v>38</v>
      </c>
      <c r="B214">
        <v>18</v>
      </c>
      <c r="C214">
        <v>5</v>
      </c>
      <c r="D214">
        <v>1282</v>
      </c>
      <c r="E214">
        <v>8</v>
      </c>
      <c r="F214">
        <v>0</v>
      </c>
      <c r="G214">
        <v>1</v>
      </c>
      <c r="H214">
        <v>0</v>
      </c>
      <c r="I214">
        <v>0</v>
      </c>
      <c r="J214">
        <v>0</v>
      </c>
      <c r="K214">
        <v>0</v>
      </c>
      <c r="L214">
        <v>1</v>
      </c>
      <c r="M214">
        <v>0</v>
      </c>
      <c r="N214">
        <v>0</v>
      </c>
      <c r="O214">
        <v>0</v>
      </c>
      <c r="P214">
        <v>1</v>
      </c>
      <c r="Q214">
        <v>0</v>
      </c>
      <c r="R214">
        <v>0</v>
      </c>
      <c r="S214">
        <v>1</v>
      </c>
      <c r="T214">
        <v>0</v>
      </c>
      <c r="U214">
        <v>0</v>
      </c>
      <c r="V214">
        <v>0</v>
      </c>
      <c r="W214">
        <v>1</v>
      </c>
      <c r="X214">
        <v>0</v>
      </c>
      <c r="Y214">
        <v>0</v>
      </c>
      <c r="Z214">
        <v>0</v>
      </c>
    </row>
    <row r="215" spans="1:26" x14ac:dyDescent="0.25">
      <c r="A215">
        <v>27</v>
      </c>
      <c r="B215">
        <v>17</v>
      </c>
      <c r="C215">
        <v>3</v>
      </c>
      <c r="D215">
        <v>2884</v>
      </c>
      <c r="E215">
        <v>6</v>
      </c>
      <c r="F215">
        <v>0</v>
      </c>
      <c r="G215">
        <v>1</v>
      </c>
      <c r="H215">
        <v>0</v>
      </c>
      <c r="I215">
        <v>0</v>
      </c>
      <c r="J215">
        <v>0</v>
      </c>
      <c r="K215">
        <v>1</v>
      </c>
      <c r="L215">
        <v>0</v>
      </c>
      <c r="M215">
        <v>1</v>
      </c>
      <c r="N215">
        <v>0</v>
      </c>
      <c r="O215">
        <v>1</v>
      </c>
      <c r="P215">
        <v>0</v>
      </c>
      <c r="Q215">
        <v>0</v>
      </c>
      <c r="R215">
        <v>0</v>
      </c>
      <c r="S215">
        <v>1</v>
      </c>
      <c r="T215">
        <v>0</v>
      </c>
      <c r="U215">
        <v>0</v>
      </c>
      <c r="V215">
        <v>0</v>
      </c>
      <c r="W215">
        <v>0</v>
      </c>
      <c r="X215">
        <v>1</v>
      </c>
      <c r="Y215">
        <v>0</v>
      </c>
      <c r="Z215">
        <v>0</v>
      </c>
    </row>
    <row r="216" spans="1:26" x14ac:dyDescent="0.25">
      <c r="A216">
        <v>19</v>
      </c>
      <c r="B216">
        <v>17</v>
      </c>
      <c r="C216">
        <v>4</v>
      </c>
      <c r="D216">
        <v>3003</v>
      </c>
      <c r="E216">
        <v>5</v>
      </c>
      <c r="F216">
        <v>0</v>
      </c>
      <c r="G216">
        <v>0</v>
      </c>
      <c r="H216">
        <v>0</v>
      </c>
      <c r="I216">
        <v>1</v>
      </c>
      <c r="J216">
        <v>0</v>
      </c>
      <c r="K216">
        <v>0</v>
      </c>
      <c r="L216">
        <v>1</v>
      </c>
      <c r="M216">
        <v>0</v>
      </c>
      <c r="N216">
        <v>0</v>
      </c>
      <c r="O216">
        <v>1</v>
      </c>
      <c r="P216">
        <v>0</v>
      </c>
      <c r="Q216">
        <v>0</v>
      </c>
      <c r="R216">
        <v>1</v>
      </c>
      <c r="S216">
        <v>0</v>
      </c>
      <c r="T216">
        <v>0</v>
      </c>
      <c r="U216">
        <v>0</v>
      </c>
      <c r="V216">
        <v>0</v>
      </c>
      <c r="W216">
        <v>0</v>
      </c>
      <c r="X216">
        <v>0</v>
      </c>
      <c r="Y216">
        <v>0</v>
      </c>
      <c r="Z216">
        <v>1</v>
      </c>
    </row>
    <row r="217" spans="1:26" x14ac:dyDescent="0.25">
      <c r="A217">
        <v>27</v>
      </c>
      <c r="B217">
        <v>15</v>
      </c>
      <c r="C217">
        <v>5</v>
      </c>
      <c r="D217">
        <v>716</v>
      </c>
      <c r="E217">
        <v>5</v>
      </c>
      <c r="F217">
        <v>0</v>
      </c>
      <c r="G217">
        <v>0</v>
      </c>
      <c r="H217">
        <v>0</v>
      </c>
      <c r="I217">
        <v>1</v>
      </c>
      <c r="J217">
        <v>0</v>
      </c>
      <c r="K217">
        <v>0</v>
      </c>
      <c r="L217">
        <v>1</v>
      </c>
      <c r="M217">
        <v>1</v>
      </c>
      <c r="N217">
        <v>1</v>
      </c>
      <c r="O217">
        <v>0</v>
      </c>
      <c r="P217">
        <v>0</v>
      </c>
      <c r="Q217">
        <v>1</v>
      </c>
      <c r="R217">
        <v>0</v>
      </c>
      <c r="S217">
        <v>0</v>
      </c>
      <c r="T217">
        <v>0</v>
      </c>
      <c r="U217">
        <v>0</v>
      </c>
      <c r="V217">
        <v>0</v>
      </c>
      <c r="W217">
        <v>1</v>
      </c>
      <c r="X217">
        <v>0</v>
      </c>
      <c r="Y217">
        <v>0</v>
      </c>
      <c r="Z217">
        <v>0</v>
      </c>
    </row>
    <row r="218" spans="1:26" x14ac:dyDescent="0.25">
      <c r="A218">
        <v>20</v>
      </c>
      <c r="B218">
        <v>13</v>
      </c>
      <c r="C218">
        <v>5</v>
      </c>
      <c r="D218">
        <v>2700</v>
      </c>
      <c r="E218">
        <v>6</v>
      </c>
      <c r="F218">
        <v>0</v>
      </c>
      <c r="G218">
        <v>0</v>
      </c>
      <c r="H218">
        <v>1</v>
      </c>
      <c r="I218">
        <v>0</v>
      </c>
      <c r="J218">
        <v>1</v>
      </c>
      <c r="K218">
        <v>0</v>
      </c>
      <c r="L218">
        <v>0</v>
      </c>
      <c r="M218">
        <v>1</v>
      </c>
      <c r="N218">
        <v>0</v>
      </c>
      <c r="O218">
        <v>0</v>
      </c>
      <c r="P218">
        <v>1</v>
      </c>
      <c r="Q218">
        <v>0</v>
      </c>
      <c r="R218">
        <v>0</v>
      </c>
      <c r="S218">
        <v>1</v>
      </c>
      <c r="T218">
        <v>1</v>
      </c>
      <c r="U218">
        <v>0</v>
      </c>
      <c r="V218">
        <v>0</v>
      </c>
      <c r="W218">
        <v>0</v>
      </c>
      <c r="X218">
        <v>0</v>
      </c>
      <c r="Y218">
        <v>0</v>
      </c>
      <c r="Z218">
        <v>0</v>
      </c>
    </row>
    <row r="219" spans="1:26" x14ac:dyDescent="0.25">
      <c r="A219">
        <v>16</v>
      </c>
      <c r="B219">
        <v>13</v>
      </c>
      <c r="C219">
        <v>3</v>
      </c>
      <c r="D219">
        <v>2884</v>
      </c>
      <c r="E219">
        <v>6</v>
      </c>
      <c r="F219">
        <v>0</v>
      </c>
      <c r="G219">
        <v>0</v>
      </c>
      <c r="H219">
        <v>1</v>
      </c>
      <c r="I219">
        <v>0</v>
      </c>
      <c r="J219">
        <v>0</v>
      </c>
      <c r="K219">
        <v>1</v>
      </c>
      <c r="L219">
        <v>0</v>
      </c>
      <c r="M219">
        <v>1</v>
      </c>
      <c r="N219">
        <v>0</v>
      </c>
      <c r="O219">
        <v>1</v>
      </c>
      <c r="P219">
        <v>0</v>
      </c>
      <c r="Q219">
        <v>1</v>
      </c>
      <c r="R219">
        <v>0</v>
      </c>
      <c r="S219">
        <v>0</v>
      </c>
      <c r="T219">
        <v>0</v>
      </c>
      <c r="U219">
        <v>0</v>
      </c>
      <c r="V219">
        <v>0</v>
      </c>
      <c r="W219">
        <v>0</v>
      </c>
      <c r="X219">
        <v>0</v>
      </c>
      <c r="Y219">
        <v>0</v>
      </c>
      <c r="Z219">
        <v>1</v>
      </c>
    </row>
    <row r="220" spans="1:26" x14ac:dyDescent="0.25">
      <c r="A220">
        <v>39</v>
      </c>
      <c r="B220">
        <v>12</v>
      </c>
      <c r="C220">
        <v>5</v>
      </c>
      <c r="D220">
        <v>3348</v>
      </c>
      <c r="E220">
        <v>2</v>
      </c>
      <c r="F220">
        <v>0</v>
      </c>
      <c r="G220">
        <v>0</v>
      </c>
      <c r="H220">
        <v>0</v>
      </c>
      <c r="I220">
        <v>1</v>
      </c>
      <c r="J220">
        <v>1</v>
      </c>
      <c r="K220">
        <v>0</v>
      </c>
      <c r="L220">
        <v>0</v>
      </c>
      <c r="M220">
        <v>0</v>
      </c>
      <c r="N220">
        <v>0</v>
      </c>
      <c r="O220">
        <v>0</v>
      </c>
      <c r="P220">
        <v>1</v>
      </c>
      <c r="Q220">
        <v>0</v>
      </c>
      <c r="R220">
        <v>0</v>
      </c>
      <c r="S220">
        <v>1</v>
      </c>
      <c r="T220">
        <v>0</v>
      </c>
      <c r="U220">
        <v>0</v>
      </c>
      <c r="V220">
        <v>0</v>
      </c>
      <c r="W220">
        <v>0</v>
      </c>
      <c r="X220">
        <v>1</v>
      </c>
      <c r="Y220">
        <v>0</v>
      </c>
      <c r="Z220">
        <v>0</v>
      </c>
    </row>
    <row r="221" spans="1:26" x14ac:dyDescent="0.25">
      <c r="A221">
        <v>25</v>
      </c>
      <c r="B221">
        <v>10</v>
      </c>
      <c r="C221">
        <v>5</v>
      </c>
      <c r="D221">
        <v>188</v>
      </c>
      <c r="E221">
        <v>8</v>
      </c>
      <c r="F221">
        <v>0</v>
      </c>
      <c r="G221">
        <v>0</v>
      </c>
      <c r="H221">
        <v>0</v>
      </c>
      <c r="I221">
        <v>1</v>
      </c>
      <c r="J221">
        <v>1</v>
      </c>
      <c r="K221">
        <v>0</v>
      </c>
      <c r="L221">
        <v>0</v>
      </c>
      <c r="M221">
        <v>0</v>
      </c>
      <c r="N221">
        <v>0</v>
      </c>
      <c r="O221">
        <v>1</v>
      </c>
      <c r="P221">
        <v>0</v>
      </c>
      <c r="Q221">
        <v>0</v>
      </c>
      <c r="R221">
        <v>1</v>
      </c>
      <c r="S221">
        <v>0</v>
      </c>
      <c r="T221">
        <v>0</v>
      </c>
      <c r="U221">
        <v>0</v>
      </c>
      <c r="V221">
        <v>0</v>
      </c>
      <c r="W221">
        <v>0</v>
      </c>
      <c r="X221">
        <v>0</v>
      </c>
      <c r="Y221">
        <v>1</v>
      </c>
      <c r="Z221">
        <v>0</v>
      </c>
    </row>
    <row r="222" spans="1:26" x14ac:dyDescent="0.25">
      <c r="A222">
        <v>18</v>
      </c>
      <c r="B222">
        <v>10</v>
      </c>
      <c r="C222">
        <v>3</v>
      </c>
      <c r="D222">
        <v>1467</v>
      </c>
      <c r="E222">
        <v>2</v>
      </c>
      <c r="F222">
        <v>1</v>
      </c>
      <c r="G222">
        <v>0</v>
      </c>
      <c r="H222">
        <v>0</v>
      </c>
      <c r="I222">
        <v>0</v>
      </c>
      <c r="J222">
        <v>1</v>
      </c>
      <c r="K222">
        <v>0</v>
      </c>
      <c r="L222">
        <v>0</v>
      </c>
      <c r="M222">
        <v>1</v>
      </c>
      <c r="N222">
        <v>0</v>
      </c>
      <c r="O222">
        <v>1</v>
      </c>
      <c r="P222">
        <v>0</v>
      </c>
      <c r="Q222">
        <v>1</v>
      </c>
      <c r="R222">
        <v>0</v>
      </c>
      <c r="S222">
        <v>0</v>
      </c>
      <c r="T222">
        <v>0</v>
      </c>
      <c r="U222">
        <v>0</v>
      </c>
      <c r="V222">
        <v>0</v>
      </c>
      <c r="W222">
        <v>0</v>
      </c>
      <c r="X222">
        <v>1</v>
      </c>
      <c r="Y222">
        <v>0</v>
      </c>
      <c r="Z222">
        <v>0</v>
      </c>
    </row>
    <row r="223" spans="1:26" x14ac:dyDescent="0.25">
      <c r="A223">
        <v>16</v>
      </c>
      <c r="B223">
        <v>10</v>
      </c>
      <c r="C223">
        <v>3</v>
      </c>
      <c r="D223">
        <v>2700</v>
      </c>
      <c r="E223">
        <v>7</v>
      </c>
      <c r="F223">
        <v>0</v>
      </c>
      <c r="G223">
        <v>0</v>
      </c>
      <c r="H223">
        <v>1</v>
      </c>
      <c r="I223">
        <v>0</v>
      </c>
      <c r="J223">
        <v>1</v>
      </c>
      <c r="K223">
        <v>0</v>
      </c>
      <c r="L223">
        <v>0</v>
      </c>
      <c r="M223">
        <v>1</v>
      </c>
      <c r="N223">
        <v>0</v>
      </c>
      <c r="O223">
        <v>0</v>
      </c>
      <c r="P223">
        <v>1</v>
      </c>
      <c r="Q223">
        <v>1</v>
      </c>
      <c r="R223">
        <v>0</v>
      </c>
      <c r="S223">
        <v>0</v>
      </c>
      <c r="T223">
        <v>0</v>
      </c>
      <c r="U223">
        <v>1</v>
      </c>
      <c r="V223">
        <v>0</v>
      </c>
      <c r="W223">
        <v>0</v>
      </c>
      <c r="X223">
        <v>0</v>
      </c>
      <c r="Y223">
        <v>0</v>
      </c>
      <c r="Z223">
        <v>0</v>
      </c>
    </row>
    <row r="224" spans="1:26" x14ac:dyDescent="0.25">
      <c r="A224">
        <v>13</v>
      </c>
      <c r="B224">
        <v>10</v>
      </c>
      <c r="C224">
        <v>4</v>
      </c>
      <c r="D224">
        <v>1467</v>
      </c>
      <c r="E224">
        <v>10</v>
      </c>
      <c r="F224">
        <v>0</v>
      </c>
      <c r="G224">
        <v>1</v>
      </c>
      <c r="H224">
        <v>0</v>
      </c>
      <c r="I224">
        <v>0</v>
      </c>
      <c r="J224">
        <v>1</v>
      </c>
      <c r="K224">
        <v>0</v>
      </c>
      <c r="L224">
        <v>0</v>
      </c>
      <c r="M224">
        <v>1</v>
      </c>
      <c r="N224">
        <v>0</v>
      </c>
      <c r="O224">
        <v>1</v>
      </c>
      <c r="P224">
        <v>0</v>
      </c>
      <c r="Q224">
        <v>0</v>
      </c>
      <c r="R224">
        <v>1</v>
      </c>
      <c r="S224">
        <v>0</v>
      </c>
      <c r="T224">
        <v>0</v>
      </c>
      <c r="U224">
        <v>0</v>
      </c>
      <c r="V224">
        <v>0</v>
      </c>
      <c r="W224">
        <v>0</v>
      </c>
      <c r="X224">
        <v>0</v>
      </c>
      <c r="Y224">
        <v>0</v>
      </c>
      <c r="Z224">
        <v>1</v>
      </c>
    </row>
    <row r="225" spans="1:26" x14ac:dyDescent="0.25">
      <c r="A225">
        <v>27</v>
      </c>
      <c r="B225">
        <v>8</v>
      </c>
      <c r="C225">
        <v>4</v>
      </c>
      <c r="D225">
        <v>787</v>
      </c>
      <c r="E225">
        <v>4</v>
      </c>
      <c r="F225">
        <v>0</v>
      </c>
      <c r="G225">
        <v>1</v>
      </c>
      <c r="H225">
        <v>0</v>
      </c>
      <c r="I225">
        <v>0</v>
      </c>
      <c r="J225">
        <v>1</v>
      </c>
      <c r="K225">
        <v>0</v>
      </c>
      <c r="L225">
        <v>0</v>
      </c>
      <c r="M225">
        <v>1</v>
      </c>
      <c r="N225">
        <v>1</v>
      </c>
      <c r="O225">
        <v>0</v>
      </c>
      <c r="P225">
        <v>0</v>
      </c>
      <c r="Q225">
        <v>0</v>
      </c>
      <c r="R225">
        <v>0</v>
      </c>
      <c r="S225">
        <v>1</v>
      </c>
      <c r="T225">
        <v>0</v>
      </c>
      <c r="U225">
        <v>0</v>
      </c>
      <c r="V225">
        <v>0</v>
      </c>
      <c r="W225">
        <v>0</v>
      </c>
      <c r="X225">
        <v>1</v>
      </c>
      <c r="Y225">
        <v>0</v>
      </c>
      <c r="Z225">
        <v>0</v>
      </c>
    </row>
    <row r="226" spans="1:26" x14ac:dyDescent="0.25">
      <c r="A226">
        <v>12</v>
      </c>
      <c r="B226">
        <v>6</v>
      </c>
      <c r="C226">
        <v>3</v>
      </c>
      <c r="D226">
        <v>3933</v>
      </c>
      <c r="E226">
        <v>3</v>
      </c>
      <c r="F226">
        <v>0</v>
      </c>
      <c r="G226">
        <v>0</v>
      </c>
      <c r="H226">
        <v>1</v>
      </c>
      <c r="I226">
        <v>0</v>
      </c>
      <c r="J226">
        <v>1</v>
      </c>
      <c r="K226">
        <v>0</v>
      </c>
      <c r="L226">
        <v>0</v>
      </c>
      <c r="M226">
        <v>0</v>
      </c>
      <c r="N226">
        <v>0</v>
      </c>
      <c r="O226">
        <v>0</v>
      </c>
      <c r="P226">
        <v>1</v>
      </c>
      <c r="Q226">
        <v>0</v>
      </c>
      <c r="R226">
        <v>1</v>
      </c>
      <c r="S226">
        <v>0</v>
      </c>
      <c r="T226">
        <v>1</v>
      </c>
      <c r="U226">
        <v>0</v>
      </c>
      <c r="V226">
        <v>0</v>
      </c>
      <c r="W226">
        <v>0</v>
      </c>
      <c r="X226">
        <v>0</v>
      </c>
      <c r="Y226">
        <v>0</v>
      </c>
      <c r="Z226">
        <v>0</v>
      </c>
    </row>
    <row r="227" spans="1:26" x14ac:dyDescent="0.25">
      <c r="A227">
        <v>18</v>
      </c>
      <c r="B227">
        <v>4</v>
      </c>
      <c r="C227">
        <v>5</v>
      </c>
      <c r="D227">
        <v>2959</v>
      </c>
      <c r="E227">
        <v>0</v>
      </c>
      <c r="F227">
        <v>0</v>
      </c>
      <c r="G227">
        <v>0</v>
      </c>
      <c r="H227">
        <v>0</v>
      </c>
      <c r="I227">
        <v>1</v>
      </c>
      <c r="J227">
        <v>1</v>
      </c>
      <c r="K227">
        <v>0</v>
      </c>
      <c r="L227">
        <v>0</v>
      </c>
      <c r="M227">
        <v>0</v>
      </c>
      <c r="N227">
        <v>0</v>
      </c>
      <c r="O227">
        <v>0</v>
      </c>
      <c r="P227">
        <v>1</v>
      </c>
      <c r="Q227">
        <v>0</v>
      </c>
      <c r="R227">
        <v>1</v>
      </c>
      <c r="S227">
        <v>0</v>
      </c>
      <c r="T227">
        <v>1</v>
      </c>
      <c r="U227">
        <v>0</v>
      </c>
      <c r="V227">
        <v>0</v>
      </c>
      <c r="W227">
        <v>0</v>
      </c>
      <c r="X227">
        <v>0</v>
      </c>
      <c r="Y227">
        <v>0</v>
      </c>
      <c r="Z227">
        <v>0</v>
      </c>
    </row>
    <row r="228" spans="1:26" x14ac:dyDescent="0.25">
      <c r="A228">
        <v>8</v>
      </c>
      <c r="B228">
        <v>4</v>
      </c>
      <c r="C228">
        <v>5</v>
      </c>
      <c r="D228">
        <v>2700</v>
      </c>
      <c r="E228">
        <v>7</v>
      </c>
      <c r="F228">
        <v>0</v>
      </c>
      <c r="G228">
        <v>0</v>
      </c>
      <c r="H228">
        <v>0</v>
      </c>
      <c r="I228">
        <v>1</v>
      </c>
      <c r="J228">
        <v>0</v>
      </c>
      <c r="K228">
        <v>0</v>
      </c>
      <c r="L228">
        <v>1</v>
      </c>
      <c r="M228">
        <v>1</v>
      </c>
      <c r="N228">
        <v>0</v>
      </c>
      <c r="O228">
        <v>0</v>
      </c>
      <c r="P228">
        <v>1</v>
      </c>
      <c r="Q228">
        <v>0</v>
      </c>
      <c r="R228">
        <v>1</v>
      </c>
      <c r="S228">
        <v>0</v>
      </c>
      <c r="T228">
        <v>0</v>
      </c>
      <c r="U228">
        <v>0</v>
      </c>
      <c r="V228">
        <v>1</v>
      </c>
      <c r="W228">
        <v>0</v>
      </c>
      <c r="X228">
        <v>0</v>
      </c>
      <c r="Y228">
        <v>0</v>
      </c>
      <c r="Z228">
        <v>0</v>
      </c>
    </row>
    <row r="229" spans="1:26" x14ac:dyDescent="0.25">
      <c r="A229">
        <v>11</v>
      </c>
      <c r="B229">
        <v>3</v>
      </c>
      <c r="C229">
        <v>2</v>
      </c>
      <c r="D229">
        <v>1228</v>
      </c>
      <c r="E229">
        <v>2</v>
      </c>
      <c r="F229">
        <v>0</v>
      </c>
      <c r="G229">
        <v>0</v>
      </c>
      <c r="H229">
        <v>0</v>
      </c>
      <c r="I229">
        <v>1</v>
      </c>
      <c r="J229">
        <v>0</v>
      </c>
      <c r="K229">
        <v>0</v>
      </c>
      <c r="L229">
        <v>1</v>
      </c>
      <c r="M229">
        <v>0</v>
      </c>
      <c r="N229">
        <v>1</v>
      </c>
      <c r="O229">
        <v>0</v>
      </c>
      <c r="P229">
        <v>0</v>
      </c>
      <c r="Q229">
        <v>0</v>
      </c>
      <c r="R229">
        <v>1</v>
      </c>
      <c r="S229">
        <v>0</v>
      </c>
      <c r="T229">
        <v>0</v>
      </c>
      <c r="U229">
        <v>0</v>
      </c>
      <c r="V229">
        <v>0</v>
      </c>
      <c r="W229">
        <v>0</v>
      </c>
      <c r="X229">
        <v>0</v>
      </c>
      <c r="Y229">
        <v>0</v>
      </c>
      <c r="Z229">
        <v>1</v>
      </c>
    </row>
    <row r="230" spans="1:26" x14ac:dyDescent="0.25">
      <c r="A230">
        <v>4</v>
      </c>
      <c r="B230">
        <v>0</v>
      </c>
      <c r="C230">
        <v>1</v>
      </c>
      <c r="D230">
        <v>188</v>
      </c>
      <c r="E230">
        <v>0</v>
      </c>
      <c r="F230">
        <v>0</v>
      </c>
      <c r="G230">
        <v>1</v>
      </c>
      <c r="H230">
        <v>0</v>
      </c>
      <c r="I230">
        <v>0</v>
      </c>
      <c r="J230">
        <v>1</v>
      </c>
      <c r="K230">
        <v>0</v>
      </c>
      <c r="L230">
        <v>0</v>
      </c>
      <c r="M230">
        <v>0</v>
      </c>
      <c r="N230">
        <v>0</v>
      </c>
      <c r="O230">
        <v>1</v>
      </c>
      <c r="P230">
        <v>0</v>
      </c>
      <c r="Q230">
        <v>0</v>
      </c>
      <c r="R230">
        <v>0</v>
      </c>
      <c r="S230">
        <v>1</v>
      </c>
      <c r="T230">
        <v>0</v>
      </c>
      <c r="U230">
        <v>0</v>
      </c>
      <c r="V230">
        <v>0</v>
      </c>
      <c r="W230">
        <v>0</v>
      </c>
      <c r="X230">
        <v>1</v>
      </c>
      <c r="Y230">
        <v>0</v>
      </c>
      <c r="Z230">
        <v>0</v>
      </c>
    </row>
    <row r="231" spans="1:26" x14ac:dyDescent="0.25">
      <c r="A231">
        <v>60</v>
      </c>
      <c r="B231">
        <v>16</v>
      </c>
      <c r="C231">
        <v>4</v>
      </c>
      <c r="D231">
        <v>4027</v>
      </c>
      <c r="E231">
        <v>5</v>
      </c>
      <c r="F231">
        <v>1</v>
      </c>
      <c r="G231">
        <v>0</v>
      </c>
      <c r="H231">
        <v>0</v>
      </c>
      <c r="I231">
        <v>0</v>
      </c>
      <c r="J231">
        <v>0</v>
      </c>
      <c r="K231">
        <v>1</v>
      </c>
      <c r="L231">
        <v>0</v>
      </c>
      <c r="M231">
        <v>0</v>
      </c>
      <c r="N231">
        <v>0</v>
      </c>
      <c r="O231">
        <v>0</v>
      </c>
      <c r="P231">
        <v>1</v>
      </c>
      <c r="Q231">
        <v>0</v>
      </c>
      <c r="R231">
        <v>0</v>
      </c>
      <c r="S231">
        <v>1</v>
      </c>
      <c r="T231">
        <v>0</v>
      </c>
      <c r="U231">
        <v>0</v>
      </c>
      <c r="V231">
        <v>1</v>
      </c>
      <c r="W231">
        <v>0</v>
      </c>
      <c r="X231">
        <v>0</v>
      </c>
      <c r="Y231">
        <v>0</v>
      </c>
      <c r="Z231">
        <v>0</v>
      </c>
    </row>
    <row r="232" spans="1:26" x14ac:dyDescent="0.25">
      <c r="A232">
        <v>29</v>
      </c>
      <c r="B232">
        <v>11</v>
      </c>
      <c r="C232">
        <v>5</v>
      </c>
      <c r="D232">
        <v>2034</v>
      </c>
      <c r="E232">
        <v>6</v>
      </c>
      <c r="F232">
        <v>0</v>
      </c>
      <c r="G232">
        <v>0</v>
      </c>
      <c r="H232">
        <v>0</v>
      </c>
      <c r="I232">
        <v>1</v>
      </c>
      <c r="J232">
        <v>0</v>
      </c>
      <c r="K232">
        <v>0</v>
      </c>
      <c r="L232">
        <v>1</v>
      </c>
      <c r="M232">
        <v>0</v>
      </c>
      <c r="N232">
        <v>0</v>
      </c>
      <c r="O232">
        <v>0</v>
      </c>
      <c r="P232">
        <v>1</v>
      </c>
      <c r="Q232">
        <v>0</v>
      </c>
      <c r="R232">
        <v>0</v>
      </c>
      <c r="S232">
        <v>1</v>
      </c>
      <c r="T232">
        <v>0</v>
      </c>
      <c r="U232">
        <v>1</v>
      </c>
      <c r="V232">
        <v>0</v>
      </c>
      <c r="W232">
        <v>0</v>
      </c>
      <c r="X232">
        <v>0</v>
      </c>
      <c r="Y232">
        <v>0</v>
      </c>
      <c r="Z232">
        <v>0</v>
      </c>
    </row>
    <row r="233" spans="1:26" x14ac:dyDescent="0.25">
      <c r="A233">
        <v>29</v>
      </c>
      <c r="B233">
        <v>11</v>
      </c>
      <c r="C233">
        <v>4</v>
      </c>
      <c r="D233">
        <v>3981</v>
      </c>
      <c r="E233">
        <v>3</v>
      </c>
      <c r="F233">
        <v>1</v>
      </c>
      <c r="G233">
        <v>0</v>
      </c>
      <c r="H233">
        <v>0</v>
      </c>
      <c r="I233">
        <v>0</v>
      </c>
      <c r="J233">
        <v>0</v>
      </c>
      <c r="K233">
        <v>0</v>
      </c>
      <c r="L233">
        <v>1</v>
      </c>
      <c r="M233">
        <v>0</v>
      </c>
      <c r="N233">
        <v>1</v>
      </c>
      <c r="O233">
        <v>0</v>
      </c>
      <c r="P233">
        <v>0</v>
      </c>
      <c r="Q233">
        <v>0</v>
      </c>
      <c r="R233">
        <v>1</v>
      </c>
      <c r="S233">
        <v>0</v>
      </c>
      <c r="T233">
        <v>0</v>
      </c>
      <c r="U233">
        <v>1</v>
      </c>
      <c r="V233">
        <v>0</v>
      </c>
      <c r="W233">
        <v>0</v>
      </c>
      <c r="X233">
        <v>0</v>
      </c>
      <c r="Y233">
        <v>0</v>
      </c>
      <c r="Z233">
        <v>0</v>
      </c>
    </row>
    <row r="234" spans="1:26" x14ac:dyDescent="0.25">
      <c r="A234">
        <v>18</v>
      </c>
      <c r="B234">
        <v>11</v>
      </c>
      <c r="C234">
        <v>5</v>
      </c>
      <c r="D234">
        <v>2700</v>
      </c>
      <c r="E234">
        <v>7</v>
      </c>
      <c r="F234">
        <v>1</v>
      </c>
      <c r="G234">
        <v>0</v>
      </c>
      <c r="H234">
        <v>0</v>
      </c>
      <c r="I234">
        <v>0</v>
      </c>
      <c r="J234">
        <v>0</v>
      </c>
      <c r="K234">
        <v>0</v>
      </c>
      <c r="L234">
        <v>1</v>
      </c>
      <c r="M234">
        <v>1</v>
      </c>
      <c r="N234">
        <v>0</v>
      </c>
      <c r="O234">
        <v>0</v>
      </c>
      <c r="P234">
        <v>1</v>
      </c>
      <c r="Q234">
        <v>0</v>
      </c>
      <c r="R234">
        <v>0</v>
      </c>
      <c r="S234">
        <v>1</v>
      </c>
      <c r="T234">
        <v>0</v>
      </c>
      <c r="U234">
        <v>0</v>
      </c>
      <c r="V234">
        <v>0</v>
      </c>
      <c r="W234">
        <v>0</v>
      </c>
      <c r="X234">
        <v>0</v>
      </c>
      <c r="Y234">
        <v>1</v>
      </c>
      <c r="Z234">
        <v>0</v>
      </c>
    </row>
    <row r="235" spans="1:26" x14ac:dyDescent="0.25">
      <c r="A235">
        <v>54</v>
      </c>
      <c r="B235">
        <v>10</v>
      </c>
      <c r="C235">
        <v>4</v>
      </c>
      <c r="D235">
        <v>787</v>
      </c>
      <c r="E235">
        <v>5</v>
      </c>
      <c r="F235">
        <v>0</v>
      </c>
      <c r="G235">
        <v>0</v>
      </c>
      <c r="H235">
        <v>1</v>
      </c>
      <c r="I235">
        <v>0</v>
      </c>
      <c r="J235">
        <v>1</v>
      </c>
      <c r="K235">
        <v>0</v>
      </c>
      <c r="L235">
        <v>0</v>
      </c>
      <c r="M235">
        <v>1</v>
      </c>
      <c r="N235">
        <v>1</v>
      </c>
      <c r="O235">
        <v>0</v>
      </c>
      <c r="P235">
        <v>0</v>
      </c>
      <c r="Q235">
        <v>0</v>
      </c>
      <c r="R235">
        <v>0</v>
      </c>
      <c r="S235">
        <v>1</v>
      </c>
      <c r="T235">
        <v>0</v>
      </c>
      <c r="U235">
        <v>0</v>
      </c>
      <c r="V235">
        <v>0</v>
      </c>
      <c r="W235">
        <v>0</v>
      </c>
      <c r="X235">
        <v>0</v>
      </c>
      <c r="Y235">
        <v>1</v>
      </c>
      <c r="Z235">
        <v>0</v>
      </c>
    </row>
    <row r="236" spans="1:26" x14ac:dyDescent="0.25">
      <c r="A236">
        <v>58</v>
      </c>
      <c r="B236">
        <v>9</v>
      </c>
      <c r="C236">
        <v>4</v>
      </c>
      <c r="D236">
        <v>3981</v>
      </c>
      <c r="E236">
        <v>0</v>
      </c>
      <c r="F236">
        <v>0</v>
      </c>
      <c r="G236">
        <v>1</v>
      </c>
      <c r="H236">
        <v>0</v>
      </c>
      <c r="I236">
        <v>0</v>
      </c>
      <c r="J236">
        <v>0</v>
      </c>
      <c r="K236">
        <v>0</v>
      </c>
      <c r="L236">
        <v>1</v>
      </c>
      <c r="M236">
        <v>0</v>
      </c>
      <c r="N236">
        <v>1</v>
      </c>
      <c r="O236">
        <v>0</v>
      </c>
      <c r="P236">
        <v>0</v>
      </c>
      <c r="Q236">
        <v>1</v>
      </c>
      <c r="R236">
        <v>0</v>
      </c>
      <c r="S236">
        <v>0</v>
      </c>
      <c r="T236">
        <v>0</v>
      </c>
      <c r="U236">
        <v>0</v>
      </c>
      <c r="V236">
        <v>1</v>
      </c>
      <c r="W236">
        <v>0</v>
      </c>
      <c r="X236">
        <v>0</v>
      </c>
      <c r="Y236">
        <v>0</v>
      </c>
      <c r="Z236">
        <v>0</v>
      </c>
    </row>
    <row r="237" spans="1:26" x14ac:dyDescent="0.25">
      <c r="A237">
        <v>36</v>
      </c>
      <c r="B237">
        <v>9</v>
      </c>
      <c r="C237">
        <v>4</v>
      </c>
      <c r="D237">
        <v>2959</v>
      </c>
      <c r="E237">
        <v>2</v>
      </c>
      <c r="F237">
        <v>1</v>
      </c>
      <c r="G237">
        <v>0</v>
      </c>
      <c r="H237">
        <v>0</v>
      </c>
      <c r="I237">
        <v>0</v>
      </c>
      <c r="J237">
        <v>1</v>
      </c>
      <c r="K237">
        <v>0</v>
      </c>
      <c r="L237">
        <v>0</v>
      </c>
      <c r="M237">
        <v>0</v>
      </c>
      <c r="N237">
        <v>0</v>
      </c>
      <c r="O237">
        <v>0</v>
      </c>
      <c r="P237">
        <v>1</v>
      </c>
      <c r="Q237">
        <v>0</v>
      </c>
      <c r="R237">
        <v>1</v>
      </c>
      <c r="S237">
        <v>0</v>
      </c>
      <c r="T237">
        <v>0</v>
      </c>
      <c r="U237">
        <v>0</v>
      </c>
      <c r="V237">
        <v>1</v>
      </c>
      <c r="W237">
        <v>0</v>
      </c>
      <c r="X237">
        <v>0</v>
      </c>
      <c r="Y237">
        <v>0</v>
      </c>
      <c r="Z237">
        <v>0</v>
      </c>
    </row>
    <row r="238" spans="1:26" x14ac:dyDescent="0.25">
      <c r="A238">
        <v>13</v>
      </c>
      <c r="B238">
        <v>9</v>
      </c>
      <c r="C238">
        <v>4</v>
      </c>
      <c r="D238">
        <v>3003</v>
      </c>
      <c r="E238">
        <v>1</v>
      </c>
      <c r="F238">
        <v>0</v>
      </c>
      <c r="G238">
        <v>1</v>
      </c>
      <c r="H238">
        <v>0</v>
      </c>
      <c r="I238">
        <v>0</v>
      </c>
      <c r="J238">
        <v>1</v>
      </c>
      <c r="K238">
        <v>0</v>
      </c>
      <c r="L238">
        <v>0</v>
      </c>
      <c r="M238">
        <v>0</v>
      </c>
      <c r="N238">
        <v>0</v>
      </c>
      <c r="O238">
        <v>1</v>
      </c>
      <c r="P238">
        <v>0</v>
      </c>
      <c r="Q238">
        <v>0</v>
      </c>
      <c r="R238">
        <v>0</v>
      </c>
      <c r="S238">
        <v>1</v>
      </c>
      <c r="T238">
        <v>0</v>
      </c>
      <c r="U238">
        <v>1</v>
      </c>
      <c r="V238">
        <v>0</v>
      </c>
      <c r="W238">
        <v>0</v>
      </c>
      <c r="X238">
        <v>0</v>
      </c>
      <c r="Y238">
        <v>0</v>
      </c>
      <c r="Z238">
        <v>0</v>
      </c>
    </row>
    <row r="239" spans="1:26" x14ac:dyDescent="0.25">
      <c r="A239">
        <v>29</v>
      </c>
      <c r="B239">
        <v>7</v>
      </c>
      <c r="C239">
        <v>5</v>
      </c>
      <c r="D239">
        <v>4027</v>
      </c>
      <c r="E239">
        <v>7</v>
      </c>
      <c r="F239">
        <v>0</v>
      </c>
      <c r="G239">
        <v>0</v>
      </c>
      <c r="H239">
        <v>0</v>
      </c>
      <c r="I239">
        <v>1</v>
      </c>
      <c r="J239">
        <v>0</v>
      </c>
      <c r="K239">
        <v>0</v>
      </c>
      <c r="L239">
        <v>1</v>
      </c>
      <c r="M239">
        <v>0</v>
      </c>
      <c r="N239">
        <v>0</v>
      </c>
      <c r="O239">
        <v>0</v>
      </c>
      <c r="P239">
        <v>1</v>
      </c>
      <c r="Q239">
        <v>0</v>
      </c>
      <c r="R239">
        <v>1</v>
      </c>
      <c r="S239">
        <v>0</v>
      </c>
      <c r="T239">
        <v>0</v>
      </c>
      <c r="U239">
        <v>0</v>
      </c>
      <c r="V239">
        <v>0</v>
      </c>
      <c r="W239">
        <v>0</v>
      </c>
      <c r="X239">
        <v>1</v>
      </c>
      <c r="Y239">
        <v>0</v>
      </c>
      <c r="Z239">
        <v>0</v>
      </c>
    </row>
    <row r="240" spans="1:26" x14ac:dyDescent="0.25">
      <c r="A240">
        <v>21</v>
      </c>
      <c r="B240">
        <v>6</v>
      </c>
      <c r="C240">
        <v>5</v>
      </c>
      <c r="D240">
        <v>4027</v>
      </c>
      <c r="E240">
        <v>3</v>
      </c>
      <c r="F240">
        <v>0</v>
      </c>
      <c r="G240">
        <v>1</v>
      </c>
      <c r="H240">
        <v>0</v>
      </c>
      <c r="I240">
        <v>0</v>
      </c>
      <c r="J240">
        <v>0</v>
      </c>
      <c r="K240">
        <v>0</v>
      </c>
      <c r="L240">
        <v>1</v>
      </c>
      <c r="M240">
        <v>0</v>
      </c>
      <c r="N240">
        <v>0</v>
      </c>
      <c r="O240">
        <v>0</v>
      </c>
      <c r="P240">
        <v>1</v>
      </c>
      <c r="Q240">
        <v>0</v>
      </c>
      <c r="R240">
        <v>1</v>
      </c>
      <c r="S240">
        <v>0</v>
      </c>
      <c r="T240">
        <v>0</v>
      </c>
      <c r="U240">
        <v>0</v>
      </c>
      <c r="V240">
        <v>1</v>
      </c>
      <c r="W240">
        <v>0</v>
      </c>
      <c r="X240">
        <v>0</v>
      </c>
      <c r="Y240">
        <v>0</v>
      </c>
      <c r="Z240">
        <v>0</v>
      </c>
    </row>
    <row r="241" spans="1:26" x14ac:dyDescent="0.25">
      <c r="A241">
        <v>14</v>
      </c>
      <c r="B241">
        <v>5</v>
      </c>
      <c r="C241">
        <v>4</v>
      </c>
      <c r="D241">
        <v>315</v>
      </c>
      <c r="E241">
        <v>5</v>
      </c>
      <c r="F241">
        <v>0</v>
      </c>
      <c r="G241">
        <v>0</v>
      </c>
      <c r="H241">
        <v>0</v>
      </c>
      <c r="I241">
        <v>1</v>
      </c>
      <c r="J241">
        <v>1</v>
      </c>
      <c r="K241">
        <v>0</v>
      </c>
      <c r="L241">
        <v>0</v>
      </c>
      <c r="M241">
        <v>0</v>
      </c>
      <c r="N241">
        <v>1</v>
      </c>
      <c r="O241">
        <v>0</v>
      </c>
      <c r="P241">
        <v>0</v>
      </c>
      <c r="Q241">
        <v>0</v>
      </c>
      <c r="R241">
        <v>1</v>
      </c>
      <c r="S241">
        <v>0</v>
      </c>
      <c r="T241">
        <v>0</v>
      </c>
      <c r="U241">
        <v>0</v>
      </c>
      <c r="V241">
        <v>0</v>
      </c>
      <c r="W241">
        <v>0</v>
      </c>
      <c r="X241">
        <v>1</v>
      </c>
      <c r="Y241">
        <v>0</v>
      </c>
      <c r="Z241">
        <v>0</v>
      </c>
    </row>
    <row r="242" spans="1:26" x14ac:dyDescent="0.25">
      <c r="A242">
        <v>9</v>
      </c>
      <c r="B242">
        <v>3</v>
      </c>
      <c r="C242">
        <v>5</v>
      </c>
      <c r="D242">
        <v>3025</v>
      </c>
      <c r="E242">
        <v>1</v>
      </c>
      <c r="F242">
        <v>0</v>
      </c>
      <c r="G242">
        <v>0</v>
      </c>
      <c r="H242">
        <v>0</v>
      </c>
      <c r="I242">
        <v>1</v>
      </c>
      <c r="J242">
        <v>0</v>
      </c>
      <c r="K242">
        <v>1</v>
      </c>
      <c r="L242">
        <v>0</v>
      </c>
      <c r="M242">
        <v>0</v>
      </c>
      <c r="N242">
        <v>0</v>
      </c>
      <c r="O242">
        <v>0</v>
      </c>
      <c r="P242">
        <v>1</v>
      </c>
      <c r="Q242">
        <v>0</v>
      </c>
      <c r="R242">
        <v>0</v>
      </c>
      <c r="S242">
        <v>1</v>
      </c>
      <c r="T242">
        <v>0</v>
      </c>
      <c r="U242">
        <v>0</v>
      </c>
      <c r="V242">
        <v>0</v>
      </c>
      <c r="W242">
        <v>0</v>
      </c>
      <c r="X242">
        <v>0</v>
      </c>
      <c r="Y242">
        <v>0</v>
      </c>
      <c r="Z242">
        <v>1</v>
      </c>
    </row>
    <row r="243" spans="1:26" x14ac:dyDescent="0.25">
      <c r="A243">
        <v>2</v>
      </c>
      <c r="B243">
        <v>0</v>
      </c>
      <c r="C243">
        <v>1</v>
      </c>
      <c r="D243">
        <v>1282</v>
      </c>
      <c r="E243">
        <v>1</v>
      </c>
      <c r="F243">
        <v>0</v>
      </c>
      <c r="G243">
        <v>0</v>
      </c>
      <c r="H243">
        <v>0</v>
      </c>
      <c r="I243">
        <v>1</v>
      </c>
      <c r="J243">
        <v>0</v>
      </c>
      <c r="K243">
        <v>1</v>
      </c>
      <c r="L243">
        <v>0</v>
      </c>
      <c r="M243">
        <v>0</v>
      </c>
      <c r="N243">
        <v>0</v>
      </c>
      <c r="O243">
        <v>0</v>
      </c>
      <c r="P243">
        <v>1</v>
      </c>
      <c r="Q243">
        <v>1</v>
      </c>
      <c r="R243">
        <v>0</v>
      </c>
      <c r="S243">
        <v>0</v>
      </c>
      <c r="T243">
        <v>0</v>
      </c>
      <c r="U243">
        <v>1</v>
      </c>
      <c r="V243">
        <v>0</v>
      </c>
      <c r="W243">
        <v>0</v>
      </c>
      <c r="X243">
        <v>0</v>
      </c>
      <c r="Y243">
        <v>0</v>
      </c>
      <c r="Z243">
        <v>0</v>
      </c>
    </row>
    <row r="244" spans="1:26" x14ac:dyDescent="0.25">
      <c r="A244">
        <v>28</v>
      </c>
      <c r="B244">
        <v>20</v>
      </c>
      <c r="C244">
        <v>3</v>
      </c>
      <c r="D244">
        <v>3025</v>
      </c>
      <c r="E244">
        <v>8</v>
      </c>
      <c r="F244">
        <v>0</v>
      </c>
      <c r="G244">
        <v>1</v>
      </c>
      <c r="H244">
        <v>0</v>
      </c>
      <c r="I244">
        <v>0</v>
      </c>
      <c r="J244">
        <v>0</v>
      </c>
      <c r="K244">
        <v>0</v>
      </c>
      <c r="L244">
        <v>1</v>
      </c>
      <c r="M244">
        <v>0</v>
      </c>
      <c r="N244">
        <v>0</v>
      </c>
      <c r="O244">
        <v>0</v>
      </c>
      <c r="P244">
        <v>1</v>
      </c>
      <c r="Q244">
        <v>0</v>
      </c>
      <c r="R244">
        <v>0</v>
      </c>
      <c r="S244">
        <v>1</v>
      </c>
      <c r="T244">
        <v>1</v>
      </c>
      <c r="U244">
        <v>0</v>
      </c>
      <c r="V244">
        <v>0</v>
      </c>
      <c r="W244">
        <v>0</v>
      </c>
      <c r="X244">
        <v>0</v>
      </c>
      <c r="Y244">
        <v>0</v>
      </c>
      <c r="Z244">
        <v>0</v>
      </c>
    </row>
    <row r="245" spans="1:26" x14ac:dyDescent="0.25">
      <c r="A245">
        <v>21</v>
      </c>
      <c r="B245">
        <v>20</v>
      </c>
      <c r="C245">
        <v>5</v>
      </c>
      <c r="D245">
        <v>2884</v>
      </c>
      <c r="E245">
        <v>3</v>
      </c>
      <c r="F245">
        <v>0</v>
      </c>
      <c r="G245">
        <v>1</v>
      </c>
      <c r="H245">
        <v>0</v>
      </c>
      <c r="I245">
        <v>0</v>
      </c>
      <c r="J245">
        <v>0</v>
      </c>
      <c r="K245">
        <v>0</v>
      </c>
      <c r="L245">
        <v>1</v>
      </c>
      <c r="M245">
        <v>1</v>
      </c>
      <c r="N245">
        <v>0</v>
      </c>
      <c r="O245">
        <v>1</v>
      </c>
      <c r="P245">
        <v>0</v>
      </c>
      <c r="Q245">
        <v>1</v>
      </c>
      <c r="R245">
        <v>0</v>
      </c>
      <c r="S245">
        <v>0</v>
      </c>
      <c r="T245">
        <v>0</v>
      </c>
      <c r="U245">
        <v>0</v>
      </c>
      <c r="V245">
        <v>0</v>
      </c>
      <c r="W245">
        <v>0</v>
      </c>
      <c r="X245">
        <v>0</v>
      </c>
      <c r="Y245">
        <v>0</v>
      </c>
      <c r="Z245">
        <v>1</v>
      </c>
    </row>
    <row r="246" spans="1:26" x14ac:dyDescent="0.25">
      <c r="A246">
        <v>2</v>
      </c>
      <c r="B246">
        <v>18</v>
      </c>
      <c r="C246">
        <v>5</v>
      </c>
      <c r="D246">
        <v>2700</v>
      </c>
      <c r="E246">
        <v>8</v>
      </c>
      <c r="F246">
        <v>0</v>
      </c>
      <c r="G246">
        <v>0</v>
      </c>
      <c r="H246">
        <v>0</v>
      </c>
      <c r="I246">
        <v>1</v>
      </c>
      <c r="J246">
        <v>0</v>
      </c>
      <c r="K246">
        <v>0</v>
      </c>
      <c r="L246">
        <v>1</v>
      </c>
      <c r="M246">
        <v>1</v>
      </c>
      <c r="N246">
        <v>0</v>
      </c>
      <c r="O246">
        <v>0</v>
      </c>
      <c r="P246">
        <v>1</v>
      </c>
      <c r="Q246">
        <v>0</v>
      </c>
      <c r="R246">
        <v>1</v>
      </c>
      <c r="S246">
        <v>0</v>
      </c>
      <c r="T246">
        <v>0</v>
      </c>
      <c r="U246">
        <v>0</v>
      </c>
      <c r="V246">
        <v>0</v>
      </c>
      <c r="W246">
        <v>0</v>
      </c>
      <c r="X246">
        <v>0</v>
      </c>
      <c r="Y246">
        <v>0</v>
      </c>
      <c r="Z246">
        <v>1</v>
      </c>
    </row>
    <row r="247" spans="1:26" x14ac:dyDescent="0.25">
      <c r="A247">
        <v>28</v>
      </c>
      <c r="B247">
        <v>17</v>
      </c>
      <c r="C247">
        <v>5</v>
      </c>
      <c r="D247">
        <v>1228</v>
      </c>
      <c r="E247">
        <v>2</v>
      </c>
      <c r="F247">
        <v>0</v>
      </c>
      <c r="G247">
        <v>0</v>
      </c>
      <c r="H247">
        <v>0</v>
      </c>
      <c r="I247">
        <v>1</v>
      </c>
      <c r="J247">
        <v>1</v>
      </c>
      <c r="K247">
        <v>0</v>
      </c>
      <c r="L247">
        <v>0</v>
      </c>
      <c r="M247">
        <v>0</v>
      </c>
      <c r="N247">
        <v>1</v>
      </c>
      <c r="O247">
        <v>0</v>
      </c>
      <c r="P247">
        <v>0</v>
      </c>
      <c r="Q247">
        <v>0</v>
      </c>
      <c r="R247">
        <v>0</v>
      </c>
      <c r="S247">
        <v>1</v>
      </c>
      <c r="T247">
        <v>0</v>
      </c>
      <c r="U247">
        <v>0</v>
      </c>
      <c r="V247">
        <v>0</v>
      </c>
      <c r="W247">
        <v>0</v>
      </c>
      <c r="X247">
        <v>0</v>
      </c>
      <c r="Y247">
        <v>0</v>
      </c>
      <c r="Z247">
        <v>1</v>
      </c>
    </row>
    <row r="248" spans="1:26" x14ac:dyDescent="0.25">
      <c r="A248">
        <v>56</v>
      </c>
      <c r="B248">
        <v>11</v>
      </c>
      <c r="C248">
        <v>5</v>
      </c>
      <c r="D248">
        <v>4027</v>
      </c>
      <c r="E248">
        <v>5</v>
      </c>
      <c r="F248">
        <v>0</v>
      </c>
      <c r="G248">
        <v>0</v>
      </c>
      <c r="H248">
        <v>0</v>
      </c>
      <c r="I248">
        <v>1</v>
      </c>
      <c r="J248">
        <v>0</v>
      </c>
      <c r="K248">
        <v>0</v>
      </c>
      <c r="L248">
        <v>1</v>
      </c>
      <c r="M248">
        <v>0</v>
      </c>
      <c r="N248">
        <v>0</v>
      </c>
      <c r="O248">
        <v>0</v>
      </c>
      <c r="P248">
        <v>1</v>
      </c>
      <c r="Q248">
        <v>0</v>
      </c>
      <c r="R248">
        <v>1</v>
      </c>
      <c r="S248">
        <v>0</v>
      </c>
      <c r="T248">
        <v>1</v>
      </c>
      <c r="U248">
        <v>0</v>
      </c>
      <c r="V248">
        <v>0</v>
      </c>
      <c r="W248">
        <v>0</v>
      </c>
      <c r="X248">
        <v>0</v>
      </c>
      <c r="Y248">
        <v>0</v>
      </c>
      <c r="Z248">
        <v>0</v>
      </c>
    </row>
    <row r="249" spans="1:26" x14ac:dyDescent="0.25">
      <c r="A249">
        <v>32</v>
      </c>
      <c r="B249">
        <v>11</v>
      </c>
      <c r="C249">
        <v>5</v>
      </c>
      <c r="D249">
        <v>2034</v>
      </c>
      <c r="E249">
        <v>3</v>
      </c>
      <c r="F249">
        <v>0</v>
      </c>
      <c r="G249">
        <v>1</v>
      </c>
      <c r="H249">
        <v>0</v>
      </c>
      <c r="I249">
        <v>0</v>
      </c>
      <c r="J249">
        <v>0</v>
      </c>
      <c r="K249">
        <v>1</v>
      </c>
      <c r="L249">
        <v>0</v>
      </c>
      <c r="M249">
        <v>0</v>
      </c>
      <c r="N249">
        <v>0</v>
      </c>
      <c r="O249">
        <v>0</v>
      </c>
      <c r="P249">
        <v>1</v>
      </c>
      <c r="Q249">
        <v>0</v>
      </c>
      <c r="R249">
        <v>0</v>
      </c>
      <c r="S249">
        <v>1</v>
      </c>
      <c r="T249">
        <v>0</v>
      </c>
      <c r="U249">
        <v>0</v>
      </c>
      <c r="V249">
        <v>0</v>
      </c>
      <c r="W249">
        <v>1</v>
      </c>
      <c r="X249">
        <v>0</v>
      </c>
      <c r="Y249">
        <v>0</v>
      </c>
      <c r="Z249">
        <v>0</v>
      </c>
    </row>
    <row r="250" spans="1:26" x14ac:dyDescent="0.25">
      <c r="A250">
        <v>29</v>
      </c>
      <c r="B250">
        <v>11</v>
      </c>
      <c r="C250">
        <v>3</v>
      </c>
      <c r="D250">
        <v>2884</v>
      </c>
      <c r="E250">
        <v>6</v>
      </c>
      <c r="F250">
        <v>1</v>
      </c>
      <c r="G250">
        <v>0</v>
      </c>
      <c r="H250">
        <v>0</v>
      </c>
      <c r="I250">
        <v>0</v>
      </c>
      <c r="J250">
        <v>1</v>
      </c>
      <c r="K250">
        <v>0</v>
      </c>
      <c r="L250">
        <v>0</v>
      </c>
      <c r="M250">
        <v>1</v>
      </c>
      <c r="N250">
        <v>0</v>
      </c>
      <c r="O250">
        <v>1</v>
      </c>
      <c r="P250">
        <v>0</v>
      </c>
      <c r="Q250">
        <v>0</v>
      </c>
      <c r="R250">
        <v>1</v>
      </c>
      <c r="S250">
        <v>0</v>
      </c>
      <c r="T250">
        <v>0</v>
      </c>
      <c r="U250">
        <v>0</v>
      </c>
      <c r="V250">
        <v>0</v>
      </c>
      <c r="W250">
        <v>1</v>
      </c>
      <c r="X250">
        <v>0</v>
      </c>
      <c r="Y250">
        <v>0</v>
      </c>
      <c r="Z250">
        <v>0</v>
      </c>
    </row>
    <row r="251" spans="1:26" x14ac:dyDescent="0.25">
      <c r="A251">
        <v>19</v>
      </c>
      <c r="B251">
        <v>11</v>
      </c>
      <c r="C251">
        <v>3</v>
      </c>
      <c r="D251">
        <v>716</v>
      </c>
      <c r="E251">
        <v>5</v>
      </c>
      <c r="F251">
        <v>0</v>
      </c>
      <c r="G251">
        <v>0</v>
      </c>
      <c r="H251">
        <v>0</v>
      </c>
      <c r="I251">
        <v>1</v>
      </c>
      <c r="J251">
        <v>0</v>
      </c>
      <c r="K251">
        <v>0</v>
      </c>
      <c r="L251">
        <v>1</v>
      </c>
      <c r="M251">
        <v>1</v>
      </c>
      <c r="N251">
        <v>1</v>
      </c>
      <c r="O251">
        <v>0</v>
      </c>
      <c r="P251">
        <v>0</v>
      </c>
      <c r="Q251">
        <v>0</v>
      </c>
      <c r="R251">
        <v>1</v>
      </c>
      <c r="S251">
        <v>0</v>
      </c>
      <c r="T251">
        <v>0</v>
      </c>
      <c r="U251">
        <v>0</v>
      </c>
      <c r="V251">
        <v>0</v>
      </c>
      <c r="W251">
        <v>1</v>
      </c>
      <c r="X251">
        <v>0</v>
      </c>
      <c r="Y251">
        <v>0</v>
      </c>
      <c r="Z251">
        <v>0</v>
      </c>
    </row>
    <row r="252" spans="1:26" x14ac:dyDescent="0.25">
      <c r="A252">
        <v>31</v>
      </c>
      <c r="B252">
        <v>10</v>
      </c>
      <c r="C252">
        <v>4</v>
      </c>
      <c r="D252">
        <v>3025</v>
      </c>
      <c r="E252">
        <v>5</v>
      </c>
      <c r="F252">
        <v>0</v>
      </c>
      <c r="G252">
        <v>0</v>
      </c>
      <c r="H252">
        <v>1</v>
      </c>
      <c r="I252">
        <v>0</v>
      </c>
      <c r="J252">
        <v>0</v>
      </c>
      <c r="K252">
        <v>0</v>
      </c>
      <c r="L252">
        <v>1</v>
      </c>
      <c r="M252">
        <v>0</v>
      </c>
      <c r="N252">
        <v>0</v>
      </c>
      <c r="O252">
        <v>0</v>
      </c>
      <c r="P252">
        <v>1</v>
      </c>
      <c r="Q252">
        <v>0</v>
      </c>
      <c r="R252">
        <v>0</v>
      </c>
      <c r="S252">
        <v>1</v>
      </c>
      <c r="T252">
        <v>0</v>
      </c>
      <c r="U252">
        <v>0</v>
      </c>
      <c r="V252">
        <v>0</v>
      </c>
      <c r="W252">
        <v>1</v>
      </c>
      <c r="X252">
        <v>0</v>
      </c>
      <c r="Y252">
        <v>0</v>
      </c>
      <c r="Z252">
        <v>0</v>
      </c>
    </row>
    <row r="253" spans="1:26" x14ac:dyDescent="0.25">
      <c r="A253">
        <v>16</v>
      </c>
      <c r="B253">
        <v>9</v>
      </c>
      <c r="C253">
        <v>4</v>
      </c>
      <c r="D253">
        <v>2959</v>
      </c>
      <c r="E253">
        <v>3</v>
      </c>
      <c r="F253">
        <v>1</v>
      </c>
      <c r="G253">
        <v>0</v>
      </c>
      <c r="H253">
        <v>0</v>
      </c>
      <c r="I253">
        <v>0</v>
      </c>
      <c r="J253">
        <v>1</v>
      </c>
      <c r="K253">
        <v>0</v>
      </c>
      <c r="L253">
        <v>0</v>
      </c>
      <c r="M253">
        <v>0</v>
      </c>
      <c r="N253">
        <v>0</v>
      </c>
      <c r="O253">
        <v>0</v>
      </c>
      <c r="P253">
        <v>1</v>
      </c>
      <c r="Q253">
        <v>1</v>
      </c>
      <c r="R253">
        <v>0</v>
      </c>
      <c r="S253">
        <v>0</v>
      </c>
      <c r="T253">
        <v>0</v>
      </c>
      <c r="U253">
        <v>0</v>
      </c>
      <c r="V253">
        <v>0</v>
      </c>
      <c r="W253">
        <v>0</v>
      </c>
      <c r="X253">
        <v>1</v>
      </c>
      <c r="Y253">
        <v>0</v>
      </c>
      <c r="Z253">
        <v>0</v>
      </c>
    </row>
    <row r="254" spans="1:26" x14ac:dyDescent="0.25">
      <c r="A254">
        <v>41</v>
      </c>
      <c r="B254">
        <v>8</v>
      </c>
      <c r="C254">
        <v>3</v>
      </c>
      <c r="D254">
        <v>787</v>
      </c>
      <c r="E254">
        <v>4</v>
      </c>
      <c r="F254">
        <v>0</v>
      </c>
      <c r="G254">
        <v>1</v>
      </c>
      <c r="H254">
        <v>0</v>
      </c>
      <c r="I254">
        <v>0</v>
      </c>
      <c r="J254">
        <v>0</v>
      </c>
      <c r="K254">
        <v>1</v>
      </c>
      <c r="L254">
        <v>0</v>
      </c>
      <c r="M254">
        <v>1</v>
      </c>
      <c r="N254">
        <v>1</v>
      </c>
      <c r="O254">
        <v>0</v>
      </c>
      <c r="P254">
        <v>0</v>
      </c>
      <c r="Q254">
        <v>0</v>
      </c>
      <c r="R254">
        <v>0</v>
      </c>
      <c r="S254">
        <v>1</v>
      </c>
      <c r="T254">
        <v>0</v>
      </c>
      <c r="U254">
        <v>0</v>
      </c>
      <c r="V254">
        <v>0</v>
      </c>
      <c r="W254">
        <v>0</v>
      </c>
      <c r="X254">
        <v>0</v>
      </c>
      <c r="Y254">
        <v>0</v>
      </c>
      <c r="Z254">
        <v>1</v>
      </c>
    </row>
    <row r="255" spans="1:26" x14ac:dyDescent="0.25">
      <c r="A255">
        <v>14</v>
      </c>
      <c r="B255">
        <v>7</v>
      </c>
      <c r="C255">
        <v>4</v>
      </c>
      <c r="D255">
        <v>3773</v>
      </c>
      <c r="E255">
        <v>6</v>
      </c>
      <c r="F255">
        <v>0</v>
      </c>
      <c r="G255">
        <v>0</v>
      </c>
      <c r="H255">
        <v>1</v>
      </c>
      <c r="I255">
        <v>0</v>
      </c>
      <c r="J255">
        <v>1</v>
      </c>
      <c r="K255">
        <v>0</v>
      </c>
      <c r="L255">
        <v>0</v>
      </c>
      <c r="M255">
        <v>0</v>
      </c>
      <c r="N255">
        <v>1</v>
      </c>
      <c r="O255">
        <v>0</v>
      </c>
      <c r="P255">
        <v>0</v>
      </c>
      <c r="Q255">
        <v>0</v>
      </c>
      <c r="R255">
        <v>1</v>
      </c>
      <c r="S255">
        <v>0</v>
      </c>
      <c r="T255">
        <v>1</v>
      </c>
      <c r="U255">
        <v>0</v>
      </c>
      <c r="V255">
        <v>0</v>
      </c>
      <c r="W255">
        <v>0</v>
      </c>
      <c r="X255">
        <v>0</v>
      </c>
      <c r="Y255">
        <v>0</v>
      </c>
      <c r="Z255">
        <v>0</v>
      </c>
    </row>
    <row r="256" spans="1:26" x14ac:dyDescent="0.25">
      <c r="A256">
        <v>5</v>
      </c>
      <c r="B256">
        <v>5</v>
      </c>
      <c r="C256">
        <v>5</v>
      </c>
      <c r="D256">
        <v>2034</v>
      </c>
      <c r="E256">
        <v>5</v>
      </c>
      <c r="F256">
        <v>0</v>
      </c>
      <c r="G256">
        <v>0</v>
      </c>
      <c r="H256">
        <v>0</v>
      </c>
      <c r="I256">
        <v>1</v>
      </c>
      <c r="J256">
        <v>0</v>
      </c>
      <c r="K256">
        <v>0</v>
      </c>
      <c r="L256">
        <v>1</v>
      </c>
      <c r="M256">
        <v>0</v>
      </c>
      <c r="N256">
        <v>0</v>
      </c>
      <c r="O256">
        <v>0</v>
      </c>
      <c r="P256">
        <v>1</v>
      </c>
      <c r="Q256">
        <v>0</v>
      </c>
      <c r="R256">
        <v>0</v>
      </c>
      <c r="S256">
        <v>1</v>
      </c>
      <c r="T256">
        <v>0</v>
      </c>
      <c r="U256">
        <v>0</v>
      </c>
      <c r="V256">
        <v>0</v>
      </c>
      <c r="W256">
        <v>1</v>
      </c>
      <c r="X256">
        <v>0</v>
      </c>
      <c r="Y256">
        <v>0</v>
      </c>
      <c r="Z256">
        <v>0</v>
      </c>
    </row>
    <row r="257" spans="1:26" x14ac:dyDescent="0.25">
      <c r="A257">
        <v>6</v>
      </c>
      <c r="B257">
        <v>4</v>
      </c>
      <c r="C257">
        <v>1</v>
      </c>
      <c r="D257">
        <v>2959</v>
      </c>
      <c r="E257">
        <v>1</v>
      </c>
      <c r="F257">
        <v>0</v>
      </c>
      <c r="G257">
        <v>1</v>
      </c>
      <c r="H257">
        <v>0</v>
      </c>
      <c r="I257">
        <v>0</v>
      </c>
      <c r="J257">
        <v>1</v>
      </c>
      <c r="K257">
        <v>0</v>
      </c>
      <c r="L257">
        <v>0</v>
      </c>
      <c r="M257">
        <v>0</v>
      </c>
      <c r="N257">
        <v>0</v>
      </c>
      <c r="O257">
        <v>0</v>
      </c>
      <c r="P257">
        <v>1</v>
      </c>
      <c r="Q257">
        <v>0</v>
      </c>
      <c r="R257">
        <v>0</v>
      </c>
      <c r="S257">
        <v>1</v>
      </c>
      <c r="T257">
        <v>0</v>
      </c>
      <c r="U257">
        <v>0</v>
      </c>
      <c r="V257">
        <v>0</v>
      </c>
      <c r="W257">
        <v>0</v>
      </c>
      <c r="X257">
        <v>0</v>
      </c>
      <c r="Y257">
        <v>0</v>
      </c>
      <c r="Z257">
        <v>1</v>
      </c>
    </row>
    <row r="258" spans="1:26" x14ac:dyDescent="0.25">
      <c r="A258">
        <v>14</v>
      </c>
      <c r="B258">
        <v>3</v>
      </c>
      <c r="C258">
        <v>5</v>
      </c>
      <c r="D258">
        <v>787</v>
      </c>
      <c r="E258">
        <v>6</v>
      </c>
      <c r="F258">
        <v>0</v>
      </c>
      <c r="G258">
        <v>0</v>
      </c>
      <c r="H258">
        <v>0</v>
      </c>
      <c r="I258">
        <v>1</v>
      </c>
      <c r="J258">
        <v>1</v>
      </c>
      <c r="K258">
        <v>0</v>
      </c>
      <c r="L258">
        <v>0</v>
      </c>
      <c r="M258">
        <v>1</v>
      </c>
      <c r="N258">
        <v>1</v>
      </c>
      <c r="O258">
        <v>0</v>
      </c>
      <c r="P258">
        <v>0</v>
      </c>
      <c r="Q258">
        <v>0</v>
      </c>
      <c r="R258">
        <v>0</v>
      </c>
      <c r="S258">
        <v>1</v>
      </c>
      <c r="T258">
        <v>0</v>
      </c>
      <c r="U258">
        <v>0</v>
      </c>
      <c r="V258">
        <v>0</v>
      </c>
      <c r="W258">
        <v>0</v>
      </c>
      <c r="X258">
        <v>0</v>
      </c>
      <c r="Y258">
        <v>1</v>
      </c>
      <c r="Z258">
        <v>0</v>
      </c>
    </row>
    <row r="259" spans="1:26" x14ac:dyDescent="0.25">
      <c r="A259">
        <v>6</v>
      </c>
      <c r="B259">
        <v>3</v>
      </c>
      <c r="C259">
        <v>5</v>
      </c>
      <c r="D259">
        <v>787</v>
      </c>
      <c r="E259">
        <v>3</v>
      </c>
      <c r="F259">
        <v>0</v>
      </c>
      <c r="G259">
        <v>1</v>
      </c>
      <c r="H259">
        <v>0</v>
      </c>
      <c r="I259">
        <v>0</v>
      </c>
      <c r="J259">
        <v>0</v>
      </c>
      <c r="K259">
        <v>1</v>
      </c>
      <c r="L259">
        <v>0</v>
      </c>
      <c r="M259">
        <v>1</v>
      </c>
      <c r="N259">
        <v>1</v>
      </c>
      <c r="O259">
        <v>0</v>
      </c>
      <c r="P259">
        <v>0</v>
      </c>
      <c r="Q259">
        <v>0</v>
      </c>
      <c r="R259">
        <v>1</v>
      </c>
      <c r="S259">
        <v>0</v>
      </c>
      <c r="T259">
        <v>0</v>
      </c>
      <c r="U259">
        <v>0</v>
      </c>
      <c r="V259">
        <v>0</v>
      </c>
      <c r="W259">
        <v>1</v>
      </c>
      <c r="X259">
        <v>0</v>
      </c>
      <c r="Y259">
        <v>0</v>
      </c>
      <c r="Z259">
        <v>0</v>
      </c>
    </row>
    <row r="260" spans="1:26" x14ac:dyDescent="0.25">
      <c r="A260">
        <v>17</v>
      </c>
      <c r="B260">
        <v>15</v>
      </c>
      <c r="C260">
        <v>4</v>
      </c>
      <c r="D260">
        <v>3348</v>
      </c>
      <c r="E260">
        <v>2</v>
      </c>
      <c r="F260">
        <v>0</v>
      </c>
      <c r="G260">
        <v>1</v>
      </c>
      <c r="H260">
        <v>0</v>
      </c>
      <c r="I260">
        <v>0</v>
      </c>
      <c r="J260">
        <v>0</v>
      </c>
      <c r="K260">
        <v>0</v>
      </c>
      <c r="L260">
        <v>1</v>
      </c>
      <c r="M260">
        <v>0</v>
      </c>
      <c r="N260">
        <v>0</v>
      </c>
      <c r="O260">
        <v>0</v>
      </c>
      <c r="P260">
        <v>1</v>
      </c>
      <c r="Q260">
        <v>0</v>
      </c>
      <c r="R260">
        <v>0</v>
      </c>
      <c r="S260">
        <v>1</v>
      </c>
      <c r="T260">
        <v>0</v>
      </c>
      <c r="U260">
        <v>0</v>
      </c>
      <c r="V260">
        <v>0</v>
      </c>
      <c r="W260">
        <v>1</v>
      </c>
      <c r="X260">
        <v>0</v>
      </c>
      <c r="Y260">
        <v>0</v>
      </c>
      <c r="Z260">
        <v>0</v>
      </c>
    </row>
    <row r="261" spans="1:26" x14ac:dyDescent="0.25">
      <c r="A261">
        <v>21</v>
      </c>
      <c r="B261">
        <v>11</v>
      </c>
      <c r="C261">
        <v>5</v>
      </c>
      <c r="D261">
        <v>787</v>
      </c>
      <c r="E261">
        <v>4</v>
      </c>
      <c r="F261">
        <v>1</v>
      </c>
      <c r="G261">
        <v>0</v>
      </c>
      <c r="H261">
        <v>0</v>
      </c>
      <c r="I261">
        <v>0</v>
      </c>
      <c r="J261">
        <v>0</v>
      </c>
      <c r="K261">
        <v>1</v>
      </c>
      <c r="L261">
        <v>0</v>
      </c>
      <c r="M261">
        <v>1</v>
      </c>
      <c r="N261">
        <v>1</v>
      </c>
      <c r="O261">
        <v>0</v>
      </c>
      <c r="P261">
        <v>0</v>
      </c>
      <c r="Q261">
        <v>1</v>
      </c>
      <c r="R261">
        <v>0</v>
      </c>
      <c r="S261">
        <v>0</v>
      </c>
      <c r="T261">
        <v>0</v>
      </c>
      <c r="U261">
        <v>0</v>
      </c>
      <c r="V261">
        <v>0</v>
      </c>
      <c r="W261">
        <v>1</v>
      </c>
      <c r="X261">
        <v>0</v>
      </c>
      <c r="Y261">
        <v>0</v>
      </c>
      <c r="Z261">
        <v>0</v>
      </c>
    </row>
    <row r="262" spans="1:26" x14ac:dyDescent="0.25">
      <c r="A262">
        <v>39</v>
      </c>
      <c r="B262">
        <v>10</v>
      </c>
      <c r="C262">
        <v>4</v>
      </c>
      <c r="D262">
        <v>716</v>
      </c>
      <c r="E262">
        <v>3</v>
      </c>
      <c r="F262">
        <v>0</v>
      </c>
      <c r="G262">
        <v>0</v>
      </c>
      <c r="H262">
        <v>1</v>
      </c>
      <c r="I262">
        <v>0</v>
      </c>
      <c r="J262">
        <v>0</v>
      </c>
      <c r="K262">
        <v>0</v>
      </c>
      <c r="L262">
        <v>1</v>
      </c>
      <c r="M262">
        <v>1</v>
      </c>
      <c r="N262">
        <v>1</v>
      </c>
      <c r="O262">
        <v>0</v>
      </c>
      <c r="P262">
        <v>0</v>
      </c>
      <c r="Q262">
        <v>0</v>
      </c>
      <c r="R262">
        <v>0</v>
      </c>
      <c r="S262">
        <v>1</v>
      </c>
      <c r="T262">
        <v>0</v>
      </c>
      <c r="U262">
        <v>0</v>
      </c>
      <c r="V262">
        <v>0</v>
      </c>
      <c r="W262">
        <v>0</v>
      </c>
      <c r="X262">
        <v>0</v>
      </c>
      <c r="Y262">
        <v>0</v>
      </c>
      <c r="Z262">
        <v>1</v>
      </c>
    </row>
    <row r="263" spans="1:26" x14ac:dyDescent="0.25">
      <c r="A263">
        <v>24</v>
      </c>
      <c r="B263">
        <v>10</v>
      </c>
      <c r="C263">
        <v>5</v>
      </c>
      <c r="D263">
        <v>3003</v>
      </c>
      <c r="E263">
        <v>5</v>
      </c>
      <c r="F263">
        <v>0</v>
      </c>
      <c r="G263">
        <v>0</v>
      </c>
      <c r="H263">
        <v>1</v>
      </c>
      <c r="I263">
        <v>0</v>
      </c>
      <c r="J263">
        <v>0</v>
      </c>
      <c r="K263">
        <v>0</v>
      </c>
      <c r="L263">
        <v>1</v>
      </c>
      <c r="M263">
        <v>0</v>
      </c>
      <c r="N263">
        <v>0</v>
      </c>
      <c r="O263">
        <v>1</v>
      </c>
      <c r="P263">
        <v>0</v>
      </c>
      <c r="Q263">
        <v>0</v>
      </c>
      <c r="R263">
        <v>1</v>
      </c>
      <c r="S263">
        <v>0</v>
      </c>
      <c r="T263">
        <v>0</v>
      </c>
      <c r="U263">
        <v>0</v>
      </c>
      <c r="V263">
        <v>0</v>
      </c>
      <c r="W263">
        <v>0</v>
      </c>
      <c r="X263">
        <v>0</v>
      </c>
      <c r="Y263">
        <v>0</v>
      </c>
      <c r="Z263">
        <v>1</v>
      </c>
    </row>
    <row r="264" spans="1:26" x14ac:dyDescent="0.25">
      <c r="A264">
        <v>42</v>
      </c>
      <c r="B264">
        <v>9</v>
      </c>
      <c r="C264">
        <v>5</v>
      </c>
      <c r="D264">
        <v>732</v>
      </c>
      <c r="E264">
        <v>1</v>
      </c>
      <c r="F264">
        <v>1</v>
      </c>
      <c r="G264">
        <v>0</v>
      </c>
      <c r="H264">
        <v>0</v>
      </c>
      <c r="I264">
        <v>0</v>
      </c>
      <c r="J264">
        <v>0</v>
      </c>
      <c r="K264">
        <v>0</v>
      </c>
      <c r="L264">
        <v>1</v>
      </c>
      <c r="M264">
        <v>0</v>
      </c>
      <c r="N264">
        <v>1</v>
      </c>
      <c r="O264">
        <v>0</v>
      </c>
      <c r="P264">
        <v>0</v>
      </c>
      <c r="Q264">
        <v>0</v>
      </c>
      <c r="R264">
        <v>0</v>
      </c>
      <c r="S264">
        <v>1</v>
      </c>
      <c r="T264">
        <v>0</v>
      </c>
      <c r="U264">
        <v>0</v>
      </c>
      <c r="V264">
        <v>0</v>
      </c>
      <c r="W264">
        <v>0</v>
      </c>
      <c r="X264">
        <v>0</v>
      </c>
      <c r="Y264">
        <v>1</v>
      </c>
      <c r="Z264">
        <v>0</v>
      </c>
    </row>
    <row r="265" spans="1:26" x14ac:dyDescent="0.25">
      <c r="A265">
        <v>11</v>
      </c>
      <c r="B265">
        <v>8</v>
      </c>
      <c r="C265">
        <v>5</v>
      </c>
      <c r="D265">
        <v>3981</v>
      </c>
      <c r="E265">
        <v>7</v>
      </c>
      <c r="F265">
        <v>0</v>
      </c>
      <c r="G265">
        <v>0</v>
      </c>
      <c r="H265">
        <v>1</v>
      </c>
      <c r="I265">
        <v>0</v>
      </c>
      <c r="J265">
        <v>0</v>
      </c>
      <c r="K265">
        <v>0</v>
      </c>
      <c r="L265">
        <v>1</v>
      </c>
      <c r="M265">
        <v>0</v>
      </c>
      <c r="N265">
        <v>1</v>
      </c>
      <c r="O265">
        <v>0</v>
      </c>
      <c r="P265">
        <v>0</v>
      </c>
      <c r="Q265">
        <v>0</v>
      </c>
      <c r="R265">
        <v>0</v>
      </c>
      <c r="S265">
        <v>1</v>
      </c>
      <c r="T265">
        <v>1</v>
      </c>
      <c r="U265">
        <v>0</v>
      </c>
      <c r="V265">
        <v>0</v>
      </c>
      <c r="W265">
        <v>0</v>
      </c>
      <c r="X265">
        <v>0</v>
      </c>
      <c r="Y265">
        <v>0</v>
      </c>
      <c r="Z265">
        <v>0</v>
      </c>
    </row>
    <row r="266" spans="1:26" x14ac:dyDescent="0.25">
      <c r="A266">
        <v>21</v>
      </c>
      <c r="B266">
        <v>7</v>
      </c>
      <c r="C266">
        <v>5</v>
      </c>
      <c r="D266">
        <v>1282</v>
      </c>
      <c r="E266">
        <v>10</v>
      </c>
      <c r="F266">
        <v>1</v>
      </c>
      <c r="G266">
        <v>0</v>
      </c>
      <c r="H266">
        <v>0</v>
      </c>
      <c r="I266">
        <v>0</v>
      </c>
      <c r="J266">
        <v>1</v>
      </c>
      <c r="K266">
        <v>0</v>
      </c>
      <c r="L266">
        <v>0</v>
      </c>
      <c r="M266">
        <v>0</v>
      </c>
      <c r="N266">
        <v>0</v>
      </c>
      <c r="O266">
        <v>0</v>
      </c>
      <c r="P266">
        <v>1</v>
      </c>
      <c r="Q266">
        <v>0</v>
      </c>
      <c r="R266">
        <v>1</v>
      </c>
      <c r="S266">
        <v>0</v>
      </c>
      <c r="T266">
        <v>0</v>
      </c>
      <c r="U266">
        <v>0</v>
      </c>
      <c r="V266">
        <v>0</v>
      </c>
      <c r="W266">
        <v>0</v>
      </c>
      <c r="X266">
        <v>0</v>
      </c>
      <c r="Y266">
        <v>1</v>
      </c>
      <c r="Z266">
        <v>0</v>
      </c>
    </row>
    <row r="267" spans="1:26" x14ac:dyDescent="0.25">
      <c r="A267">
        <v>14</v>
      </c>
      <c r="B267">
        <v>7</v>
      </c>
      <c r="C267">
        <v>5</v>
      </c>
      <c r="D267">
        <v>826</v>
      </c>
      <c r="E267">
        <v>4</v>
      </c>
      <c r="F267">
        <v>0</v>
      </c>
      <c r="G267">
        <v>0</v>
      </c>
      <c r="H267">
        <v>1</v>
      </c>
      <c r="I267">
        <v>0</v>
      </c>
      <c r="J267">
        <v>1</v>
      </c>
      <c r="K267">
        <v>0</v>
      </c>
      <c r="L267">
        <v>0</v>
      </c>
      <c r="M267">
        <v>0</v>
      </c>
      <c r="N267">
        <v>0</v>
      </c>
      <c r="O267">
        <v>1</v>
      </c>
      <c r="P267">
        <v>0</v>
      </c>
      <c r="Q267">
        <v>0</v>
      </c>
      <c r="R267">
        <v>0</v>
      </c>
      <c r="S267">
        <v>1</v>
      </c>
      <c r="T267">
        <v>0</v>
      </c>
      <c r="U267">
        <v>0</v>
      </c>
      <c r="V267">
        <v>0</v>
      </c>
      <c r="W267">
        <v>0</v>
      </c>
      <c r="X267">
        <v>1</v>
      </c>
      <c r="Y267">
        <v>0</v>
      </c>
      <c r="Z267">
        <v>0</v>
      </c>
    </row>
    <row r="268" spans="1:26" x14ac:dyDescent="0.25">
      <c r="A268">
        <v>13</v>
      </c>
      <c r="B268">
        <v>6</v>
      </c>
      <c r="C268">
        <v>5</v>
      </c>
      <c r="D268">
        <v>2916</v>
      </c>
      <c r="E268">
        <v>2</v>
      </c>
      <c r="F268">
        <v>0</v>
      </c>
      <c r="G268">
        <v>0</v>
      </c>
      <c r="H268">
        <v>0</v>
      </c>
      <c r="I268">
        <v>1</v>
      </c>
      <c r="J268">
        <v>0</v>
      </c>
      <c r="K268">
        <v>0</v>
      </c>
      <c r="L268">
        <v>1</v>
      </c>
      <c r="M268">
        <v>0</v>
      </c>
      <c r="N268">
        <v>0</v>
      </c>
      <c r="O268">
        <v>1</v>
      </c>
      <c r="P268">
        <v>0</v>
      </c>
      <c r="Q268">
        <v>0</v>
      </c>
      <c r="R268">
        <v>0</v>
      </c>
      <c r="S268">
        <v>1</v>
      </c>
      <c r="T268">
        <v>0</v>
      </c>
      <c r="U268">
        <v>0</v>
      </c>
      <c r="V268">
        <v>0</v>
      </c>
      <c r="W268">
        <v>0</v>
      </c>
      <c r="X268">
        <v>0</v>
      </c>
      <c r="Y268">
        <v>1</v>
      </c>
      <c r="Z268">
        <v>0</v>
      </c>
    </row>
    <row r="269" spans="1:26" x14ac:dyDescent="0.25">
      <c r="A269">
        <v>22</v>
      </c>
      <c r="B269">
        <v>5</v>
      </c>
      <c r="C269">
        <v>3</v>
      </c>
      <c r="D269">
        <v>3773</v>
      </c>
      <c r="E269">
        <v>1</v>
      </c>
      <c r="F269">
        <v>0</v>
      </c>
      <c r="G269">
        <v>1</v>
      </c>
      <c r="H269">
        <v>0</v>
      </c>
      <c r="I269">
        <v>0</v>
      </c>
      <c r="J269">
        <v>1</v>
      </c>
      <c r="K269">
        <v>0</v>
      </c>
      <c r="L269">
        <v>0</v>
      </c>
      <c r="M269">
        <v>0</v>
      </c>
      <c r="N269">
        <v>1</v>
      </c>
      <c r="O269">
        <v>0</v>
      </c>
      <c r="P269">
        <v>0</v>
      </c>
      <c r="Q269">
        <v>0</v>
      </c>
      <c r="R269">
        <v>0</v>
      </c>
      <c r="S269">
        <v>1</v>
      </c>
      <c r="T269">
        <v>0</v>
      </c>
      <c r="U269">
        <v>0</v>
      </c>
      <c r="V269">
        <v>0</v>
      </c>
      <c r="W269">
        <v>0</v>
      </c>
      <c r="X269">
        <v>1</v>
      </c>
      <c r="Y269">
        <v>0</v>
      </c>
      <c r="Z269">
        <v>0</v>
      </c>
    </row>
    <row r="270" spans="1:26" x14ac:dyDescent="0.25">
      <c r="A270">
        <v>11</v>
      </c>
      <c r="B270">
        <v>4</v>
      </c>
      <c r="C270">
        <v>5</v>
      </c>
      <c r="D270">
        <v>3773</v>
      </c>
      <c r="E270">
        <v>9</v>
      </c>
      <c r="F270">
        <v>1</v>
      </c>
      <c r="G270">
        <v>0</v>
      </c>
      <c r="H270">
        <v>0</v>
      </c>
      <c r="I270">
        <v>0</v>
      </c>
      <c r="J270">
        <v>1</v>
      </c>
      <c r="K270">
        <v>0</v>
      </c>
      <c r="L270">
        <v>0</v>
      </c>
      <c r="M270">
        <v>0</v>
      </c>
      <c r="N270">
        <v>1</v>
      </c>
      <c r="O270">
        <v>0</v>
      </c>
      <c r="P270">
        <v>0</v>
      </c>
      <c r="Q270">
        <v>0</v>
      </c>
      <c r="R270">
        <v>0</v>
      </c>
      <c r="S270">
        <v>1</v>
      </c>
      <c r="T270">
        <v>0</v>
      </c>
      <c r="U270">
        <v>0</v>
      </c>
      <c r="V270">
        <v>0</v>
      </c>
      <c r="W270">
        <v>0</v>
      </c>
      <c r="X270">
        <v>1</v>
      </c>
      <c r="Y270">
        <v>0</v>
      </c>
      <c r="Z270">
        <v>0</v>
      </c>
    </row>
    <row r="271" spans="1:26" x14ac:dyDescent="0.25">
      <c r="A271">
        <v>15</v>
      </c>
      <c r="B271">
        <v>3</v>
      </c>
      <c r="C271">
        <v>5</v>
      </c>
      <c r="D271">
        <v>3933</v>
      </c>
      <c r="E271">
        <v>5</v>
      </c>
      <c r="F271">
        <v>1</v>
      </c>
      <c r="G271">
        <v>0</v>
      </c>
      <c r="H271">
        <v>0</v>
      </c>
      <c r="I271">
        <v>0</v>
      </c>
      <c r="J271">
        <v>0</v>
      </c>
      <c r="K271">
        <v>1</v>
      </c>
      <c r="L271">
        <v>0</v>
      </c>
      <c r="M271">
        <v>0</v>
      </c>
      <c r="N271">
        <v>0</v>
      </c>
      <c r="O271">
        <v>0</v>
      </c>
      <c r="P271">
        <v>1</v>
      </c>
      <c r="Q271">
        <v>0</v>
      </c>
      <c r="R271">
        <v>0</v>
      </c>
      <c r="S271">
        <v>1</v>
      </c>
      <c r="T271">
        <v>0</v>
      </c>
      <c r="U271">
        <v>0</v>
      </c>
      <c r="V271">
        <v>0</v>
      </c>
      <c r="W271">
        <v>0</v>
      </c>
      <c r="X271">
        <v>1</v>
      </c>
      <c r="Y271">
        <v>0</v>
      </c>
      <c r="Z271">
        <v>0</v>
      </c>
    </row>
    <row r="272" spans="1:26" x14ac:dyDescent="0.25">
      <c r="A272">
        <v>9</v>
      </c>
      <c r="B272">
        <v>3</v>
      </c>
      <c r="C272">
        <v>3</v>
      </c>
      <c r="D272">
        <v>4027</v>
      </c>
      <c r="E272">
        <v>2</v>
      </c>
      <c r="F272">
        <v>0</v>
      </c>
      <c r="G272">
        <v>0</v>
      </c>
      <c r="H272">
        <v>1</v>
      </c>
      <c r="I272">
        <v>0</v>
      </c>
      <c r="J272">
        <v>0</v>
      </c>
      <c r="K272">
        <v>0</v>
      </c>
      <c r="L272">
        <v>1</v>
      </c>
      <c r="M272">
        <v>0</v>
      </c>
      <c r="N272">
        <v>0</v>
      </c>
      <c r="O272">
        <v>0</v>
      </c>
      <c r="P272">
        <v>1</v>
      </c>
      <c r="Q272">
        <v>0</v>
      </c>
      <c r="R272">
        <v>0</v>
      </c>
      <c r="S272">
        <v>1</v>
      </c>
      <c r="T272">
        <v>0</v>
      </c>
      <c r="U272">
        <v>0</v>
      </c>
      <c r="V272">
        <v>0</v>
      </c>
      <c r="W272">
        <v>0</v>
      </c>
      <c r="X272">
        <v>1</v>
      </c>
      <c r="Y272">
        <v>0</v>
      </c>
      <c r="Z272">
        <v>0</v>
      </c>
    </row>
    <row r="273" spans="1:26" x14ac:dyDescent="0.25">
      <c r="A273">
        <v>24</v>
      </c>
      <c r="B273">
        <v>18</v>
      </c>
      <c r="C273">
        <v>5</v>
      </c>
      <c r="D273">
        <v>1282</v>
      </c>
      <c r="E273">
        <v>0</v>
      </c>
      <c r="F273">
        <v>0</v>
      </c>
      <c r="G273">
        <v>0</v>
      </c>
      <c r="H273">
        <v>0</v>
      </c>
      <c r="I273">
        <v>1</v>
      </c>
      <c r="J273">
        <v>0</v>
      </c>
      <c r="K273">
        <v>1</v>
      </c>
      <c r="L273">
        <v>0</v>
      </c>
      <c r="M273">
        <v>0</v>
      </c>
      <c r="N273">
        <v>0</v>
      </c>
      <c r="O273">
        <v>0</v>
      </c>
      <c r="P273">
        <v>1</v>
      </c>
      <c r="Q273">
        <v>0</v>
      </c>
      <c r="R273">
        <v>1</v>
      </c>
      <c r="S273">
        <v>0</v>
      </c>
      <c r="T273">
        <v>0</v>
      </c>
      <c r="U273">
        <v>0</v>
      </c>
      <c r="V273">
        <v>0</v>
      </c>
      <c r="W273">
        <v>0</v>
      </c>
      <c r="X273">
        <v>1</v>
      </c>
      <c r="Y273">
        <v>0</v>
      </c>
      <c r="Z273">
        <v>0</v>
      </c>
    </row>
    <row r="274" spans="1:26" x14ac:dyDescent="0.25">
      <c r="A274">
        <v>33</v>
      </c>
      <c r="B274">
        <v>11</v>
      </c>
      <c r="C274">
        <v>5</v>
      </c>
      <c r="D274">
        <v>826</v>
      </c>
      <c r="E274">
        <v>4</v>
      </c>
      <c r="F274">
        <v>0</v>
      </c>
      <c r="G274">
        <v>0</v>
      </c>
      <c r="H274">
        <v>1</v>
      </c>
      <c r="I274">
        <v>0</v>
      </c>
      <c r="J274">
        <v>1</v>
      </c>
      <c r="K274">
        <v>0</v>
      </c>
      <c r="L274">
        <v>0</v>
      </c>
      <c r="M274">
        <v>0</v>
      </c>
      <c r="N274">
        <v>0</v>
      </c>
      <c r="O274">
        <v>1</v>
      </c>
      <c r="P274">
        <v>0</v>
      </c>
      <c r="Q274">
        <v>0</v>
      </c>
      <c r="R274">
        <v>0</v>
      </c>
      <c r="S274">
        <v>1</v>
      </c>
      <c r="T274">
        <v>0</v>
      </c>
      <c r="U274">
        <v>0</v>
      </c>
      <c r="V274">
        <v>0</v>
      </c>
      <c r="W274">
        <v>0</v>
      </c>
      <c r="X274">
        <v>0</v>
      </c>
      <c r="Y274">
        <v>0</v>
      </c>
      <c r="Z274">
        <v>1</v>
      </c>
    </row>
    <row r="275" spans="1:26" x14ac:dyDescent="0.25">
      <c r="A275">
        <v>11</v>
      </c>
      <c r="B275">
        <v>8</v>
      </c>
      <c r="C275">
        <v>3</v>
      </c>
      <c r="D275">
        <v>315</v>
      </c>
      <c r="E275">
        <v>6</v>
      </c>
      <c r="F275">
        <v>0</v>
      </c>
      <c r="G275">
        <v>0</v>
      </c>
      <c r="H275">
        <v>1</v>
      </c>
      <c r="I275">
        <v>0</v>
      </c>
      <c r="J275">
        <v>1</v>
      </c>
      <c r="K275">
        <v>0</v>
      </c>
      <c r="L275">
        <v>0</v>
      </c>
      <c r="M275">
        <v>0</v>
      </c>
      <c r="N275">
        <v>1</v>
      </c>
      <c r="O275">
        <v>0</v>
      </c>
      <c r="P275">
        <v>0</v>
      </c>
      <c r="Q275">
        <v>0</v>
      </c>
      <c r="R275">
        <v>0</v>
      </c>
      <c r="S275">
        <v>1</v>
      </c>
      <c r="T275">
        <v>0</v>
      </c>
      <c r="U275">
        <v>0</v>
      </c>
      <c r="V275">
        <v>0</v>
      </c>
      <c r="W275">
        <v>1</v>
      </c>
      <c r="X275">
        <v>0</v>
      </c>
      <c r="Y275">
        <v>0</v>
      </c>
      <c r="Z275">
        <v>0</v>
      </c>
    </row>
    <row r="276" spans="1:26" x14ac:dyDescent="0.25">
      <c r="A276">
        <v>13</v>
      </c>
      <c r="B276">
        <v>7</v>
      </c>
      <c r="C276">
        <v>4</v>
      </c>
      <c r="D276">
        <v>4027</v>
      </c>
      <c r="E276">
        <v>5</v>
      </c>
      <c r="F276">
        <v>0</v>
      </c>
      <c r="G276">
        <v>1</v>
      </c>
      <c r="H276">
        <v>0</v>
      </c>
      <c r="I276">
        <v>0</v>
      </c>
      <c r="J276">
        <v>0</v>
      </c>
      <c r="K276">
        <v>0</v>
      </c>
      <c r="L276">
        <v>1</v>
      </c>
      <c r="M276">
        <v>0</v>
      </c>
      <c r="N276">
        <v>0</v>
      </c>
      <c r="O276">
        <v>0</v>
      </c>
      <c r="P276">
        <v>1</v>
      </c>
      <c r="Q276">
        <v>0</v>
      </c>
      <c r="R276">
        <v>1</v>
      </c>
      <c r="S276">
        <v>0</v>
      </c>
      <c r="T276">
        <v>0</v>
      </c>
      <c r="U276">
        <v>0</v>
      </c>
      <c r="V276">
        <v>0</v>
      </c>
      <c r="W276">
        <v>1</v>
      </c>
      <c r="X276">
        <v>0</v>
      </c>
      <c r="Y276">
        <v>0</v>
      </c>
      <c r="Z276">
        <v>0</v>
      </c>
    </row>
    <row r="277" spans="1:26" x14ac:dyDescent="0.25">
      <c r="A277">
        <v>26</v>
      </c>
      <c r="B277">
        <v>6</v>
      </c>
      <c r="C277">
        <v>5</v>
      </c>
      <c r="D277">
        <v>188</v>
      </c>
      <c r="E277">
        <v>1</v>
      </c>
      <c r="F277">
        <v>1</v>
      </c>
      <c r="G277">
        <v>0</v>
      </c>
      <c r="H277">
        <v>0</v>
      </c>
      <c r="I277">
        <v>0</v>
      </c>
      <c r="J277">
        <v>0</v>
      </c>
      <c r="K277">
        <v>1</v>
      </c>
      <c r="L277">
        <v>0</v>
      </c>
      <c r="M277">
        <v>0</v>
      </c>
      <c r="N277">
        <v>0</v>
      </c>
      <c r="O277">
        <v>1</v>
      </c>
      <c r="P277">
        <v>0</v>
      </c>
      <c r="Q277">
        <v>0</v>
      </c>
      <c r="R277">
        <v>0</v>
      </c>
      <c r="S277">
        <v>1</v>
      </c>
      <c r="T277">
        <v>0</v>
      </c>
      <c r="U277">
        <v>0</v>
      </c>
      <c r="V277">
        <v>0</v>
      </c>
      <c r="W277">
        <v>1</v>
      </c>
      <c r="X277">
        <v>0</v>
      </c>
      <c r="Y277">
        <v>0</v>
      </c>
      <c r="Z277">
        <v>0</v>
      </c>
    </row>
    <row r="278" spans="1:26" x14ac:dyDescent="0.25">
      <c r="A278">
        <v>13</v>
      </c>
      <c r="B278">
        <v>6</v>
      </c>
      <c r="C278">
        <v>4</v>
      </c>
      <c r="D278">
        <v>3933</v>
      </c>
      <c r="E278">
        <v>1</v>
      </c>
      <c r="F278">
        <v>0</v>
      </c>
      <c r="G278">
        <v>0</v>
      </c>
      <c r="H278">
        <v>0</v>
      </c>
      <c r="I278">
        <v>1</v>
      </c>
      <c r="J278">
        <v>0</v>
      </c>
      <c r="K278">
        <v>0</v>
      </c>
      <c r="L278">
        <v>1</v>
      </c>
      <c r="M278">
        <v>0</v>
      </c>
      <c r="N278">
        <v>0</v>
      </c>
      <c r="O278">
        <v>0</v>
      </c>
      <c r="P278">
        <v>1</v>
      </c>
      <c r="Q278">
        <v>0</v>
      </c>
      <c r="R278">
        <v>1</v>
      </c>
      <c r="S278">
        <v>0</v>
      </c>
      <c r="T278">
        <v>0</v>
      </c>
      <c r="U278">
        <v>0</v>
      </c>
      <c r="V278">
        <v>1</v>
      </c>
      <c r="W278">
        <v>0</v>
      </c>
      <c r="X278">
        <v>0</v>
      </c>
      <c r="Y278">
        <v>0</v>
      </c>
      <c r="Z278">
        <v>0</v>
      </c>
    </row>
    <row r="279" spans="1:26" x14ac:dyDescent="0.25">
      <c r="A279">
        <v>6</v>
      </c>
      <c r="B279">
        <v>6</v>
      </c>
      <c r="C279">
        <v>4</v>
      </c>
      <c r="D279">
        <v>4027</v>
      </c>
      <c r="E279">
        <v>10</v>
      </c>
      <c r="F279">
        <v>1</v>
      </c>
      <c r="G279">
        <v>0</v>
      </c>
      <c r="H279">
        <v>0</v>
      </c>
      <c r="I279">
        <v>0</v>
      </c>
      <c r="J279">
        <v>0</v>
      </c>
      <c r="K279">
        <v>0</v>
      </c>
      <c r="L279">
        <v>1</v>
      </c>
      <c r="M279">
        <v>0</v>
      </c>
      <c r="N279">
        <v>0</v>
      </c>
      <c r="O279">
        <v>0</v>
      </c>
      <c r="P279">
        <v>1</v>
      </c>
      <c r="Q279">
        <v>0</v>
      </c>
      <c r="R279">
        <v>0</v>
      </c>
      <c r="S279">
        <v>1</v>
      </c>
      <c r="T279">
        <v>0</v>
      </c>
      <c r="U279">
        <v>0</v>
      </c>
      <c r="V279">
        <v>0</v>
      </c>
      <c r="W279">
        <v>0</v>
      </c>
      <c r="X279">
        <v>0</v>
      </c>
      <c r="Y279">
        <v>0</v>
      </c>
      <c r="Z279">
        <v>1</v>
      </c>
    </row>
    <row r="280" spans="1:26" x14ac:dyDescent="0.25">
      <c r="A280">
        <v>25</v>
      </c>
      <c r="B280">
        <v>5</v>
      </c>
      <c r="C280">
        <v>5</v>
      </c>
      <c r="D280">
        <v>716</v>
      </c>
      <c r="E280">
        <v>8</v>
      </c>
      <c r="F280">
        <v>1</v>
      </c>
      <c r="G280">
        <v>0</v>
      </c>
      <c r="H280">
        <v>0</v>
      </c>
      <c r="I280">
        <v>0</v>
      </c>
      <c r="J280">
        <v>1</v>
      </c>
      <c r="K280">
        <v>0</v>
      </c>
      <c r="L280">
        <v>0</v>
      </c>
      <c r="M280">
        <v>1</v>
      </c>
      <c r="N280">
        <v>1</v>
      </c>
      <c r="O280">
        <v>0</v>
      </c>
      <c r="P280">
        <v>0</v>
      </c>
      <c r="Q280">
        <v>0</v>
      </c>
      <c r="R280">
        <v>0</v>
      </c>
      <c r="S280">
        <v>1</v>
      </c>
      <c r="T280">
        <v>0</v>
      </c>
      <c r="U280">
        <v>0</v>
      </c>
      <c r="V280">
        <v>0</v>
      </c>
      <c r="W280">
        <v>0</v>
      </c>
      <c r="X280">
        <v>1</v>
      </c>
      <c r="Y280">
        <v>0</v>
      </c>
      <c r="Z280">
        <v>0</v>
      </c>
    </row>
    <row r="281" spans="1:26" x14ac:dyDescent="0.25">
      <c r="A281">
        <v>21</v>
      </c>
      <c r="B281">
        <v>5</v>
      </c>
      <c r="C281">
        <v>4</v>
      </c>
      <c r="D281">
        <v>2700</v>
      </c>
      <c r="E281">
        <v>8</v>
      </c>
      <c r="F281">
        <v>0</v>
      </c>
      <c r="G281">
        <v>0</v>
      </c>
      <c r="H281">
        <v>1</v>
      </c>
      <c r="I281">
        <v>0</v>
      </c>
      <c r="J281">
        <v>1</v>
      </c>
      <c r="K281">
        <v>0</v>
      </c>
      <c r="L281">
        <v>0</v>
      </c>
      <c r="M281">
        <v>1</v>
      </c>
      <c r="N281">
        <v>0</v>
      </c>
      <c r="O281">
        <v>0</v>
      </c>
      <c r="P281">
        <v>1</v>
      </c>
      <c r="Q281">
        <v>0</v>
      </c>
      <c r="R281">
        <v>0</v>
      </c>
      <c r="S281">
        <v>1</v>
      </c>
      <c r="T281">
        <v>0</v>
      </c>
      <c r="U281">
        <v>1</v>
      </c>
      <c r="V281">
        <v>0</v>
      </c>
      <c r="W281">
        <v>0</v>
      </c>
      <c r="X281">
        <v>0</v>
      </c>
      <c r="Y281">
        <v>0</v>
      </c>
      <c r="Z281">
        <v>0</v>
      </c>
    </row>
    <row r="282" spans="1:26" x14ac:dyDescent="0.25">
      <c r="A282">
        <v>15</v>
      </c>
      <c r="B282">
        <v>5</v>
      </c>
      <c r="C282">
        <v>5</v>
      </c>
      <c r="D282">
        <v>2034</v>
      </c>
      <c r="E282">
        <v>4</v>
      </c>
      <c r="F282">
        <v>1</v>
      </c>
      <c r="G282">
        <v>0</v>
      </c>
      <c r="H282">
        <v>0</v>
      </c>
      <c r="I282">
        <v>0</v>
      </c>
      <c r="J282">
        <v>1</v>
      </c>
      <c r="K282">
        <v>0</v>
      </c>
      <c r="L282">
        <v>0</v>
      </c>
      <c r="M282">
        <v>0</v>
      </c>
      <c r="N282">
        <v>0</v>
      </c>
      <c r="O282">
        <v>0</v>
      </c>
      <c r="P282">
        <v>1</v>
      </c>
      <c r="Q282">
        <v>0</v>
      </c>
      <c r="R282">
        <v>0</v>
      </c>
      <c r="S282">
        <v>1</v>
      </c>
      <c r="T282">
        <v>0</v>
      </c>
      <c r="U282">
        <v>0</v>
      </c>
      <c r="V282">
        <v>0</v>
      </c>
      <c r="W282">
        <v>1</v>
      </c>
      <c r="X282">
        <v>0</v>
      </c>
      <c r="Y282">
        <v>0</v>
      </c>
      <c r="Z282">
        <v>0</v>
      </c>
    </row>
    <row r="283" spans="1:26" x14ac:dyDescent="0.25">
      <c r="A283">
        <v>19</v>
      </c>
      <c r="B283">
        <v>3</v>
      </c>
      <c r="C283">
        <v>5</v>
      </c>
      <c r="D283">
        <v>2916</v>
      </c>
      <c r="E283">
        <v>1</v>
      </c>
      <c r="F283">
        <v>1</v>
      </c>
      <c r="G283">
        <v>0</v>
      </c>
      <c r="H283">
        <v>0</v>
      </c>
      <c r="I283">
        <v>0</v>
      </c>
      <c r="J283">
        <v>0</v>
      </c>
      <c r="K283">
        <v>0</v>
      </c>
      <c r="L283">
        <v>1</v>
      </c>
      <c r="M283">
        <v>0</v>
      </c>
      <c r="N283">
        <v>0</v>
      </c>
      <c r="O283">
        <v>1</v>
      </c>
      <c r="P283">
        <v>0</v>
      </c>
      <c r="Q283">
        <v>0</v>
      </c>
      <c r="R283">
        <v>0</v>
      </c>
      <c r="S283">
        <v>1</v>
      </c>
      <c r="T283">
        <v>0</v>
      </c>
      <c r="U283">
        <v>0</v>
      </c>
      <c r="V283">
        <v>0</v>
      </c>
      <c r="W283">
        <v>0</v>
      </c>
      <c r="X283">
        <v>0</v>
      </c>
      <c r="Y283">
        <v>0</v>
      </c>
      <c r="Z283">
        <v>1</v>
      </c>
    </row>
    <row r="284" spans="1:26" x14ac:dyDescent="0.25">
      <c r="A284">
        <v>17</v>
      </c>
      <c r="B284">
        <v>3</v>
      </c>
      <c r="C284">
        <v>4</v>
      </c>
      <c r="D284">
        <v>787</v>
      </c>
      <c r="E284">
        <v>2</v>
      </c>
      <c r="F284">
        <v>1</v>
      </c>
      <c r="G284">
        <v>0</v>
      </c>
      <c r="H284">
        <v>0</v>
      </c>
      <c r="I284">
        <v>0</v>
      </c>
      <c r="J284">
        <v>1</v>
      </c>
      <c r="K284">
        <v>0</v>
      </c>
      <c r="L284">
        <v>0</v>
      </c>
      <c r="M284">
        <v>1</v>
      </c>
      <c r="N284">
        <v>1</v>
      </c>
      <c r="O284">
        <v>0</v>
      </c>
      <c r="P284">
        <v>0</v>
      </c>
      <c r="Q284">
        <v>0</v>
      </c>
      <c r="R284">
        <v>0</v>
      </c>
      <c r="S284">
        <v>1</v>
      </c>
      <c r="T284">
        <v>0</v>
      </c>
      <c r="U284">
        <v>1</v>
      </c>
      <c r="V284">
        <v>0</v>
      </c>
      <c r="W284">
        <v>0</v>
      </c>
      <c r="X284">
        <v>0</v>
      </c>
      <c r="Y284">
        <v>0</v>
      </c>
      <c r="Z284">
        <v>0</v>
      </c>
    </row>
    <row r="285" spans="1:26" x14ac:dyDescent="0.25">
      <c r="A285">
        <v>14</v>
      </c>
      <c r="B285">
        <v>3</v>
      </c>
      <c r="C285">
        <v>5</v>
      </c>
      <c r="D285">
        <v>3348</v>
      </c>
      <c r="E285">
        <v>2</v>
      </c>
      <c r="F285">
        <v>1</v>
      </c>
      <c r="G285">
        <v>0</v>
      </c>
      <c r="H285">
        <v>0</v>
      </c>
      <c r="I285">
        <v>0</v>
      </c>
      <c r="J285">
        <v>0</v>
      </c>
      <c r="K285">
        <v>1</v>
      </c>
      <c r="L285">
        <v>0</v>
      </c>
      <c r="M285">
        <v>0</v>
      </c>
      <c r="N285">
        <v>0</v>
      </c>
      <c r="O285">
        <v>0</v>
      </c>
      <c r="P285">
        <v>1</v>
      </c>
      <c r="Q285">
        <v>0</v>
      </c>
      <c r="R285">
        <v>0</v>
      </c>
      <c r="S285">
        <v>1</v>
      </c>
      <c r="T285">
        <v>0</v>
      </c>
      <c r="U285">
        <v>0</v>
      </c>
      <c r="V285">
        <v>0</v>
      </c>
      <c r="W285">
        <v>0</v>
      </c>
      <c r="X285">
        <v>1</v>
      </c>
      <c r="Y285">
        <v>0</v>
      </c>
      <c r="Z285">
        <v>0</v>
      </c>
    </row>
    <row r="286" spans="1:26" x14ac:dyDescent="0.25">
      <c r="A286">
        <v>23</v>
      </c>
      <c r="B286">
        <v>23</v>
      </c>
      <c r="C286">
        <v>5</v>
      </c>
      <c r="D286">
        <v>315</v>
      </c>
      <c r="E286">
        <v>1</v>
      </c>
      <c r="F286">
        <v>0</v>
      </c>
      <c r="G286">
        <v>1</v>
      </c>
      <c r="H286">
        <v>0</v>
      </c>
      <c r="I286">
        <v>0</v>
      </c>
      <c r="J286">
        <v>0</v>
      </c>
      <c r="K286">
        <v>1</v>
      </c>
      <c r="L286">
        <v>0</v>
      </c>
      <c r="M286">
        <v>0</v>
      </c>
      <c r="N286">
        <v>1</v>
      </c>
      <c r="O286">
        <v>0</v>
      </c>
      <c r="P286">
        <v>0</v>
      </c>
      <c r="Q286">
        <v>0</v>
      </c>
      <c r="R286">
        <v>0</v>
      </c>
      <c r="S286">
        <v>1</v>
      </c>
      <c r="T286">
        <v>0</v>
      </c>
      <c r="U286">
        <v>0</v>
      </c>
      <c r="V286">
        <v>0</v>
      </c>
      <c r="W286">
        <v>1</v>
      </c>
      <c r="X286">
        <v>0</v>
      </c>
      <c r="Y286">
        <v>0</v>
      </c>
      <c r="Z286">
        <v>0</v>
      </c>
    </row>
    <row r="287" spans="1:26" x14ac:dyDescent="0.25">
      <c r="A287">
        <v>23</v>
      </c>
      <c r="B287">
        <v>17</v>
      </c>
      <c r="C287">
        <v>3</v>
      </c>
      <c r="D287">
        <v>3003</v>
      </c>
      <c r="E287">
        <v>1</v>
      </c>
      <c r="F287">
        <v>0</v>
      </c>
      <c r="G287">
        <v>0</v>
      </c>
      <c r="H287">
        <v>0</v>
      </c>
      <c r="I287">
        <v>1</v>
      </c>
      <c r="J287">
        <v>0</v>
      </c>
      <c r="K287">
        <v>1</v>
      </c>
      <c r="L287">
        <v>0</v>
      </c>
      <c r="M287">
        <v>0</v>
      </c>
      <c r="N287">
        <v>0</v>
      </c>
      <c r="O287">
        <v>1</v>
      </c>
      <c r="P287">
        <v>0</v>
      </c>
      <c r="Q287">
        <v>0</v>
      </c>
      <c r="R287">
        <v>0</v>
      </c>
      <c r="S287">
        <v>1</v>
      </c>
      <c r="T287">
        <v>1</v>
      </c>
      <c r="U287">
        <v>0</v>
      </c>
      <c r="V287">
        <v>0</v>
      </c>
      <c r="W287">
        <v>0</v>
      </c>
      <c r="X287">
        <v>0</v>
      </c>
      <c r="Y287">
        <v>0</v>
      </c>
      <c r="Z287">
        <v>0</v>
      </c>
    </row>
    <row r="288" spans="1:26" x14ac:dyDescent="0.25">
      <c r="A288">
        <v>38</v>
      </c>
      <c r="B288">
        <v>13</v>
      </c>
      <c r="C288">
        <v>3</v>
      </c>
      <c r="D288">
        <v>826</v>
      </c>
      <c r="E288">
        <v>5</v>
      </c>
      <c r="F288">
        <v>0</v>
      </c>
      <c r="G288">
        <v>1</v>
      </c>
      <c r="H288">
        <v>0</v>
      </c>
      <c r="I288">
        <v>0</v>
      </c>
      <c r="J288">
        <v>1</v>
      </c>
      <c r="K288">
        <v>0</v>
      </c>
      <c r="L288">
        <v>0</v>
      </c>
      <c r="M288">
        <v>0</v>
      </c>
      <c r="N288">
        <v>0</v>
      </c>
      <c r="O288">
        <v>1</v>
      </c>
      <c r="P288">
        <v>0</v>
      </c>
      <c r="Q288">
        <v>0</v>
      </c>
      <c r="R288">
        <v>0</v>
      </c>
      <c r="S288">
        <v>1</v>
      </c>
      <c r="T288">
        <v>0</v>
      </c>
      <c r="U288">
        <v>0</v>
      </c>
      <c r="V288">
        <v>0</v>
      </c>
      <c r="W288">
        <v>1</v>
      </c>
      <c r="X288">
        <v>0</v>
      </c>
      <c r="Y288">
        <v>0</v>
      </c>
      <c r="Z288">
        <v>0</v>
      </c>
    </row>
    <row r="289" spans="1:26" x14ac:dyDescent="0.25">
      <c r="A289">
        <v>16</v>
      </c>
      <c r="B289">
        <v>10</v>
      </c>
      <c r="C289">
        <v>5</v>
      </c>
      <c r="D289">
        <v>4027</v>
      </c>
      <c r="E289">
        <v>9</v>
      </c>
      <c r="F289">
        <v>1</v>
      </c>
      <c r="G289">
        <v>0</v>
      </c>
      <c r="H289">
        <v>0</v>
      </c>
      <c r="I289">
        <v>0</v>
      </c>
      <c r="J289">
        <v>0</v>
      </c>
      <c r="K289">
        <v>1</v>
      </c>
      <c r="L289">
        <v>0</v>
      </c>
      <c r="M289">
        <v>0</v>
      </c>
      <c r="N289">
        <v>0</v>
      </c>
      <c r="O289">
        <v>0</v>
      </c>
      <c r="P289">
        <v>1</v>
      </c>
      <c r="Q289">
        <v>1</v>
      </c>
      <c r="R289">
        <v>0</v>
      </c>
      <c r="S289">
        <v>0</v>
      </c>
      <c r="T289">
        <v>0</v>
      </c>
      <c r="U289">
        <v>0</v>
      </c>
      <c r="V289">
        <v>0</v>
      </c>
      <c r="W289">
        <v>0</v>
      </c>
      <c r="X289">
        <v>1</v>
      </c>
      <c r="Y289">
        <v>0</v>
      </c>
      <c r="Z289">
        <v>0</v>
      </c>
    </row>
    <row r="290" spans="1:26" x14ac:dyDescent="0.25">
      <c r="A290">
        <v>22</v>
      </c>
      <c r="B290">
        <v>9</v>
      </c>
      <c r="C290">
        <v>4</v>
      </c>
      <c r="D290">
        <v>2916</v>
      </c>
      <c r="E290">
        <v>3</v>
      </c>
      <c r="F290">
        <v>0</v>
      </c>
      <c r="G290">
        <v>1</v>
      </c>
      <c r="H290">
        <v>0</v>
      </c>
      <c r="I290">
        <v>0</v>
      </c>
      <c r="J290">
        <v>0</v>
      </c>
      <c r="K290">
        <v>1</v>
      </c>
      <c r="L290">
        <v>0</v>
      </c>
      <c r="M290">
        <v>0</v>
      </c>
      <c r="N290">
        <v>0</v>
      </c>
      <c r="O290">
        <v>1</v>
      </c>
      <c r="P290">
        <v>0</v>
      </c>
      <c r="Q290">
        <v>0</v>
      </c>
      <c r="R290">
        <v>1</v>
      </c>
      <c r="S290">
        <v>0</v>
      </c>
      <c r="T290">
        <v>0</v>
      </c>
      <c r="U290">
        <v>0</v>
      </c>
      <c r="V290">
        <v>0</v>
      </c>
      <c r="W290">
        <v>0</v>
      </c>
      <c r="X290">
        <v>0</v>
      </c>
      <c r="Y290">
        <v>0</v>
      </c>
      <c r="Z290">
        <v>1</v>
      </c>
    </row>
    <row r="291" spans="1:26" x14ac:dyDescent="0.25">
      <c r="A291">
        <v>31</v>
      </c>
      <c r="B291">
        <v>8</v>
      </c>
      <c r="C291">
        <v>4</v>
      </c>
      <c r="D291">
        <v>1467</v>
      </c>
      <c r="E291">
        <v>1</v>
      </c>
      <c r="F291">
        <v>0</v>
      </c>
      <c r="G291">
        <v>0</v>
      </c>
      <c r="H291">
        <v>0</v>
      </c>
      <c r="I291">
        <v>1</v>
      </c>
      <c r="J291">
        <v>1</v>
      </c>
      <c r="K291">
        <v>0</v>
      </c>
      <c r="L291">
        <v>0</v>
      </c>
      <c r="M291">
        <v>1</v>
      </c>
      <c r="N291">
        <v>0</v>
      </c>
      <c r="O291">
        <v>1</v>
      </c>
      <c r="P291">
        <v>0</v>
      </c>
      <c r="Q291">
        <v>1</v>
      </c>
      <c r="R291">
        <v>0</v>
      </c>
      <c r="S291">
        <v>0</v>
      </c>
      <c r="T291">
        <v>0</v>
      </c>
      <c r="U291">
        <v>0</v>
      </c>
      <c r="V291">
        <v>0</v>
      </c>
      <c r="W291">
        <v>1</v>
      </c>
      <c r="X291">
        <v>0</v>
      </c>
      <c r="Y291">
        <v>0</v>
      </c>
      <c r="Z291">
        <v>0</v>
      </c>
    </row>
    <row r="292" spans="1:26" x14ac:dyDescent="0.25">
      <c r="A292">
        <v>20</v>
      </c>
      <c r="B292">
        <v>8</v>
      </c>
      <c r="C292">
        <v>4</v>
      </c>
      <c r="D292">
        <v>3003</v>
      </c>
      <c r="E292">
        <v>5</v>
      </c>
      <c r="F292">
        <v>1</v>
      </c>
      <c r="G292">
        <v>0</v>
      </c>
      <c r="H292">
        <v>0</v>
      </c>
      <c r="I292">
        <v>0</v>
      </c>
      <c r="J292">
        <v>1</v>
      </c>
      <c r="K292">
        <v>0</v>
      </c>
      <c r="L292">
        <v>0</v>
      </c>
      <c r="M292">
        <v>0</v>
      </c>
      <c r="N292">
        <v>0</v>
      </c>
      <c r="O292">
        <v>1</v>
      </c>
      <c r="P292">
        <v>0</v>
      </c>
      <c r="Q292">
        <v>0</v>
      </c>
      <c r="R292">
        <v>0</v>
      </c>
      <c r="S292">
        <v>1</v>
      </c>
      <c r="T292">
        <v>0</v>
      </c>
      <c r="U292">
        <v>0</v>
      </c>
      <c r="V292">
        <v>1</v>
      </c>
      <c r="W292">
        <v>0</v>
      </c>
      <c r="X292">
        <v>0</v>
      </c>
      <c r="Y292">
        <v>0</v>
      </c>
      <c r="Z292">
        <v>0</v>
      </c>
    </row>
    <row r="293" spans="1:26" x14ac:dyDescent="0.25">
      <c r="A293">
        <v>20</v>
      </c>
      <c r="B293">
        <v>7</v>
      </c>
      <c r="C293">
        <v>4</v>
      </c>
      <c r="D293">
        <v>3003</v>
      </c>
      <c r="E293">
        <v>2</v>
      </c>
      <c r="F293">
        <v>0</v>
      </c>
      <c r="G293">
        <v>0</v>
      </c>
      <c r="H293">
        <v>1</v>
      </c>
      <c r="I293">
        <v>0</v>
      </c>
      <c r="J293">
        <v>0</v>
      </c>
      <c r="K293">
        <v>0</v>
      </c>
      <c r="L293">
        <v>1</v>
      </c>
      <c r="M293">
        <v>0</v>
      </c>
      <c r="N293">
        <v>0</v>
      </c>
      <c r="O293">
        <v>1</v>
      </c>
      <c r="P293">
        <v>0</v>
      </c>
      <c r="Q293">
        <v>1</v>
      </c>
      <c r="R293">
        <v>0</v>
      </c>
      <c r="S293">
        <v>0</v>
      </c>
      <c r="T293">
        <v>1</v>
      </c>
      <c r="U293">
        <v>0</v>
      </c>
      <c r="V293">
        <v>0</v>
      </c>
      <c r="W293">
        <v>0</v>
      </c>
      <c r="X293">
        <v>0</v>
      </c>
      <c r="Y293">
        <v>0</v>
      </c>
      <c r="Z293">
        <v>0</v>
      </c>
    </row>
    <row r="294" spans="1:26" x14ac:dyDescent="0.25">
      <c r="A294">
        <v>12</v>
      </c>
      <c r="B294">
        <v>7</v>
      </c>
      <c r="C294">
        <v>2</v>
      </c>
      <c r="D294">
        <v>2700</v>
      </c>
      <c r="E294">
        <v>4</v>
      </c>
      <c r="F294">
        <v>0</v>
      </c>
      <c r="G294">
        <v>0</v>
      </c>
      <c r="H294">
        <v>0</v>
      </c>
      <c r="I294">
        <v>1</v>
      </c>
      <c r="J294">
        <v>1</v>
      </c>
      <c r="K294">
        <v>0</v>
      </c>
      <c r="L294">
        <v>0</v>
      </c>
      <c r="M294">
        <v>1</v>
      </c>
      <c r="N294">
        <v>0</v>
      </c>
      <c r="O294">
        <v>0</v>
      </c>
      <c r="P294">
        <v>1</v>
      </c>
      <c r="Q294">
        <v>0</v>
      </c>
      <c r="R294">
        <v>0</v>
      </c>
      <c r="S294">
        <v>1</v>
      </c>
      <c r="T294">
        <v>0</v>
      </c>
      <c r="U294">
        <v>1</v>
      </c>
      <c r="V294">
        <v>0</v>
      </c>
      <c r="W294">
        <v>0</v>
      </c>
      <c r="X294">
        <v>0</v>
      </c>
      <c r="Y294">
        <v>0</v>
      </c>
      <c r="Z294">
        <v>0</v>
      </c>
    </row>
    <row r="295" spans="1:26" x14ac:dyDescent="0.25">
      <c r="A295">
        <v>12</v>
      </c>
      <c r="B295">
        <v>7</v>
      </c>
      <c r="C295">
        <v>3</v>
      </c>
      <c r="D295">
        <v>3773</v>
      </c>
      <c r="E295">
        <v>5</v>
      </c>
      <c r="F295">
        <v>0</v>
      </c>
      <c r="G295">
        <v>0</v>
      </c>
      <c r="H295">
        <v>1</v>
      </c>
      <c r="I295">
        <v>0</v>
      </c>
      <c r="J295">
        <v>0</v>
      </c>
      <c r="K295">
        <v>1</v>
      </c>
      <c r="L295">
        <v>0</v>
      </c>
      <c r="M295">
        <v>0</v>
      </c>
      <c r="N295">
        <v>1</v>
      </c>
      <c r="O295">
        <v>0</v>
      </c>
      <c r="P295">
        <v>0</v>
      </c>
      <c r="Q295">
        <v>0</v>
      </c>
      <c r="R295">
        <v>0</v>
      </c>
      <c r="S295">
        <v>1</v>
      </c>
      <c r="T295">
        <v>0</v>
      </c>
      <c r="U295">
        <v>0</v>
      </c>
      <c r="V295">
        <v>0</v>
      </c>
      <c r="W295">
        <v>0</v>
      </c>
      <c r="X295">
        <v>0</v>
      </c>
      <c r="Y295">
        <v>1</v>
      </c>
      <c r="Z295">
        <v>0</v>
      </c>
    </row>
    <row r="296" spans="1:26" x14ac:dyDescent="0.25">
      <c r="A296">
        <v>32</v>
      </c>
      <c r="B296">
        <v>6</v>
      </c>
      <c r="C296">
        <v>5</v>
      </c>
      <c r="D296">
        <v>3025</v>
      </c>
      <c r="E296">
        <v>10</v>
      </c>
      <c r="F296">
        <v>1</v>
      </c>
      <c r="G296">
        <v>0</v>
      </c>
      <c r="H296">
        <v>0</v>
      </c>
      <c r="I296">
        <v>0</v>
      </c>
      <c r="J296">
        <v>0</v>
      </c>
      <c r="K296">
        <v>1</v>
      </c>
      <c r="L296">
        <v>0</v>
      </c>
      <c r="M296">
        <v>0</v>
      </c>
      <c r="N296">
        <v>0</v>
      </c>
      <c r="O296">
        <v>0</v>
      </c>
      <c r="P296">
        <v>1</v>
      </c>
      <c r="Q296">
        <v>0</v>
      </c>
      <c r="R296">
        <v>0</v>
      </c>
      <c r="S296">
        <v>1</v>
      </c>
      <c r="T296">
        <v>1</v>
      </c>
      <c r="U296">
        <v>0</v>
      </c>
      <c r="V296">
        <v>0</v>
      </c>
      <c r="W296">
        <v>0</v>
      </c>
      <c r="X296">
        <v>0</v>
      </c>
      <c r="Y296">
        <v>0</v>
      </c>
      <c r="Z296">
        <v>0</v>
      </c>
    </row>
    <row r="297" spans="1:26" x14ac:dyDescent="0.25">
      <c r="A297">
        <v>10</v>
      </c>
      <c r="B297">
        <v>6</v>
      </c>
      <c r="C297">
        <v>5</v>
      </c>
      <c r="D297">
        <v>1467</v>
      </c>
      <c r="E297">
        <v>4</v>
      </c>
      <c r="F297">
        <v>1</v>
      </c>
      <c r="G297">
        <v>0</v>
      </c>
      <c r="H297">
        <v>0</v>
      </c>
      <c r="I297">
        <v>0</v>
      </c>
      <c r="J297">
        <v>0</v>
      </c>
      <c r="K297">
        <v>0</v>
      </c>
      <c r="L297">
        <v>1</v>
      </c>
      <c r="M297">
        <v>1</v>
      </c>
      <c r="N297">
        <v>0</v>
      </c>
      <c r="O297">
        <v>1</v>
      </c>
      <c r="P297">
        <v>0</v>
      </c>
      <c r="Q297">
        <v>0</v>
      </c>
      <c r="R297">
        <v>1</v>
      </c>
      <c r="S297">
        <v>0</v>
      </c>
      <c r="T297">
        <v>0</v>
      </c>
      <c r="U297">
        <v>0</v>
      </c>
      <c r="V297">
        <v>1</v>
      </c>
      <c r="W297">
        <v>0</v>
      </c>
      <c r="X297">
        <v>0</v>
      </c>
      <c r="Y297">
        <v>0</v>
      </c>
      <c r="Z297">
        <v>0</v>
      </c>
    </row>
    <row r="298" spans="1:26" x14ac:dyDescent="0.25">
      <c r="A298">
        <v>32</v>
      </c>
      <c r="B298">
        <v>5</v>
      </c>
      <c r="C298">
        <v>4</v>
      </c>
      <c r="D298">
        <v>3933</v>
      </c>
      <c r="E298">
        <v>6</v>
      </c>
      <c r="F298">
        <v>0</v>
      </c>
      <c r="G298">
        <v>1</v>
      </c>
      <c r="H298">
        <v>0</v>
      </c>
      <c r="I298">
        <v>0</v>
      </c>
      <c r="J298">
        <v>1</v>
      </c>
      <c r="K298">
        <v>0</v>
      </c>
      <c r="L298">
        <v>0</v>
      </c>
      <c r="M298">
        <v>0</v>
      </c>
      <c r="N298">
        <v>0</v>
      </c>
      <c r="O298">
        <v>0</v>
      </c>
      <c r="P298">
        <v>1</v>
      </c>
      <c r="Q298">
        <v>0</v>
      </c>
      <c r="R298">
        <v>0</v>
      </c>
      <c r="S298">
        <v>1</v>
      </c>
      <c r="T298">
        <v>0</v>
      </c>
      <c r="U298">
        <v>0</v>
      </c>
      <c r="V298">
        <v>0</v>
      </c>
      <c r="W298">
        <v>1</v>
      </c>
      <c r="X298">
        <v>0</v>
      </c>
      <c r="Y298">
        <v>0</v>
      </c>
      <c r="Z298">
        <v>0</v>
      </c>
    </row>
    <row r="299" spans="1:26" x14ac:dyDescent="0.25">
      <c r="A299">
        <v>9</v>
      </c>
      <c r="B299">
        <v>5</v>
      </c>
      <c r="C299">
        <v>4</v>
      </c>
      <c r="D299">
        <v>1228</v>
      </c>
      <c r="E299">
        <v>9</v>
      </c>
      <c r="F299">
        <v>0</v>
      </c>
      <c r="G299">
        <v>0</v>
      </c>
      <c r="H299">
        <v>0</v>
      </c>
      <c r="I299">
        <v>1</v>
      </c>
      <c r="J299">
        <v>1</v>
      </c>
      <c r="K299">
        <v>0</v>
      </c>
      <c r="L299">
        <v>0</v>
      </c>
      <c r="M299">
        <v>0</v>
      </c>
      <c r="N299">
        <v>1</v>
      </c>
      <c r="O299">
        <v>0</v>
      </c>
      <c r="P299">
        <v>0</v>
      </c>
      <c r="Q299">
        <v>0</v>
      </c>
      <c r="R299">
        <v>0</v>
      </c>
      <c r="S299">
        <v>1</v>
      </c>
      <c r="T299">
        <v>0</v>
      </c>
      <c r="U299">
        <v>0</v>
      </c>
      <c r="V299">
        <v>0</v>
      </c>
      <c r="W299">
        <v>0</v>
      </c>
      <c r="X299">
        <v>0</v>
      </c>
      <c r="Y299">
        <v>0</v>
      </c>
      <c r="Z299">
        <v>1</v>
      </c>
    </row>
    <row r="300" spans="1:26" x14ac:dyDescent="0.25">
      <c r="A300">
        <v>5</v>
      </c>
      <c r="B300">
        <v>3</v>
      </c>
      <c r="C300">
        <v>2</v>
      </c>
      <c r="D300">
        <v>1467</v>
      </c>
      <c r="E300">
        <v>1</v>
      </c>
      <c r="F300">
        <v>0</v>
      </c>
      <c r="G300">
        <v>0</v>
      </c>
      <c r="H300">
        <v>0</v>
      </c>
      <c r="I300">
        <v>1</v>
      </c>
      <c r="J300">
        <v>1</v>
      </c>
      <c r="K300">
        <v>0</v>
      </c>
      <c r="L300">
        <v>0</v>
      </c>
      <c r="M300">
        <v>1</v>
      </c>
      <c r="N300">
        <v>0</v>
      </c>
      <c r="O300">
        <v>1</v>
      </c>
      <c r="P300">
        <v>0</v>
      </c>
      <c r="Q300">
        <v>0</v>
      </c>
      <c r="R300">
        <v>0</v>
      </c>
      <c r="S300">
        <v>1</v>
      </c>
      <c r="T300">
        <v>0</v>
      </c>
      <c r="U300">
        <v>0</v>
      </c>
      <c r="V300">
        <v>0</v>
      </c>
      <c r="W300">
        <v>0</v>
      </c>
      <c r="X300">
        <v>1</v>
      </c>
      <c r="Y300">
        <v>0</v>
      </c>
      <c r="Z300">
        <v>0</v>
      </c>
    </row>
    <row r="301" spans="1:26" x14ac:dyDescent="0.25">
      <c r="A301">
        <v>31</v>
      </c>
      <c r="B301">
        <v>12</v>
      </c>
      <c r="C301">
        <v>5</v>
      </c>
      <c r="D301">
        <v>3348</v>
      </c>
      <c r="E301">
        <v>4</v>
      </c>
      <c r="F301">
        <v>0</v>
      </c>
      <c r="G301">
        <v>0</v>
      </c>
      <c r="H301">
        <v>1</v>
      </c>
      <c r="I301">
        <v>0</v>
      </c>
      <c r="J301">
        <v>0</v>
      </c>
      <c r="K301">
        <v>1</v>
      </c>
      <c r="L301">
        <v>0</v>
      </c>
      <c r="M301">
        <v>0</v>
      </c>
      <c r="N301">
        <v>0</v>
      </c>
      <c r="O301">
        <v>0</v>
      </c>
      <c r="P301">
        <v>1</v>
      </c>
      <c r="Q301">
        <v>0</v>
      </c>
      <c r="R301">
        <v>0</v>
      </c>
      <c r="S301">
        <v>1</v>
      </c>
      <c r="T301">
        <v>1</v>
      </c>
      <c r="U301">
        <v>0</v>
      </c>
      <c r="V301">
        <v>0</v>
      </c>
      <c r="W301">
        <v>0</v>
      </c>
      <c r="X301">
        <v>0</v>
      </c>
      <c r="Y301">
        <v>0</v>
      </c>
      <c r="Z301">
        <v>0</v>
      </c>
    </row>
    <row r="302" spans="1:26" x14ac:dyDescent="0.25">
      <c r="A302">
        <v>18</v>
      </c>
      <c r="B302">
        <v>9</v>
      </c>
      <c r="C302">
        <v>5</v>
      </c>
      <c r="D302">
        <v>2959</v>
      </c>
      <c r="E302">
        <v>1</v>
      </c>
      <c r="F302">
        <v>0</v>
      </c>
      <c r="G302">
        <v>0</v>
      </c>
      <c r="H302">
        <v>0</v>
      </c>
      <c r="I302">
        <v>1</v>
      </c>
      <c r="J302">
        <v>0</v>
      </c>
      <c r="K302">
        <v>0</v>
      </c>
      <c r="L302">
        <v>1</v>
      </c>
      <c r="M302">
        <v>0</v>
      </c>
      <c r="N302">
        <v>0</v>
      </c>
      <c r="O302">
        <v>0</v>
      </c>
      <c r="P302">
        <v>1</v>
      </c>
      <c r="Q302">
        <v>0</v>
      </c>
      <c r="R302">
        <v>1</v>
      </c>
      <c r="S302">
        <v>0</v>
      </c>
      <c r="T302">
        <v>0</v>
      </c>
      <c r="U302">
        <v>0</v>
      </c>
      <c r="V302">
        <v>0</v>
      </c>
      <c r="W302">
        <v>0</v>
      </c>
      <c r="X302">
        <v>0</v>
      </c>
      <c r="Y302">
        <v>0</v>
      </c>
      <c r="Z302">
        <v>1</v>
      </c>
    </row>
    <row r="303" spans="1:26" x14ac:dyDescent="0.25">
      <c r="A303">
        <v>30</v>
      </c>
      <c r="B303">
        <v>8</v>
      </c>
      <c r="C303">
        <v>2</v>
      </c>
      <c r="D303">
        <v>2959</v>
      </c>
      <c r="E303">
        <v>1</v>
      </c>
      <c r="F303">
        <v>0</v>
      </c>
      <c r="G303">
        <v>0</v>
      </c>
      <c r="H303">
        <v>1</v>
      </c>
      <c r="I303">
        <v>0</v>
      </c>
      <c r="J303">
        <v>1</v>
      </c>
      <c r="K303">
        <v>0</v>
      </c>
      <c r="L303">
        <v>0</v>
      </c>
      <c r="M303">
        <v>0</v>
      </c>
      <c r="N303">
        <v>0</v>
      </c>
      <c r="O303">
        <v>0</v>
      </c>
      <c r="P303">
        <v>1</v>
      </c>
      <c r="Q303">
        <v>0</v>
      </c>
      <c r="R303">
        <v>0</v>
      </c>
      <c r="S303">
        <v>1</v>
      </c>
      <c r="T303">
        <v>0</v>
      </c>
      <c r="U303">
        <v>0</v>
      </c>
      <c r="V303">
        <v>0</v>
      </c>
      <c r="W303">
        <v>0</v>
      </c>
      <c r="X303">
        <v>0</v>
      </c>
      <c r="Y303">
        <v>0</v>
      </c>
      <c r="Z303">
        <v>1</v>
      </c>
    </row>
    <row r="304" spans="1:26" x14ac:dyDescent="0.25">
      <c r="A304">
        <v>19</v>
      </c>
      <c r="B304">
        <v>8</v>
      </c>
      <c r="C304">
        <v>4</v>
      </c>
      <c r="D304">
        <v>3025</v>
      </c>
      <c r="E304">
        <v>3</v>
      </c>
      <c r="F304">
        <v>0</v>
      </c>
      <c r="G304">
        <v>1</v>
      </c>
      <c r="H304">
        <v>0</v>
      </c>
      <c r="I304">
        <v>0</v>
      </c>
      <c r="J304">
        <v>1</v>
      </c>
      <c r="K304">
        <v>0</v>
      </c>
      <c r="L304">
        <v>0</v>
      </c>
      <c r="M304">
        <v>0</v>
      </c>
      <c r="N304">
        <v>0</v>
      </c>
      <c r="O304">
        <v>0</v>
      </c>
      <c r="P304">
        <v>1</v>
      </c>
      <c r="Q304">
        <v>0</v>
      </c>
      <c r="R304">
        <v>1</v>
      </c>
      <c r="S304">
        <v>0</v>
      </c>
      <c r="T304">
        <v>0</v>
      </c>
      <c r="U304">
        <v>0</v>
      </c>
      <c r="V304">
        <v>0</v>
      </c>
      <c r="W304">
        <v>0</v>
      </c>
      <c r="X304">
        <v>0</v>
      </c>
      <c r="Y304">
        <v>0</v>
      </c>
      <c r="Z304">
        <v>1</v>
      </c>
    </row>
    <row r="305" spans="1:26" x14ac:dyDescent="0.25">
      <c r="A305">
        <v>37</v>
      </c>
      <c r="B305">
        <v>7</v>
      </c>
      <c r="C305">
        <v>5</v>
      </c>
      <c r="D305">
        <v>3025</v>
      </c>
      <c r="E305">
        <v>0</v>
      </c>
      <c r="F305">
        <v>0</v>
      </c>
      <c r="G305">
        <v>0</v>
      </c>
      <c r="H305">
        <v>0</v>
      </c>
      <c r="I305">
        <v>1</v>
      </c>
      <c r="J305">
        <v>1</v>
      </c>
      <c r="K305">
        <v>0</v>
      </c>
      <c r="L305">
        <v>0</v>
      </c>
      <c r="M305">
        <v>0</v>
      </c>
      <c r="N305">
        <v>0</v>
      </c>
      <c r="O305">
        <v>0</v>
      </c>
      <c r="P305">
        <v>1</v>
      </c>
      <c r="Q305">
        <v>1</v>
      </c>
      <c r="R305">
        <v>0</v>
      </c>
      <c r="S305">
        <v>0</v>
      </c>
      <c r="T305">
        <v>0</v>
      </c>
      <c r="U305">
        <v>0</v>
      </c>
      <c r="V305">
        <v>0</v>
      </c>
      <c r="W305">
        <v>1</v>
      </c>
      <c r="X305">
        <v>0</v>
      </c>
      <c r="Y305">
        <v>0</v>
      </c>
      <c r="Z305">
        <v>0</v>
      </c>
    </row>
    <row r="306" spans="1:26" x14ac:dyDescent="0.25">
      <c r="A306">
        <v>11</v>
      </c>
      <c r="B306">
        <v>7</v>
      </c>
      <c r="C306">
        <v>4</v>
      </c>
      <c r="D306">
        <v>2700</v>
      </c>
      <c r="E306">
        <v>1</v>
      </c>
      <c r="F306">
        <v>0</v>
      </c>
      <c r="G306">
        <v>0</v>
      </c>
      <c r="H306">
        <v>1</v>
      </c>
      <c r="I306">
        <v>0</v>
      </c>
      <c r="J306">
        <v>0</v>
      </c>
      <c r="K306">
        <v>0</v>
      </c>
      <c r="L306">
        <v>1</v>
      </c>
      <c r="M306">
        <v>1</v>
      </c>
      <c r="N306">
        <v>0</v>
      </c>
      <c r="O306">
        <v>0</v>
      </c>
      <c r="P306">
        <v>1</v>
      </c>
      <c r="Q306">
        <v>0</v>
      </c>
      <c r="R306">
        <v>0</v>
      </c>
      <c r="S306">
        <v>1</v>
      </c>
      <c r="T306">
        <v>0</v>
      </c>
      <c r="U306">
        <v>1</v>
      </c>
      <c r="V306">
        <v>0</v>
      </c>
      <c r="W306">
        <v>0</v>
      </c>
      <c r="X306">
        <v>0</v>
      </c>
      <c r="Y306">
        <v>0</v>
      </c>
      <c r="Z306">
        <v>0</v>
      </c>
    </row>
    <row r="307" spans="1:26" x14ac:dyDescent="0.25">
      <c r="A307">
        <v>10</v>
      </c>
      <c r="B307">
        <v>6</v>
      </c>
      <c r="C307">
        <v>5</v>
      </c>
      <c r="D307">
        <v>2700</v>
      </c>
      <c r="E307">
        <v>5</v>
      </c>
      <c r="F307">
        <v>1</v>
      </c>
      <c r="G307">
        <v>0</v>
      </c>
      <c r="H307">
        <v>0</v>
      </c>
      <c r="I307">
        <v>0</v>
      </c>
      <c r="J307">
        <v>0</v>
      </c>
      <c r="K307">
        <v>0</v>
      </c>
      <c r="L307">
        <v>1</v>
      </c>
      <c r="M307">
        <v>1</v>
      </c>
      <c r="N307">
        <v>0</v>
      </c>
      <c r="O307">
        <v>0</v>
      </c>
      <c r="P307">
        <v>1</v>
      </c>
      <c r="Q307">
        <v>0</v>
      </c>
      <c r="R307">
        <v>1</v>
      </c>
      <c r="S307">
        <v>0</v>
      </c>
      <c r="T307">
        <v>0</v>
      </c>
      <c r="U307">
        <v>0</v>
      </c>
      <c r="V307">
        <v>0</v>
      </c>
      <c r="W307">
        <v>0</v>
      </c>
      <c r="X307">
        <v>0</v>
      </c>
      <c r="Y307">
        <v>1</v>
      </c>
      <c r="Z307">
        <v>0</v>
      </c>
    </row>
    <row r="308" spans="1:26" x14ac:dyDescent="0.25">
      <c r="A308">
        <v>7</v>
      </c>
      <c r="B308">
        <v>4</v>
      </c>
      <c r="C308">
        <v>5</v>
      </c>
      <c r="D308">
        <v>2700</v>
      </c>
      <c r="E308">
        <v>3</v>
      </c>
      <c r="F308">
        <v>0</v>
      </c>
      <c r="G308">
        <v>1</v>
      </c>
      <c r="H308">
        <v>0</v>
      </c>
      <c r="I308">
        <v>0</v>
      </c>
      <c r="J308">
        <v>0</v>
      </c>
      <c r="K308">
        <v>0</v>
      </c>
      <c r="L308">
        <v>1</v>
      </c>
      <c r="M308">
        <v>1</v>
      </c>
      <c r="N308">
        <v>0</v>
      </c>
      <c r="O308">
        <v>0</v>
      </c>
      <c r="P308">
        <v>1</v>
      </c>
      <c r="Q308">
        <v>0</v>
      </c>
      <c r="R308">
        <v>0</v>
      </c>
      <c r="S308">
        <v>1</v>
      </c>
      <c r="T308">
        <v>0</v>
      </c>
      <c r="U308">
        <v>0</v>
      </c>
      <c r="V308">
        <v>0</v>
      </c>
      <c r="W308">
        <v>1</v>
      </c>
      <c r="X308">
        <v>0</v>
      </c>
      <c r="Y308">
        <v>0</v>
      </c>
      <c r="Z308">
        <v>0</v>
      </c>
    </row>
    <row r="309" spans="1:26" x14ac:dyDescent="0.25">
      <c r="A309">
        <v>18</v>
      </c>
      <c r="B309">
        <v>3</v>
      </c>
      <c r="C309">
        <v>2</v>
      </c>
      <c r="D309">
        <v>2916</v>
      </c>
      <c r="E309">
        <v>2</v>
      </c>
      <c r="F309">
        <v>0</v>
      </c>
      <c r="G309">
        <v>0</v>
      </c>
      <c r="H309">
        <v>0</v>
      </c>
      <c r="I309">
        <v>1</v>
      </c>
      <c r="J309">
        <v>0</v>
      </c>
      <c r="K309">
        <v>0</v>
      </c>
      <c r="L309">
        <v>1</v>
      </c>
      <c r="M309">
        <v>0</v>
      </c>
      <c r="N309">
        <v>0</v>
      </c>
      <c r="O309">
        <v>1</v>
      </c>
      <c r="P309">
        <v>0</v>
      </c>
      <c r="Q309">
        <v>0</v>
      </c>
      <c r="R309">
        <v>0</v>
      </c>
      <c r="S309">
        <v>1</v>
      </c>
      <c r="T309">
        <v>0</v>
      </c>
      <c r="U309">
        <v>1</v>
      </c>
      <c r="V309">
        <v>0</v>
      </c>
      <c r="W309">
        <v>0</v>
      </c>
      <c r="X309">
        <v>0</v>
      </c>
      <c r="Y309">
        <v>0</v>
      </c>
      <c r="Z309">
        <v>0</v>
      </c>
    </row>
    <row r="310" spans="1:26" x14ac:dyDescent="0.25">
      <c r="A310">
        <v>39</v>
      </c>
      <c r="B310">
        <v>18</v>
      </c>
      <c r="C310">
        <v>4</v>
      </c>
      <c r="D310">
        <v>1228</v>
      </c>
      <c r="E310">
        <v>4</v>
      </c>
      <c r="F310">
        <v>0</v>
      </c>
      <c r="G310">
        <v>1</v>
      </c>
      <c r="H310">
        <v>0</v>
      </c>
      <c r="I310">
        <v>0</v>
      </c>
      <c r="J310">
        <v>0</v>
      </c>
      <c r="K310">
        <v>1</v>
      </c>
      <c r="L310">
        <v>0</v>
      </c>
      <c r="M310">
        <v>0</v>
      </c>
      <c r="N310">
        <v>1</v>
      </c>
      <c r="O310">
        <v>0</v>
      </c>
      <c r="P310">
        <v>0</v>
      </c>
      <c r="Q310">
        <v>0</v>
      </c>
      <c r="R310">
        <v>1</v>
      </c>
      <c r="S310">
        <v>0</v>
      </c>
      <c r="T310">
        <v>0</v>
      </c>
      <c r="U310">
        <v>0</v>
      </c>
      <c r="V310">
        <v>0</v>
      </c>
      <c r="W310">
        <v>0</v>
      </c>
      <c r="X310">
        <v>1</v>
      </c>
      <c r="Y310">
        <v>0</v>
      </c>
      <c r="Z310">
        <v>0</v>
      </c>
    </row>
    <row r="311" spans="1:26" x14ac:dyDescent="0.25">
      <c r="A311">
        <v>20</v>
      </c>
      <c r="B311">
        <v>16</v>
      </c>
      <c r="C311">
        <v>4</v>
      </c>
      <c r="D311">
        <v>1228</v>
      </c>
      <c r="E311">
        <v>7</v>
      </c>
      <c r="F311">
        <v>1</v>
      </c>
      <c r="G311">
        <v>0</v>
      </c>
      <c r="H311">
        <v>0</v>
      </c>
      <c r="I311">
        <v>0</v>
      </c>
      <c r="J311">
        <v>0</v>
      </c>
      <c r="K311">
        <v>0</v>
      </c>
      <c r="L311">
        <v>1</v>
      </c>
      <c r="M311">
        <v>0</v>
      </c>
      <c r="N311">
        <v>1</v>
      </c>
      <c r="O311">
        <v>0</v>
      </c>
      <c r="P311">
        <v>0</v>
      </c>
      <c r="Q311">
        <v>1</v>
      </c>
      <c r="R311">
        <v>0</v>
      </c>
      <c r="S311">
        <v>0</v>
      </c>
      <c r="T311">
        <v>0</v>
      </c>
      <c r="U311">
        <v>0</v>
      </c>
      <c r="V311">
        <v>0</v>
      </c>
      <c r="W311">
        <v>0</v>
      </c>
      <c r="X311">
        <v>0</v>
      </c>
      <c r="Y311">
        <v>1</v>
      </c>
      <c r="Z311">
        <v>0</v>
      </c>
    </row>
    <row r="312" spans="1:26" x14ac:dyDescent="0.25">
      <c r="A312">
        <v>12</v>
      </c>
      <c r="B312">
        <v>11</v>
      </c>
      <c r="C312">
        <v>4</v>
      </c>
      <c r="D312">
        <v>826</v>
      </c>
      <c r="E312">
        <v>6</v>
      </c>
      <c r="F312">
        <v>0</v>
      </c>
      <c r="G312">
        <v>1</v>
      </c>
      <c r="H312">
        <v>0</v>
      </c>
      <c r="I312">
        <v>0</v>
      </c>
      <c r="J312">
        <v>0</v>
      </c>
      <c r="K312">
        <v>1</v>
      </c>
      <c r="L312">
        <v>0</v>
      </c>
      <c r="M312">
        <v>0</v>
      </c>
      <c r="N312">
        <v>0</v>
      </c>
      <c r="O312">
        <v>1</v>
      </c>
      <c r="P312">
        <v>0</v>
      </c>
      <c r="Q312">
        <v>1</v>
      </c>
      <c r="R312">
        <v>0</v>
      </c>
      <c r="S312">
        <v>0</v>
      </c>
      <c r="T312">
        <v>0</v>
      </c>
      <c r="U312">
        <v>1</v>
      </c>
      <c r="V312">
        <v>0</v>
      </c>
      <c r="W312">
        <v>0</v>
      </c>
      <c r="X312">
        <v>0</v>
      </c>
      <c r="Y312">
        <v>0</v>
      </c>
      <c r="Z312">
        <v>0</v>
      </c>
    </row>
    <row r="313" spans="1:26" x14ac:dyDescent="0.25">
      <c r="A313">
        <v>37</v>
      </c>
      <c r="B313">
        <v>8</v>
      </c>
      <c r="C313">
        <v>4</v>
      </c>
      <c r="D313">
        <v>3025</v>
      </c>
      <c r="E313">
        <v>3</v>
      </c>
      <c r="F313">
        <v>1</v>
      </c>
      <c r="G313">
        <v>0</v>
      </c>
      <c r="H313">
        <v>0</v>
      </c>
      <c r="I313">
        <v>0</v>
      </c>
      <c r="J313">
        <v>0</v>
      </c>
      <c r="K313">
        <v>0</v>
      </c>
      <c r="L313">
        <v>1</v>
      </c>
      <c r="M313">
        <v>0</v>
      </c>
      <c r="N313">
        <v>0</v>
      </c>
      <c r="O313">
        <v>0</v>
      </c>
      <c r="P313">
        <v>1</v>
      </c>
      <c r="Q313">
        <v>0</v>
      </c>
      <c r="R313">
        <v>0</v>
      </c>
      <c r="S313">
        <v>1</v>
      </c>
      <c r="T313">
        <v>0</v>
      </c>
      <c r="U313">
        <v>0</v>
      </c>
      <c r="V313">
        <v>0</v>
      </c>
      <c r="W313">
        <v>0</v>
      </c>
      <c r="X313">
        <v>0</v>
      </c>
      <c r="Y313">
        <v>1</v>
      </c>
      <c r="Z313">
        <v>0</v>
      </c>
    </row>
    <row r="314" spans="1:26" x14ac:dyDescent="0.25">
      <c r="A314">
        <v>8</v>
      </c>
      <c r="B314">
        <v>8</v>
      </c>
      <c r="C314">
        <v>1</v>
      </c>
      <c r="D314">
        <v>3773</v>
      </c>
      <c r="E314">
        <v>4</v>
      </c>
      <c r="F314">
        <v>0</v>
      </c>
      <c r="G314">
        <v>0</v>
      </c>
      <c r="H314">
        <v>0</v>
      </c>
      <c r="I314">
        <v>1</v>
      </c>
      <c r="J314">
        <v>0</v>
      </c>
      <c r="K314">
        <v>1</v>
      </c>
      <c r="L314">
        <v>0</v>
      </c>
      <c r="M314">
        <v>0</v>
      </c>
      <c r="N314">
        <v>1</v>
      </c>
      <c r="O314">
        <v>0</v>
      </c>
      <c r="P314">
        <v>0</v>
      </c>
      <c r="Q314">
        <v>0</v>
      </c>
      <c r="R314">
        <v>0</v>
      </c>
      <c r="S314">
        <v>1</v>
      </c>
      <c r="T314">
        <v>0</v>
      </c>
      <c r="U314">
        <v>0</v>
      </c>
      <c r="V314">
        <v>0</v>
      </c>
      <c r="W314">
        <v>0</v>
      </c>
      <c r="X314">
        <v>0</v>
      </c>
      <c r="Y314">
        <v>0</v>
      </c>
      <c r="Z314">
        <v>1</v>
      </c>
    </row>
    <row r="315" spans="1:26" x14ac:dyDescent="0.25">
      <c r="A315">
        <v>26</v>
      </c>
      <c r="B315">
        <v>7</v>
      </c>
      <c r="C315">
        <v>4</v>
      </c>
      <c r="D315">
        <v>315</v>
      </c>
      <c r="E315">
        <v>0</v>
      </c>
      <c r="F315">
        <v>0</v>
      </c>
      <c r="G315">
        <v>0</v>
      </c>
      <c r="H315">
        <v>0</v>
      </c>
      <c r="I315">
        <v>1</v>
      </c>
      <c r="J315">
        <v>0</v>
      </c>
      <c r="K315">
        <v>1</v>
      </c>
      <c r="L315">
        <v>0</v>
      </c>
      <c r="M315">
        <v>0</v>
      </c>
      <c r="N315">
        <v>1</v>
      </c>
      <c r="O315">
        <v>0</v>
      </c>
      <c r="P315">
        <v>0</v>
      </c>
      <c r="Q315">
        <v>1</v>
      </c>
      <c r="R315">
        <v>0</v>
      </c>
      <c r="S315">
        <v>0</v>
      </c>
      <c r="T315">
        <v>1</v>
      </c>
      <c r="U315">
        <v>0</v>
      </c>
      <c r="V315">
        <v>0</v>
      </c>
      <c r="W315">
        <v>0</v>
      </c>
      <c r="X315">
        <v>0</v>
      </c>
      <c r="Y315">
        <v>0</v>
      </c>
      <c r="Z315">
        <v>0</v>
      </c>
    </row>
    <row r="316" spans="1:26" x14ac:dyDescent="0.25">
      <c r="A316">
        <v>8</v>
      </c>
      <c r="B316">
        <v>7</v>
      </c>
      <c r="C316">
        <v>5</v>
      </c>
      <c r="D316">
        <v>3981</v>
      </c>
      <c r="E316">
        <v>8</v>
      </c>
      <c r="F316">
        <v>0</v>
      </c>
      <c r="G316">
        <v>0</v>
      </c>
      <c r="H316">
        <v>1</v>
      </c>
      <c r="I316">
        <v>0</v>
      </c>
      <c r="J316">
        <v>0</v>
      </c>
      <c r="K316">
        <v>0</v>
      </c>
      <c r="L316">
        <v>1</v>
      </c>
      <c r="M316">
        <v>0</v>
      </c>
      <c r="N316">
        <v>1</v>
      </c>
      <c r="O316">
        <v>0</v>
      </c>
      <c r="P316">
        <v>0</v>
      </c>
      <c r="Q316">
        <v>0</v>
      </c>
      <c r="R316">
        <v>1</v>
      </c>
      <c r="S316">
        <v>0</v>
      </c>
      <c r="T316">
        <v>0</v>
      </c>
      <c r="U316">
        <v>0</v>
      </c>
      <c r="V316">
        <v>0</v>
      </c>
      <c r="W316">
        <v>0</v>
      </c>
      <c r="X316">
        <v>0</v>
      </c>
      <c r="Y316">
        <v>0</v>
      </c>
      <c r="Z316">
        <v>1</v>
      </c>
    </row>
    <row r="317" spans="1:26" x14ac:dyDescent="0.25">
      <c r="A317">
        <v>28</v>
      </c>
      <c r="B317">
        <v>6</v>
      </c>
      <c r="C317">
        <v>3</v>
      </c>
      <c r="D317">
        <v>716</v>
      </c>
      <c r="E317">
        <v>3</v>
      </c>
      <c r="F317">
        <v>0</v>
      </c>
      <c r="G317">
        <v>0</v>
      </c>
      <c r="H317">
        <v>0</v>
      </c>
      <c r="I317">
        <v>1</v>
      </c>
      <c r="J317">
        <v>1</v>
      </c>
      <c r="K317">
        <v>0</v>
      </c>
      <c r="L317">
        <v>0</v>
      </c>
      <c r="M317">
        <v>1</v>
      </c>
      <c r="N317">
        <v>1</v>
      </c>
      <c r="O317">
        <v>0</v>
      </c>
      <c r="P317">
        <v>0</v>
      </c>
      <c r="Q317">
        <v>0</v>
      </c>
      <c r="R317">
        <v>0</v>
      </c>
      <c r="S317">
        <v>1</v>
      </c>
      <c r="T317">
        <v>0</v>
      </c>
      <c r="U317">
        <v>0</v>
      </c>
      <c r="V317">
        <v>0</v>
      </c>
      <c r="W317">
        <v>0</v>
      </c>
      <c r="X317">
        <v>0</v>
      </c>
      <c r="Y317">
        <v>1</v>
      </c>
      <c r="Z317">
        <v>0</v>
      </c>
    </row>
    <row r="318" spans="1:26" x14ac:dyDescent="0.25">
      <c r="A318">
        <v>24</v>
      </c>
      <c r="B318">
        <v>6</v>
      </c>
      <c r="C318">
        <v>2</v>
      </c>
      <c r="D318">
        <v>3981</v>
      </c>
      <c r="E318">
        <v>2</v>
      </c>
      <c r="F318">
        <v>0</v>
      </c>
      <c r="G318">
        <v>1</v>
      </c>
      <c r="H318">
        <v>0</v>
      </c>
      <c r="I318">
        <v>0</v>
      </c>
      <c r="J318">
        <v>0</v>
      </c>
      <c r="K318">
        <v>1</v>
      </c>
      <c r="L318">
        <v>0</v>
      </c>
      <c r="M318">
        <v>0</v>
      </c>
      <c r="N318">
        <v>1</v>
      </c>
      <c r="O318">
        <v>0</v>
      </c>
      <c r="P318">
        <v>0</v>
      </c>
      <c r="Q318">
        <v>0</v>
      </c>
      <c r="R318">
        <v>0</v>
      </c>
      <c r="S318">
        <v>1</v>
      </c>
      <c r="T318">
        <v>0</v>
      </c>
      <c r="U318">
        <v>0</v>
      </c>
      <c r="V318">
        <v>0</v>
      </c>
      <c r="W318">
        <v>0</v>
      </c>
      <c r="X318">
        <v>0</v>
      </c>
      <c r="Y318">
        <v>0</v>
      </c>
      <c r="Z318">
        <v>1</v>
      </c>
    </row>
    <row r="319" spans="1:26" x14ac:dyDescent="0.25">
      <c r="A319">
        <v>20</v>
      </c>
      <c r="B319">
        <v>6</v>
      </c>
      <c r="C319">
        <v>5</v>
      </c>
      <c r="D319">
        <v>4027</v>
      </c>
      <c r="E319">
        <v>0</v>
      </c>
      <c r="F319">
        <v>1</v>
      </c>
      <c r="G319">
        <v>0</v>
      </c>
      <c r="H319">
        <v>0</v>
      </c>
      <c r="I319">
        <v>0</v>
      </c>
      <c r="J319">
        <v>1</v>
      </c>
      <c r="K319">
        <v>0</v>
      </c>
      <c r="L319">
        <v>0</v>
      </c>
      <c r="M319">
        <v>0</v>
      </c>
      <c r="N319">
        <v>0</v>
      </c>
      <c r="O319">
        <v>0</v>
      </c>
      <c r="P319">
        <v>1</v>
      </c>
      <c r="Q319">
        <v>0</v>
      </c>
      <c r="R319">
        <v>0</v>
      </c>
      <c r="S319">
        <v>1</v>
      </c>
      <c r="T319">
        <v>0</v>
      </c>
      <c r="U319">
        <v>0</v>
      </c>
      <c r="V319">
        <v>0</v>
      </c>
      <c r="W319">
        <v>0</v>
      </c>
      <c r="X319">
        <v>0</v>
      </c>
      <c r="Y319">
        <v>0</v>
      </c>
      <c r="Z319">
        <v>1</v>
      </c>
    </row>
    <row r="320" spans="1:26" x14ac:dyDescent="0.25">
      <c r="A320">
        <v>7</v>
      </c>
      <c r="B320">
        <v>6</v>
      </c>
      <c r="C320">
        <v>2</v>
      </c>
      <c r="D320">
        <v>3773</v>
      </c>
      <c r="E320">
        <v>1</v>
      </c>
      <c r="F320">
        <v>0</v>
      </c>
      <c r="G320">
        <v>1</v>
      </c>
      <c r="H320">
        <v>0</v>
      </c>
      <c r="I320">
        <v>0</v>
      </c>
      <c r="J320">
        <v>1</v>
      </c>
      <c r="K320">
        <v>0</v>
      </c>
      <c r="L320">
        <v>0</v>
      </c>
      <c r="M320">
        <v>0</v>
      </c>
      <c r="N320">
        <v>1</v>
      </c>
      <c r="O320">
        <v>0</v>
      </c>
      <c r="P320">
        <v>0</v>
      </c>
      <c r="Q320">
        <v>0</v>
      </c>
      <c r="R320">
        <v>0</v>
      </c>
      <c r="S320">
        <v>1</v>
      </c>
      <c r="T320">
        <v>0</v>
      </c>
      <c r="U320">
        <v>0</v>
      </c>
      <c r="V320">
        <v>0</v>
      </c>
      <c r="W320">
        <v>0</v>
      </c>
      <c r="X320">
        <v>0</v>
      </c>
      <c r="Y320">
        <v>0</v>
      </c>
      <c r="Z320">
        <v>1</v>
      </c>
    </row>
    <row r="321" spans="1:26" x14ac:dyDescent="0.25">
      <c r="A321">
        <v>6</v>
      </c>
      <c r="B321">
        <v>6</v>
      </c>
      <c r="C321">
        <v>3</v>
      </c>
      <c r="D321">
        <v>3348</v>
      </c>
      <c r="E321">
        <v>0</v>
      </c>
      <c r="F321">
        <v>0</v>
      </c>
      <c r="G321">
        <v>0</v>
      </c>
      <c r="H321">
        <v>0</v>
      </c>
      <c r="I321">
        <v>1</v>
      </c>
      <c r="J321">
        <v>0</v>
      </c>
      <c r="K321">
        <v>1</v>
      </c>
      <c r="L321">
        <v>0</v>
      </c>
      <c r="M321">
        <v>0</v>
      </c>
      <c r="N321">
        <v>0</v>
      </c>
      <c r="O321">
        <v>0</v>
      </c>
      <c r="P321">
        <v>1</v>
      </c>
      <c r="Q321">
        <v>1</v>
      </c>
      <c r="R321">
        <v>0</v>
      </c>
      <c r="S321">
        <v>0</v>
      </c>
      <c r="T321">
        <v>0</v>
      </c>
      <c r="U321">
        <v>0</v>
      </c>
      <c r="V321">
        <v>0</v>
      </c>
      <c r="W321">
        <v>1</v>
      </c>
      <c r="X321">
        <v>0</v>
      </c>
      <c r="Y321">
        <v>0</v>
      </c>
      <c r="Z321">
        <v>0</v>
      </c>
    </row>
    <row r="322" spans="1:26" x14ac:dyDescent="0.25">
      <c r="A322">
        <v>11</v>
      </c>
      <c r="B322">
        <v>5</v>
      </c>
      <c r="C322">
        <v>5</v>
      </c>
      <c r="D322">
        <v>716</v>
      </c>
      <c r="E322">
        <v>7</v>
      </c>
      <c r="F322">
        <v>0</v>
      </c>
      <c r="G322">
        <v>0</v>
      </c>
      <c r="H322">
        <v>1</v>
      </c>
      <c r="I322">
        <v>0</v>
      </c>
      <c r="J322">
        <v>0</v>
      </c>
      <c r="K322">
        <v>0</v>
      </c>
      <c r="L322">
        <v>1</v>
      </c>
      <c r="M322">
        <v>1</v>
      </c>
      <c r="N322">
        <v>1</v>
      </c>
      <c r="O322">
        <v>0</v>
      </c>
      <c r="P322">
        <v>0</v>
      </c>
      <c r="Q322">
        <v>1</v>
      </c>
      <c r="R322">
        <v>0</v>
      </c>
      <c r="S322">
        <v>0</v>
      </c>
      <c r="T322">
        <v>0</v>
      </c>
      <c r="U322">
        <v>1</v>
      </c>
      <c r="V322">
        <v>0</v>
      </c>
      <c r="W322">
        <v>0</v>
      </c>
      <c r="X322">
        <v>0</v>
      </c>
      <c r="Y322">
        <v>0</v>
      </c>
      <c r="Z322">
        <v>0</v>
      </c>
    </row>
    <row r="323" spans="1:26" x14ac:dyDescent="0.25">
      <c r="A323">
        <v>14</v>
      </c>
      <c r="B323">
        <v>4</v>
      </c>
      <c r="C323">
        <v>4</v>
      </c>
      <c r="D323">
        <v>1467</v>
      </c>
      <c r="E323">
        <v>1</v>
      </c>
      <c r="F323">
        <v>0</v>
      </c>
      <c r="G323">
        <v>0</v>
      </c>
      <c r="H323">
        <v>1</v>
      </c>
      <c r="I323">
        <v>0</v>
      </c>
      <c r="J323">
        <v>0</v>
      </c>
      <c r="K323">
        <v>0</v>
      </c>
      <c r="L323">
        <v>1</v>
      </c>
      <c r="M323">
        <v>1</v>
      </c>
      <c r="N323">
        <v>0</v>
      </c>
      <c r="O323">
        <v>1</v>
      </c>
      <c r="P323">
        <v>0</v>
      </c>
      <c r="Q323">
        <v>0</v>
      </c>
      <c r="R323">
        <v>1</v>
      </c>
      <c r="S323">
        <v>0</v>
      </c>
      <c r="T323">
        <v>1</v>
      </c>
      <c r="U323">
        <v>0</v>
      </c>
      <c r="V323">
        <v>0</v>
      </c>
      <c r="W323">
        <v>0</v>
      </c>
      <c r="X323">
        <v>0</v>
      </c>
      <c r="Y323">
        <v>0</v>
      </c>
      <c r="Z323">
        <v>0</v>
      </c>
    </row>
    <row r="324" spans="1:26" x14ac:dyDescent="0.25">
      <c r="A324">
        <v>20</v>
      </c>
      <c r="B324">
        <v>3</v>
      </c>
      <c r="C324">
        <v>5</v>
      </c>
      <c r="D324">
        <v>4027</v>
      </c>
      <c r="E324">
        <v>0</v>
      </c>
      <c r="F324">
        <v>0</v>
      </c>
      <c r="G324">
        <v>0</v>
      </c>
      <c r="H324">
        <v>1</v>
      </c>
      <c r="I324">
        <v>0</v>
      </c>
      <c r="J324">
        <v>0</v>
      </c>
      <c r="K324">
        <v>0</v>
      </c>
      <c r="L324">
        <v>1</v>
      </c>
      <c r="M324">
        <v>0</v>
      </c>
      <c r="N324">
        <v>0</v>
      </c>
      <c r="O324">
        <v>0</v>
      </c>
      <c r="P324">
        <v>1</v>
      </c>
      <c r="Q324">
        <v>0</v>
      </c>
      <c r="R324">
        <v>1</v>
      </c>
      <c r="S324">
        <v>0</v>
      </c>
      <c r="T324">
        <v>0</v>
      </c>
      <c r="U324">
        <v>1</v>
      </c>
      <c r="V324">
        <v>0</v>
      </c>
      <c r="W324">
        <v>0</v>
      </c>
      <c r="X324">
        <v>0</v>
      </c>
      <c r="Y324">
        <v>0</v>
      </c>
      <c r="Z324">
        <v>0</v>
      </c>
    </row>
    <row r="325" spans="1:26" x14ac:dyDescent="0.25">
      <c r="A325">
        <v>5</v>
      </c>
      <c r="B325">
        <v>3</v>
      </c>
      <c r="C325">
        <v>5</v>
      </c>
      <c r="D325">
        <v>2700</v>
      </c>
      <c r="E325">
        <v>4</v>
      </c>
      <c r="F325">
        <v>1</v>
      </c>
      <c r="G325">
        <v>0</v>
      </c>
      <c r="H325">
        <v>0</v>
      </c>
      <c r="I325">
        <v>0</v>
      </c>
      <c r="J325">
        <v>0</v>
      </c>
      <c r="K325">
        <v>1</v>
      </c>
      <c r="L325">
        <v>0</v>
      </c>
      <c r="M325">
        <v>1</v>
      </c>
      <c r="N325">
        <v>0</v>
      </c>
      <c r="O325">
        <v>0</v>
      </c>
      <c r="P325">
        <v>1</v>
      </c>
      <c r="Q325">
        <v>0</v>
      </c>
      <c r="R325">
        <v>0</v>
      </c>
      <c r="S325">
        <v>1</v>
      </c>
      <c r="T325">
        <v>0</v>
      </c>
      <c r="U325">
        <v>0</v>
      </c>
      <c r="V325">
        <v>0</v>
      </c>
      <c r="W325">
        <v>0</v>
      </c>
      <c r="X325">
        <v>0</v>
      </c>
      <c r="Y325">
        <v>1</v>
      </c>
      <c r="Z325">
        <v>0</v>
      </c>
    </row>
    <row r="326" spans="1:26" x14ac:dyDescent="0.25">
      <c r="A326">
        <v>5</v>
      </c>
      <c r="B326">
        <v>3</v>
      </c>
      <c r="C326">
        <v>5</v>
      </c>
      <c r="D326">
        <v>3025</v>
      </c>
      <c r="E326">
        <v>2</v>
      </c>
      <c r="F326">
        <v>0</v>
      </c>
      <c r="G326">
        <v>0</v>
      </c>
      <c r="H326">
        <v>0</v>
      </c>
      <c r="I326">
        <v>1</v>
      </c>
      <c r="J326">
        <v>0</v>
      </c>
      <c r="K326">
        <v>0</v>
      </c>
      <c r="L326">
        <v>1</v>
      </c>
      <c r="M326">
        <v>0</v>
      </c>
      <c r="N326">
        <v>0</v>
      </c>
      <c r="O326">
        <v>0</v>
      </c>
      <c r="P326">
        <v>1</v>
      </c>
      <c r="Q326">
        <v>1</v>
      </c>
      <c r="R326">
        <v>0</v>
      </c>
      <c r="S326">
        <v>0</v>
      </c>
      <c r="T326">
        <v>0</v>
      </c>
      <c r="U326">
        <v>0</v>
      </c>
      <c r="V326">
        <v>0</v>
      </c>
      <c r="W326">
        <v>0</v>
      </c>
      <c r="X326">
        <v>1</v>
      </c>
      <c r="Y326">
        <v>0</v>
      </c>
      <c r="Z326">
        <v>0</v>
      </c>
    </row>
    <row r="327" spans="1:26" x14ac:dyDescent="0.25">
      <c r="A327">
        <v>27</v>
      </c>
      <c r="B327">
        <v>0</v>
      </c>
      <c r="C327">
        <v>1</v>
      </c>
      <c r="D327">
        <v>1467</v>
      </c>
      <c r="E327">
        <v>0</v>
      </c>
      <c r="F327">
        <v>0</v>
      </c>
      <c r="G327">
        <v>0</v>
      </c>
      <c r="H327">
        <v>0</v>
      </c>
      <c r="I327">
        <v>1</v>
      </c>
      <c r="J327">
        <v>0</v>
      </c>
      <c r="K327">
        <v>0</v>
      </c>
      <c r="L327">
        <v>1</v>
      </c>
      <c r="M327">
        <v>1</v>
      </c>
      <c r="N327">
        <v>0</v>
      </c>
      <c r="O327">
        <v>1</v>
      </c>
      <c r="P327">
        <v>0</v>
      </c>
      <c r="Q327">
        <v>0</v>
      </c>
      <c r="R327">
        <v>0</v>
      </c>
      <c r="S327">
        <v>1</v>
      </c>
      <c r="T327">
        <v>0</v>
      </c>
      <c r="U327">
        <v>0</v>
      </c>
      <c r="V327">
        <v>0</v>
      </c>
      <c r="W327">
        <v>0</v>
      </c>
      <c r="X327">
        <v>0</v>
      </c>
      <c r="Y327">
        <v>1</v>
      </c>
      <c r="Z327">
        <v>0</v>
      </c>
    </row>
    <row r="328" spans="1:26" x14ac:dyDescent="0.25">
      <c r="A328">
        <v>10</v>
      </c>
      <c r="B328">
        <v>0</v>
      </c>
      <c r="C328">
        <v>5</v>
      </c>
      <c r="D328">
        <v>1228</v>
      </c>
      <c r="E328">
        <v>1</v>
      </c>
      <c r="F328">
        <v>0</v>
      </c>
      <c r="G328">
        <v>1</v>
      </c>
      <c r="H328">
        <v>0</v>
      </c>
      <c r="I328">
        <v>0</v>
      </c>
      <c r="J328">
        <v>0</v>
      </c>
      <c r="K328">
        <v>1</v>
      </c>
      <c r="L328">
        <v>0</v>
      </c>
      <c r="M328">
        <v>0</v>
      </c>
      <c r="N328">
        <v>1</v>
      </c>
      <c r="O328">
        <v>0</v>
      </c>
      <c r="P328">
        <v>0</v>
      </c>
      <c r="Q328">
        <v>0</v>
      </c>
      <c r="R328">
        <v>1</v>
      </c>
      <c r="S328">
        <v>0</v>
      </c>
      <c r="T328">
        <v>0</v>
      </c>
      <c r="U328">
        <v>0</v>
      </c>
      <c r="V328">
        <v>0</v>
      </c>
      <c r="W328">
        <v>0</v>
      </c>
      <c r="X328">
        <v>0</v>
      </c>
      <c r="Y328">
        <v>0</v>
      </c>
      <c r="Z328">
        <v>1</v>
      </c>
    </row>
    <row r="329" spans="1:26" x14ac:dyDescent="0.25">
      <c r="A329">
        <v>33</v>
      </c>
      <c r="B329">
        <v>13</v>
      </c>
      <c r="C329">
        <v>5</v>
      </c>
      <c r="D329">
        <v>1282</v>
      </c>
      <c r="E329">
        <v>5</v>
      </c>
      <c r="F329">
        <v>1</v>
      </c>
      <c r="G329">
        <v>0</v>
      </c>
      <c r="H329">
        <v>0</v>
      </c>
      <c r="I329">
        <v>0</v>
      </c>
      <c r="J329">
        <v>1</v>
      </c>
      <c r="K329">
        <v>0</v>
      </c>
      <c r="L329">
        <v>0</v>
      </c>
      <c r="M329">
        <v>0</v>
      </c>
      <c r="N329">
        <v>0</v>
      </c>
      <c r="O329">
        <v>0</v>
      </c>
      <c r="P329">
        <v>1</v>
      </c>
      <c r="Q329">
        <v>0</v>
      </c>
      <c r="R329">
        <v>0</v>
      </c>
      <c r="S329">
        <v>1</v>
      </c>
      <c r="T329">
        <v>0</v>
      </c>
      <c r="U329">
        <v>0</v>
      </c>
      <c r="V329">
        <v>0</v>
      </c>
      <c r="W329">
        <v>0</v>
      </c>
      <c r="X329">
        <v>0</v>
      </c>
      <c r="Y329">
        <v>0</v>
      </c>
      <c r="Z329">
        <v>1</v>
      </c>
    </row>
    <row r="330" spans="1:26" x14ac:dyDescent="0.25">
      <c r="A330">
        <v>13</v>
      </c>
      <c r="B330">
        <v>12</v>
      </c>
      <c r="C330">
        <v>3</v>
      </c>
      <c r="D330">
        <v>3981</v>
      </c>
      <c r="E330">
        <v>4</v>
      </c>
      <c r="F330">
        <v>0</v>
      </c>
      <c r="G330">
        <v>0</v>
      </c>
      <c r="H330">
        <v>1</v>
      </c>
      <c r="I330">
        <v>0</v>
      </c>
      <c r="J330">
        <v>1</v>
      </c>
      <c r="K330">
        <v>0</v>
      </c>
      <c r="L330">
        <v>0</v>
      </c>
      <c r="M330">
        <v>0</v>
      </c>
      <c r="N330">
        <v>1</v>
      </c>
      <c r="O330">
        <v>0</v>
      </c>
      <c r="P330">
        <v>0</v>
      </c>
      <c r="Q330">
        <v>1</v>
      </c>
      <c r="R330">
        <v>0</v>
      </c>
      <c r="S330">
        <v>0</v>
      </c>
      <c r="T330">
        <v>0</v>
      </c>
      <c r="U330">
        <v>0</v>
      </c>
      <c r="V330">
        <v>0</v>
      </c>
      <c r="W330">
        <v>0</v>
      </c>
      <c r="X330">
        <v>0</v>
      </c>
      <c r="Y330">
        <v>0</v>
      </c>
      <c r="Z330">
        <v>1</v>
      </c>
    </row>
    <row r="331" spans="1:26" x14ac:dyDescent="0.25">
      <c r="A331">
        <v>27</v>
      </c>
      <c r="B331">
        <v>9</v>
      </c>
      <c r="C331">
        <v>4</v>
      </c>
      <c r="D331">
        <v>2884</v>
      </c>
      <c r="E331">
        <v>2</v>
      </c>
      <c r="F331">
        <v>0</v>
      </c>
      <c r="G331">
        <v>0</v>
      </c>
      <c r="H331">
        <v>0</v>
      </c>
      <c r="I331">
        <v>1</v>
      </c>
      <c r="J331">
        <v>0</v>
      </c>
      <c r="K331">
        <v>1</v>
      </c>
      <c r="L331">
        <v>0</v>
      </c>
      <c r="M331">
        <v>1</v>
      </c>
      <c r="N331">
        <v>0</v>
      </c>
      <c r="O331">
        <v>1</v>
      </c>
      <c r="P331">
        <v>0</v>
      </c>
      <c r="Q331">
        <v>1</v>
      </c>
      <c r="R331">
        <v>0</v>
      </c>
      <c r="S331">
        <v>0</v>
      </c>
      <c r="T331">
        <v>1</v>
      </c>
      <c r="U331">
        <v>0</v>
      </c>
      <c r="V331">
        <v>0</v>
      </c>
      <c r="W331">
        <v>0</v>
      </c>
      <c r="X331">
        <v>0</v>
      </c>
      <c r="Y331">
        <v>0</v>
      </c>
      <c r="Z331">
        <v>0</v>
      </c>
    </row>
    <row r="332" spans="1:26" x14ac:dyDescent="0.25">
      <c r="A332">
        <v>18</v>
      </c>
      <c r="B332">
        <v>9</v>
      </c>
      <c r="C332">
        <v>3</v>
      </c>
      <c r="D332">
        <v>732</v>
      </c>
      <c r="E332">
        <v>7</v>
      </c>
      <c r="F332">
        <v>0</v>
      </c>
      <c r="G332">
        <v>0</v>
      </c>
      <c r="H332">
        <v>0</v>
      </c>
      <c r="I332">
        <v>1</v>
      </c>
      <c r="J332">
        <v>1</v>
      </c>
      <c r="K332">
        <v>0</v>
      </c>
      <c r="L332">
        <v>0</v>
      </c>
      <c r="M332">
        <v>0</v>
      </c>
      <c r="N332">
        <v>1</v>
      </c>
      <c r="O332">
        <v>0</v>
      </c>
      <c r="P332">
        <v>0</v>
      </c>
      <c r="Q332">
        <v>1</v>
      </c>
      <c r="R332">
        <v>0</v>
      </c>
      <c r="S332">
        <v>0</v>
      </c>
      <c r="T332">
        <v>0</v>
      </c>
      <c r="U332">
        <v>1</v>
      </c>
      <c r="V332">
        <v>0</v>
      </c>
      <c r="W332">
        <v>0</v>
      </c>
      <c r="X332">
        <v>0</v>
      </c>
      <c r="Y332">
        <v>0</v>
      </c>
      <c r="Z332">
        <v>0</v>
      </c>
    </row>
    <row r="333" spans="1:26" x14ac:dyDescent="0.25">
      <c r="A333">
        <v>33</v>
      </c>
      <c r="B333">
        <v>8</v>
      </c>
      <c r="C333">
        <v>5</v>
      </c>
      <c r="D333">
        <v>1467</v>
      </c>
      <c r="E333">
        <v>7</v>
      </c>
      <c r="F333">
        <v>0</v>
      </c>
      <c r="G333">
        <v>0</v>
      </c>
      <c r="H333">
        <v>0</v>
      </c>
      <c r="I333">
        <v>1</v>
      </c>
      <c r="J333">
        <v>1</v>
      </c>
      <c r="K333">
        <v>0</v>
      </c>
      <c r="L333">
        <v>0</v>
      </c>
      <c r="M333">
        <v>1</v>
      </c>
      <c r="N333">
        <v>0</v>
      </c>
      <c r="O333">
        <v>1</v>
      </c>
      <c r="P333">
        <v>0</v>
      </c>
      <c r="Q333">
        <v>0</v>
      </c>
      <c r="R333">
        <v>1</v>
      </c>
      <c r="S333">
        <v>0</v>
      </c>
      <c r="T333">
        <v>0</v>
      </c>
      <c r="U333">
        <v>0</v>
      </c>
      <c r="V333">
        <v>1</v>
      </c>
      <c r="W333">
        <v>0</v>
      </c>
      <c r="X333">
        <v>0</v>
      </c>
      <c r="Y333">
        <v>0</v>
      </c>
      <c r="Z333">
        <v>0</v>
      </c>
    </row>
    <row r="334" spans="1:26" x14ac:dyDescent="0.25">
      <c r="A334">
        <v>13</v>
      </c>
      <c r="B334">
        <v>7</v>
      </c>
      <c r="C334">
        <v>5</v>
      </c>
      <c r="D334">
        <v>2034</v>
      </c>
      <c r="E334">
        <v>5</v>
      </c>
      <c r="F334">
        <v>0</v>
      </c>
      <c r="G334">
        <v>0</v>
      </c>
      <c r="H334">
        <v>0</v>
      </c>
      <c r="I334">
        <v>1</v>
      </c>
      <c r="J334">
        <v>0</v>
      </c>
      <c r="K334">
        <v>0</v>
      </c>
      <c r="L334">
        <v>1</v>
      </c>
      <c r="M334">
        <v>0</v>
      </c>
      <c r="N334">
        <v>0</v>
      </c>
      <c r="O334">
        <v>0</v>
      </c>
      <c r="P334">
        <v>1</v>
      </c>
      <c r="Q334">
        <v>1</v>
      </c>
      <c r="R334">
        <v>0</v>
      </c>
      <c r="S334">
        <v>0</v>
      </c>
      <c r="T334">
        <v>0</v>
      </c>
      <c r="U334">
        <v>0</v>
      </c>
      <c r="V334">
        <v>0</v>
      </c>
      <c r="W334">
        <v>1</v>
      </c>
      <c r="X334">
        <v>0</v>
      </c>
      <c r="Y334">
        <v>0</v>
      </c>
      <c r="Z334">
        <v>0</v>
      </c>
    </row>
    <row r="335" spans="1:26" x14ac:dyDescent="0.25">
      <c r="A335">
        <v>11</v>
      </c>
      <c r="B335">
        <v>5</v>
      </c>
      <c r="C335">
        <v>4</v>
      </c>
      <c r="D335">
        <v>2884</v>
      </c>
      <c r="E335">
        <v>1</v>
      </c>
      <c r="F335">
        <v>1</v>
      </c>
      <c r="G335">
        <v>0</v>
      </c>
      <c r="H335">
        <v>0</v>
      </c>
      <c r="I335">
        <v>0</v>
      </c>
      <c r="J335">
        <v>0</v>
      </c>
      <c r="K335">
        <v>0</v>
      </c>
      <c r="L335">
        <v>1</v>
      </c>
      <c r="M335">
        <v>1</v>
      </c>
      <c r="N335">
        <v>0</v>
      </c>
      <c r="O335">
        <v>1</v>
      </c>
      <c r="P335">
        <v>0</v>
      </c>
      <c r="Q335">
        <v>1</v>
      </c>
      <c r="R335">
        <v>0</v>
      </c>
      <c r="S335">
        <v>0</v>
      </c>
      <c r="T335">
        <v>0</v>
      </c>
      <c r="U335">
        <v>0</v>
      </c>
      <c r="V335">
        <v>0</v>
      </c>
      <c r="W335">
        <v>0</v>
      </c>
      <c r="X335">
        <v>1</v>
      </c>
      <c r="Y335">
        <v>0</v>
      </c>
      <c r="Z335">
        <v>0</v>
      </c>
    </row>
    <row r="336" spans="1:26" x14ac:dyDescent="0.25">
      <c r="A336">
        <v>8</v>
      </c>
      <c r="B336">
        <v>5</v>
      </c>
      <c r="C336">
        <v>4</v>
      </c>
      <c r="D336">
        <v>3003</v>
      </c>
      <c r="E336">
        <v>8</v>
      </c>
      <c r="F336">
        <v>0</v>
      </c>
      <c r="G336">
        <v>0</v>
      </c>
      <c r="H336">
        <v>0</v>
      </c>
      <c r="I336">
        <v>1</v>
      </c>
      <c r="J336">
        <v>0</v>
      </c>
      <c r="K336">
        <v>0</v>
      </c>
      <c r="L336">
        <v>1</v>
      </c>
      <c r="M336">
        <v>0</v>
      </c>
      <c r="N336">
        <v>0</v>
      </c>
      <c r="O336">
        <v>1</v>
      </c>
      <c r="P336">
        <v>0</v>
      </c>
      <c r="Q336">
        <v>0</v>
      </c>
      <c r="R336">
        <v>1</v>
      </c>
      <c r="S336">
        <v>0</v>
      </c>
      <c r="T336">
        <v>1</v>
      </c>
      <c r="U336">
        <v>0</v>
      </c>
      <c r="V336">
        <v>0</v>
      </c>
      <c r="W336">
        <v>0</v>
      </c>
      <c r="X336">
        <v>0</v>
      </c>
      <c r="Y336">
        <v>0</v>
      </c>
      <c r="Z336">
        <v>0</v>
      </c>
    </row>
    <row r="337" spans="1:26" x14ac:dyDescent="0.25">
      <c r="A337">
        <v>93</v>
      </c>
      <c r="B337">
        <v>4</v>
      </c>
      <c r="C337">
        <v>5</v>
      </c>
      <c r="D337">
        <v>3025</v>
      </c>
      <c r="E337">
        <v>2</v>
      </c>
      <c r="F337">
        <v>0</v>
      </c>
      <c r="G337">
        <v>0</v>
      </c>
      <c r="H337">
        <v>0</v>
      </c>
      <c r="I337">
        <v>1</v>
      </c>
      <c r="J337">
        <v>0</v>
      </c>
      <c r="K337">
        <v>1</v>
      </c>
      <c r="L337">
        <v>0</v>
      </c>
      <c r="M337">
        <v>0</v>
      </c>
      <c r="N337">
        <v>0</v>
      </c>
      <c r="O337">
        <v>0</v>
      </c>
      <c r="P337">
        <v>1</v>
      </c>
      <c r="Q337">
        <v>0</v>
      </c>
      <c r="R337">
        <v>0</v>
      </c>
      <c r="S337">
        <v>1</v>
      </c>
      <c r="T337">
        <v>0</v>
      </c>
      <c r="U337">
        <v>0</v>
      </c>
      <c r="V337">
        <v>1</v>
      </c>
      <c r="W337">
        <v>0</v>
      </c>
      <c r="X337">
        <v>0</v>
      </c>
      <c r="Y337">
        <v>0</v>
      </c>
      <c r="Z337">
        <v>0</v>
      </c>
    </row>
    <row r="338" spans="1:26" x14ac:dyDescent="0.25">
      <c r="A338">
        <v>17</v>
      </c>
      <c r="B338">
        <v>4</v>
      </c>
      <c r="C338">
        <v>5</v>
      </c>
      <c r="D338">
        <v>3025</v>
      </c>
      <c r="E338">
        <v>0</v>
      </c>
      <c r="F338">
        <v>0</v>
      </c>
      <c r="G338">
        <v>0</v>
      </c>
      <c r="H338">
        <v>1</v>
      </c>
      <c r="I338">
        <v>0</v>
      </c>
      <c r="J338">
        <v>0</v>
      </c>
      <c r="K338">
        <v>0</v>
      </c>
      <c r="L338">
        <v>1</v>
      </c>
      <c r="M338">
        <v>0</v>
      </c>
      <c r="N338">
        <v>0</v>
      </c>
      <c r="O338">
        <v>0</v>
      </c>
      <c r="P338">
        <v>1</v>
      </c>
      <c r="Q338">
        <v>0</v>
      </c>
      <c r="R338">
        <v>1</v>
      </c>
      <c r="S338">
        <v>0</v>
      </c>
      <c r="T338">
        <v>0</v>
      </c>
      <c r="U338">
        <v>0</v>
      </c>
      <c r="V338">
        <v>1</v>
      </c>
      <c r="W338">
        <v>0</v>
      </c>
      <c r="X338">
        <v>0</v>
      </c>
      <c r="Y338">
        <v>0</v>
      </c>
      <c r="Z338">
        <v>0</v>
      </c>
    </row>
    <row r="339" spans="1:26" x14ac:dyDescent="0.25">
      <c r="A339">
        <v>15</v>
      </c>
      <c r="B339">
        <v>4</v>
      </c>
      <c r="C339">
        <v>5</v>
      </c>
      <c r="D339">
        <v>826</v>
      </c>
      <c r="E339">
        <v>1</v>
      </c>
      <c r="F339">
        <v>0</v>
      </c>
      <c r="G339">
        <v>0</v>
      </c>
      <c r="H339">
        <v>0</v>
      </c>
      <c r="I339">
        <v>1</v>
      </c>
      <c r="J339">
        <v>0</v>
      </c>
      <c r="K339">
        <v>0</v>
      </c>
      <c r="L339">
        <v>1</v>
      </c>
      <c r="M339">
        <v>0</v>
      </c>
      <c r="N339">
        <v>0</v>
      </c>
      <c r="O339">
        <v>1</v>
      </c>
      <c r="P339">
        <v>0</v>
      </c>
      <c r="Q339">
        <v>0</v>
      </c>
      <c r="R339">
        <v>1</v>
      </c>
      <c r="S339">
        <v>0</v>
      </c>
      <c r="T339">
        <v>0</v>
      </c>
      <c r="U339">
        <v>0</v>
      </c>
      <c r="V339">
        <v>0</v>
      </c>
      <c r="W339">
        <v>1</v>
      </c>
      <c r="X339">
        <v>0</v>
      </c>
      <c r="Y339">
        <v>0</v>
      </c>
      <c r="Z339">
        <v>0</v>
      </c>
    </row>
    <row r="340" spans="1:26" x14ac:dyDescent="0.25">
      <c r="A340">
        <v>7</v>
      </c>
      <c r="B340">
        <v>4</v>
      </c>
      <c r="C340">
        <v>5</v>
      </c>
      <c r="D340">
        <v>1282</v>
      </c>
      <c r="E340">
        <v>7</v>
      </c>
      <c r="F340">
        <v>0</v>
      </c>
      <c r="G340">
        <v>0</v>
      </c>
      <c r="H340">
        <v>1</v>
      </c>
      <c r="I340">
        <v>0</v>
      </c>
      <c r="J340">
        <v>0</v>
      </c>
      <c r="K340">
        <v>1</v>
      </c>
      <c r="L340">
        <v>0</v>
      </c>
      <c r="M340">
        <v>0</v>
      </c>
      <c r="N340">
        <v>0</v>
      </c>
      <c r="O340">
        <v>0</v>
      </c>
      <c r="P340">
        <v>1</v>
      </c>
      <c r="Q340">
        <v>1</v>
      </c>
      <c r="R340">
        <v>0</v>
      </c>
      <c r="S340">
        <v>0</v>
      </c>
      <c r="T340">
        <v>0</v>
      </c>
      <c r="U340">
        <v>0</v>
      </c>
      <c r="V340">
        <v>0</v>
      </c>
      <c r="W340">
        <v>1</v>
      </c>
      <c r="X340">
        <v>0</v>
      </c>
      <c r="Y340">
        <v>0</v>
      </c>
      <c r="Z340">
        <v>0</v>
      </c>
    </row>
    <row r="341" spans="1:26" x14ac:dyDescent="0.25">
      <c r="A341">
        <v>24</v>
      </c>
      <c r="B341">
        <v>3</v>
      </c>
      <c r="C341">
        <v>4</v>
      </c>
      <c r="D341">
        <v>3773</v>
      </c>
      <c r="E341">
        <v>3</v>
      </c>
      <c r="F341">
        <v>0</v>
      </c>
      <c r="G341">
        <v>0</v>
      </c>
      <c r="H341">
        <v>1</v>
      </c>
      <c r="I341">
        <v>0</v>
      </c>
      <c r="J341">
        <v>1</v>
      </c>
      <c r="K341">
        <v>0</v>
      </c>
      <c r="L341">
        <v>0</v>
      </c>
      <c r="M341">
        <v>0</v>
      </c>
      <c r="N341">
        <v>1</v>
      </c>
      <c r="O341">
        <v>0</v>
      </c>
      <c r="P341">
        <v>0</v>
      </c>
      <c r="Q341">
        <v>1</v>
      </c>
      <c r="R341">
        <v>0</v>
      </c>
      <c r="S341">
        <v>0</v>
      </c>
      <c r="T341">
        <v>0</v>
      </c>
      <c r="U341">
        <v>0</v>
      </c>
      <c r="V341">
        <v>1</v>
      </c>
      <c r="W341">
        <v>0</v>
      </c>
      <c r="X341">
        <v>0</v>
      </c>
      <c r="Y341">
        <v>0</v>
      </c>
      <c r="Z341">
        <v>0</v>
      </c>
    </row>
    <row r="342" spans="1:26" x14ac:dyDescent="0.25">
      <c r="A342">
        <v>13</v>
      </c>
      <c r="B342">
        <v>3</v>
      </c>
      <c r="C342">
        <v>4</v>
      </c>
      <c r="D342">
        <v>1467</v>
      </c>
      <c r="E342">
        <v>3</v>
      </c>
      <c r="F342">
        <v>0</v>
      </c>
      <c r="G342">
        <v>0</v>
      </c>
      <c r="H342">
        <v>1</v>
      </c>
      <c r="I342">
        <v>0</v>
      </c>
      <c r="J342">
        <v>1</v>
      </c>
      <c r="K342">
        <v>0</v>
      </c>
      <c r="L342">
        <v>0</v>
      </c>
      <c r="M342">
        <v>1</v>
      </c>
      <c r="N342">
        <v>0</v>
      </c>
      <c r="O342">
        <v>1</v>
      </c>
      <c r="P342">
        <v>0</v>
      </c>
      <c r="Q342">
        <v>0</v>
      </c>
      <c r="R342">
        <v>0</v>
      </c>
      <c r="S342">
        <v>1</v>
      </c>
      <c r="T342">
        <v>0</v>
      </c>
      <c r="U342">
        <v>0</v>
      </c>
      <c r="V342">
        <v>0</v>
      </c>
      <c r="W342">
        <v>0</v>
      </c>
      <c r="X342">
        <v>0</v>
      </c>
      <c r="Y342">
        <v>0</v>
      </c>
      <c r="Z342">
        <v>1</v>
      </c>
    </row>
    <row r="343" spans="1:26" x14ac:dyDescent="0.25">
      <c r="A343">
        <v>7</v>
      </c>
      <c r="B343">
        <v>3</v>
      </c>
      <c r="C343">
        <v>5</v>
      </c>
      <c r="D343">
        <v>2959</v>
      </c>
      <c r="E343">
        <v>5</v>
      </c>
      <c r="F343">
        <v>1</v>
      </c>
      <c r="G343">
        <v>0</v>
      </c>
      <c r="H343">
        <v>0</v>
      </c>
      <c r="I343">
        <v>0</v>
      </c>
      <c r="J343">
        <v>0</v>
      </c>
      <c r="K343">
        <v>1</v>
      </c>
      <c r="L343">
        <v>0</v>
      </c>
      <c r="M343">
        <v>0</v>
      </c>
      <c r="N343">
        <v>0</v>
      </c>
      <c r="O343">
        <v>0</v>
      </c>
      <c r="P343">
        <v>1</v>
      </c>
      <c r="Q343">
        <v>0</v>
      </c>
      <c r="R343">
        <v>0</v>
      </c>
      <c r="S343">
        <v>1</v>
      </c>
      <c r="T343">
        <v>0</v>
      </c>
      <c r="U343">
        <v>0</v>
      </c>
      <c r="V343">
        <v>0</v>
      </c>
      <c r="W343">
        <v>1</v>
      </c>
      <c r="X343">
        <v>0</v>
      </c>
      <c r="Y343">
        <v>0</v>
      </c>
      <c r="Z343">
        <v>0</v>
      </c>
    </row>
    <row r="344" spans="1:26" x14ac:dyDescent="0.25">
      <c r="A344">
        <v>4</v>
      </c>
      <c r="B344">
        <v>3</v>
      </c>
      <c r="C344">
        <v>2</v>
      </c>
      <c r="D344">
        <v>2959</v>
      </c>
      <c r="E344">
        <v>8</v>
      </c>
      <c r="F344">
        <v>1</v>
      </c>
      <c r="G344">
        <v>0</v>
      </c>
      <c r="H344">
        <v>0</v>
      </c>
      <c r="I344">
        <v>0</v>
      </c>
      <c r="J344">
        <v>0</v>
      </c>
      <c r="K344">
        <v>0</v>
      </c>
      <c r="L344">
        <v>1</v>
      </c>
      <c r="M344">
        <v>0</v>
      </c>
      <c r="N344">
        <v>0</v>
      </c>
      <c r="O344">
        <v>0</v>
      </c>
      <c r="P344">
        <v>1</v>
      </c>
      <c r="Q344">
        <v>0</v>
      </c>
      <c r="R344">
        <v>0</v>
      </c>
      <c r="S344">
        <v>1</v>
      </c>
      <c r="T344">
        <v>0</v>
      </c>
      <c r="U344">
        <v>0</v>
      </c>
      <c r="V344">
        <v>0</v>
      </c>
      <c r="W344">
        <v>0</v>
      </c>
      <c r="X344">
        <v>0</v>
      </c>
      <c r="Y344">
        <v>1</v>
      </c>
      <c r="Z344">
        <v>0</v>
      </c>
    </row>
    <row r="345" spans="1:26" x14ac:dyDescent="0.25">
      <c r="A345">
        <v>3</v>
      </c>
      <c r="B345">
        <v>3</v>
      </c>
      <c r="C345">
        <v>2</v>
      </c>
      <c r="D345">
        <v>315</v>
      </c>
      <c r="E345">
        <v>1</v>
      </c>
      <c r="F345">
        <v>1</v>
      </c>
      <c r="G345">
        <v>0</v>
      </c>
      <c r="H345">
        <v>0</v>
      </c>
      <c r="I345">
        <v>0</v>
      </c>
      <c r="J345">
        <v>0</v>
      </c>
      <c r="K345">
        <v>1</v>
      </c>
      <c r="L345">
        <v>0</v>
      </c>
      <c r="M345">
        <v>0</v>
      </c>
      <c r="N345">
        <v>1</v>
      </c>
      <c r="O345">
        <v>0</v>
      </c>
      <c r="P345">
        <v>0</v>
      </c>
      <c r="Q345">
        <v>0</v>
      </c>
      <c r="R345">
        <v>0</v>
      </c>
      <c r="S345">
        <v>1</v>
      </c>
      <c r="T345">
        <v>0</v>
      </c>
      <c r="U345">
        <v>0</v>
      </c>
      <c r="V345">
        <v>1</v>
      </c>
      <c r="W345">
        <v>0</v>
      </c>
      <c r="X345">
        <v>0</v>
      </c>
      <c r="Y345">
        <v>0</v>
      </c>
      <c r="Z345">
        <v>0</v>
      </c>
    </row>
    <row r="346" spans="1:26" x14ac:dyDescent="0.25">
      <c r="A346">
        <v>20</v>
      </c>
      <c r="B346">
        <v>0</v>
      </c>
      <c r="C346">
        <v>5</v>
      </c>
      <c r="D346">
        <v>4027</v>
      </c>
      <c r="E346">
        <v>2</v>
      </c>
      <c r="F346">
        <v>0</v>
      </c>
      <c r="G346">
        <v>0</v>
      </c>
      <c r="H346">
        <v>0</v>
      </c>
      <c r="I346">
        <v>1</v>
      </c>
      <c r="J346">
        <v>0</v>
      </c>
      <c r="K346">
        <v>0</v>
      </c>
      <c r="L346">
        <v>1</v>
      </c>
      <c r="M346">
        <v>0</v>
      </c>
      <c r="N346">
        <v>0</v>
      </c>
      <c r="O346">
        <v>0</v>
      </c>
      <c r="P346">
        <v>1</v>
      </c>
      <c r="Q346">
        <v>1</v>
      </c>
      <c r="R346">
        <v>0</v>
      </c>
      <c r="S346">
        <v>0</v>
      </c>
      <c r="T346">
        <v>1</v>
      </c>
      <c r="U346">
        <v>0</v>
      </c>
      <c r="V346">
        <v>0</v>
      </c>
      <c r="W346">
        <v>0</v>
      </c>
      <c r="X346">
        <v>0</v>
      </c>
      <c r="Y346">
        <v>0</v>
      </c>
      <c r="Z346">
        <v>0</v>
      </c>
    </row>
    <row r="347" spans="1:26" x14ac:dyDescent="0.25">
      <c r="A347">
        <v>6</v>
      </c>
      <c r="B347">
        <v>0</v>
      </c>
      <c r="C347">
        <v>5</v>
      </c>
      <c r="D347">
        <v>732</v>
      </c>
      <c r="E347">
        <v>10</v>
      </c>
      <c r="F347">
        <v>0</v>
      </c>
      <c r="G347">
        <v>0</v>
      </c>
      <c r="H347">
        <v>1</v>
      </c>
      <c r="I347">
        <v>0</v>
      </c>
      <c r="J347">
        <v>0</v>
      </c>
      <c r="K347">
        <v>0</v>
      </c>
      <c r="L347">
        <v>1</v>
      </c>
      <c r="M347">
        <v>0</v>
      </c>
      <c r="N347">
        <v>1</v>
      </c>
      <c r="O347">
        <v>0</v>
      </c>
      <c r="P347">
        <v>0</v>
      </c>
      <c r="Q347">
        <v>0</v>
      </c>
      <c r="R347">
        <v>0</v>
      </c>
      <c r="S347">
        <v>1</v>
      </c>
      <c r="T347">
        <v>0</v>
      </c>
      <c r="U347">
        <v>0</v>
      </c>
      <c r="V347">
        <v>0</v>
      </c>
      <c r="W347">
        <v>0</v>
      </c>
      <c r="X347">
        <v>0</v>
      </c>
      <c r="Y347">
        <v>0</v>
      </c>
      <c r="Z347">
        <v>1</v>
      </c>
    </row>
    <row r="348" spans="1:26" x14ac:dyDescent="0.25">
      <c r="A348">
        <v>3</v>
      </c>
      <c r="B348">
        <v>0</v>
      </c>
      <c r="C348">
        <v>2</v>
      </c>
      <c r="D348">
        <v>3933</v>
      </c>
      <c r="E348">
        <v>3</v>
      </c>
      <c r="F348">
        <v>0</v>
      </c>
      <c r="G348">
        <v>0</v>
      </c>
      <c r="H348">
        <v>1</v>
      </c>
      <c r="I348">
        <v>0</v>
      </c>
      <c r="J348">
        <v>0</v>
      </c>
      <c r="K348">
        <v>1</v>
      </c>
      <c r="L348">
        <v>0</v>
      </c>
      <c r="M348">
        <v>0</v>
      </c>
      <c r="N348">
        <v>0</v>
      </c>
      <c r="O348">
        <v>0</v>
      </c>
      <c r="P348">
        <v>1</v>
      </c>
      <c r="Q348">
        <v>0</v>
      </c>
      <c r="R348">
        <v>1</v>
      </c>
      <c r="S348">
        <v>0</v>
      </c>
      <c r="T348">
        <v>0</v>
      </c>
      <c r="U348">
        <v>0</v>
      </c>
      <c r="V348">
        <v>0</v>
      </c>
      <c r="W348">
        <v>0</v>
      </c>
      <c r="X348">
        <v>0</v>
      </c>
      <c r="Y348">
        <v>1</v>
      </c>
      <c r="Z348">
        <v>0</v>
      </c>
    </row>
    <row r="349" spans="1:26" x14ac:dyDescent="0.25">
      <c r="A349">
        <v>15</v>
      </c>
      <c r="B349">
        <v>14</v>
      </c>
      <c r="C349">
        <v>4</v>
      </c>
      <c r="D349">
        <v>2884</v>
      </c>
      <c r="E349">
        <v>9</v>
      </c>
      <c r="F349">
        <v>0</v>
      </c>
      <c r="G349">
        <v>0</v>
      </c>
      <c r="H349">
        <v>1</v>
      </c>
      <c r="I349">
        <v>0</v>
      </c>
      <c r="J349">
        <v>1</v>
      </c>
      <c r="K349">
        <v>0</v>
      </c>
      <c r="L349">
        <v>0</v>
      </c>
      <c r="M349">
        <v>1</v>
      </c>
      <c r="N349">
        <v>0</v>
      </c>
      <c r="O349">
        <v>1</v>
      </c>
      <c r="P349">
        <v>0</v>
      </c>
      <c r="Q349">
        <v>0</v>
      </c>
      <c r="R349">
        <v>0</v>
      </c>
      <c r="S349">
        <v>1</v>
      </c>
      <c r="T349">
        <v>0</v>
      </c>
      <c r="U349">
        <v>0</v>
      </c>
      <c r="V349">
        <v>0</v>
      </c>
      <c r="W349">
        <v>0</v>
      </c>
      <c r="X349">
        <v>0</v>
      </c>
      <c r="Y349">
        <v>1</v>
      </c>
      <c r="Z349">
        <v>0</v>
      </c>
    </row>
    <row r="350" spans="1:26" x14ac:dyDescent="0.25">
      <c r="A350">
        <v>23</v>
      </c>
      <c r="B350">
        <v>12</v>
      </c>
      <c r="C350">
        <v>5</v>
      </c>
      <c r="D350">
        <v>787</v>
      </c>
      <c r="E350">
        <v>7</v>
      </c>
      <c r="F350">
        <v>0</v>
      </c>
      <c r="G350">
        <v>1</v>
      </c>
      <c r="H350">
        <v>0</v>
      </c>
      <c r="I350">
        <v>0</v>
      </c>
      <c r="J350">
        <v>0</v>
      </c>
      <c r="K350">
        <v>1</v>
      </c>
      <c r="L350">
        <v>0</v>
      </c>
      <c r="M350">
        <v>1</v>
      </c>
      <c r="N350">
        <v>1</v>
      </c>
      <c r="O350">
        <v>0</v>
      </c>
      <c r="P350">
        <v>0</v>
      </c>
      <c r="Q350">
        <v>1</v>
      </c>
      <c r="R350">
        <v>0</v>
      </c>
      <c r="S350">
        <v>0</v>
      </c>
      <c r="T350">
        <v>0</v>
      </c>
      <c r="U350">
        <v>0</v>
      </c>
      <c r="V350">
        <v>1</v>
      </c>
      <c r="W350">
        <v>0</v>
      </c>
      <c r="X350">
        <v>0</v>
      </c>
      <c r="Y350">
        <v>0</v>
      </c>
      <c r="Z350">
        <v>0</v>
      </c>
    </row>
    <row r="351" spans="1:26" x14ac:dyDescent="0.25">
      <c r="A351">
        <v>20</v>
      </c>
      <c r="B351">
        <v>12</v>
      </c>
      <c r="C351">
        <v>5</v>
      </c>
      <c r="D351">
        <v>732</v>
      </c>
      <c r="E351">
        <v>1</v>
      </c>
      <c r="F351">
        <v>0</v>
      </c>
      <c r="G351">
        <v>1</v>
      </c>
      <c r="H351">
        <v>0</v>
      </c>
      <c r="I351">
        <v>0</v>
      </c>
      <c r="J351">
        <v>0</v>
      </c>
      <c r="K351">
        <v>1</v>
      </c>
      <c r="L351">
        <v>0</v>
      </c>
      <c r="M351">
        <v>0</v>
      </c>
      <c r="N351">
        <v>1</v>
      </c>
      <c r="O351">
        <v>0</v>
      </c>
      <c r="P351">
        <v>0</v>
      </c>
      <c r="Q351">
        <v>1</v>
      </c>
      <c r="R351">
        <v>0</v>
      </c>
      <c r="S351">
        <v>0</v>
      </c>
      <c r="T351">
        <v>0</v>
      </c>
      <c r="U351">
        <v>0</v>
      </c>
      <c r="V351">
        <v>0</v>
      </c>
      <c r="W351">
        <v>0</v>
      </c>
      <c r="X351">
        <v>0</v>
      </c>
      <c r="Y351">
        <v>0</v>
      </c>
      <c r="Z351">
        <v>1</v>
      </c>
    </row>
    <row r="352" spans="1:26" x14ac:dyDescent="0.25">
      <c r="A352">
        <v>34</v>
      </c>
      <c r="B352">
        <v>10</v>
      </c>
      <c r="C352">
        <v>4</v>
      </c>
      <c r="D352">
        <v>2034</v>
      </c>
      <c r="E352">
        <v>4</v>
      </c>
      <c r="F352">
        <v>0</v>
      </c>
      <c r="G352">
        <v>0</v>
      </c>
      <c r="H352">
        <v>0</v>
      </c>
      <c r="I352">
        <v>1</v>
      </c>
      <c r="J352">
        <v>1</v>
      </c>
      <c r="K352">
        <v>0</v>
      </c>
      <c r="L352">
        <v>0</v>
      </c>
      <c r="M352">
        <v>0</v>
      </c>
      <c r="N352">
        <v>0</v>
      </c>
      <c r="O352">
        <v>0</v>
      </c>
      <c r="P352">
        <v>1</v>
      </c>
      <c r="Q352">
        <v>0</v>
      </c>
      <c r="R352">
        <v>1</v>
      </c>
      <c r="S352">
        <v>0</v>
      </c>
      <c r="T352">
        <v>0</v>
      </c>
      <c r="U352">
        <v>0</v>
      </c>
      <c r="V352">
        <v>0</v>
      </c>
      <c r="W352">
        <v>0</v>
      </c>
      <c r="X352">
        <v>1</v>
      </c>
      <c r="Y352">
        <v>0</v>
      </c>
      <c r="Z352">
        <v>0</v>
      </c>
    </row>
    <row r="353" spans="1:26" x14ac:dyDescent="0.25">
      <c r="A353">
        <v>56</v>
      </c>
      <c r="B353">
        <v>8</v>
      </c>
      <c r="C353">
        <v>3</v>
      </c>
      <c r="D353">
        <v>3981</v>
      </c>
      <c r="E353">
        <v>1</v>
      </c>
      <c r="F353">
        <v>0</v>
      </c>
      <c r="G353">
        <v>0</v>
      </c>
      <c r="H353">
        <v>1</v>
      </c>
      <c r="I353">
        <v>0</v>
      </c>
      <c r="J353">
        <v>1</v>
      </c>
      <c r="K353">
        <v>0</v>
      </c>
      <c r="L353">
        <v>0</v>
      </c>
      <c r="M353">
        <v>0</v>
      </c>
      <c r="N353">
        <v>1</v>
      </c>
      <c r="O353">
        <v>0</v>
      </c>
      <c r="P353">
        <v>0</v>
      </c>
      <c r="Q353">
        <v>0</v>
      </c>
      <c r="R353">
        <v>0</v>
      </c>
      <c r="S353">
        <v>1</v>
      </c>
      <c r="T353">
        <v>0</v>
      </c>
      <c r="U353">
        <v>0</v>
      </c>
      <c r="V353">
        <v>0</v>
      </c>
      <c r="W353">
        <v>0</v>
      </c>
      <c r="X353">
        <v>0</v>
      </c>
      <c r="Y353">
        <v>1</v>
      </c>
      <c r="Z353">
        <v>0</v>
      </c>
    </row>
    <row r="354" spans="1:26" x14ac:dyDescent="0.25">
      <c r="A354">
        <v>10</v>
      </c>
      <c r="B354">
        <v>7</v>
      </c>
      <c r="C354">
        <v>5</v>
      </c>
      <c r="D354">
        <v>3348</v>
      </c>
      <c r="E354">
        <v>3</v>
      </c>
      <c r="F354">
        <v>0</v>
      </c>
      <c r="G354">
        <v>0</v>
      </c>
      <c r="H354">
        <v>0</v>
      </c>
      <c r="I354">
        <v>1</v>
      </c>
      <c r="J354">
        <v>0</v>
      </c>
      <c r="K354">
        <v>0</v>
      </c>
      <c r="L354">
        <v>1</v>
      </c>
      <c r="M354">
        <v>0</v>
      </c>
      <c r="N354">
        <v>0</v>
      </c>
      <c r="O354">
        <v>0</v>
      </c>
      <c r="P354">
        <v>1</v>
      </c>
      <c r="Q354">
        <v>0</v>
      </c>
      <c r="R354">
        <v>0</v>
      </c>
      <c r="S354">
        <v>1</v>
      </c>
      <c r="T354">
        <v>0</v>
      </c>
      <c r="U354">
        <v>0</v>
      </c>
      <c r="V354">
        <v>0</v>
      </c>
      <c r="W354">
        <v>0</v>
      </c>
      <c r="X354">
        <v>0</v>
      </c>
      <c r="Y354">
        <v>1</v>
      </c>
      <c r="Z354">
        <v>0</v>
      </c>
    </row>
    <row r="355" spans="1:26" x14ac:dyDescent="0.25">
      <c r="A355">
        <v>9</v>
      </c>
      <c r="B355">
        <v>7</v>
      </c>
      <c r="C355">
        <v>5</v>
      </c>
      <c r="D355">
        <v>2959</v>
      </c>
      <c r="E355">
        <v>5</v>
      </c>
      <c r="F355">
        <v>0</v>
      </c>
      <c r="G355">
        <v>0</v>
      </c>
      <c r="H355">
        <v>0</v>
      </c>
      <c r="I355">
        <v>1</v>
      </c>
      <c r="J355">
        <v>1</v>
      </c>
      <c r="K355">
        <v>0</v>
      </c>
      <c r="L355">
        <v>0</v>
      </c>
      <c r="M355">
        <v>0</v>
      </c>
      <c r="N355">
        <v>0</v>
      </c>
      <c r="O355">
        <v>0</v>
      </c>
      <c r="P355">
        <v>1</v>
      </c>
      <c r="Q355">
        <v>1</v>
      </c>
      <c r="R355">
        <v>0</v>
      </c>
      <c r="S355">
        <v>0</v>
      </c>
      <c r="T355">
        <v>0</v>
      </c>
      <c r="U355">
        <v>0</v>
      </c>
      <c r="V355">
        <v>0</v>
      </c>
      <c r="W355">
        <v>0</v>
      </c>
      <c r="X355">
        <v>0</v>
      </c>
      <c r="Y355">
        <v>0</v>
      </c>
      <c r="Z355">
        <v>1</v>
      </c>
    </row>
    <row r="356" spans="1:26" x14ac:dyDescent="0.25">
      <c r="A356">
        <v>11</v>
      </c>
      <c r="B356">
        <v>6</v>
      </c>
      <c r="C356">
        <v>5</v>
      </c>
      <c r="D356">
        <v>1228</v>
      </c>
      <c r="E356">
        <v>1</v>
      </c>
      <c r="F356">
        <v>0</v>
      </c>
      <c r="G356">
        <v>1</v>
      </c>
      <c r="H356">
        <v>0</v>
      </c>
      <c r="I356">
        <v>0</v>
      </c>
      <c r="J356">
        <v>1</v>
      </c>
      <c r="K356">
        <v>0</v>
      </c>
      <c r="L356">
        <v>0</v>
      </c>
      <c r="M356">
        <v>0</v>
      </c>
      <c r="N356">
        <v>1</v>
      </c>
      <c r="O356">
        <v>0</v>
      </c>
      <c r="P356">
        <v>0</v>
      </c>
      <c r="Q356">
        <v>0</v>
      </c>
      <c r="R356">
        <v>0</v>
      </c>
      <c r="S356">
        <v>1</v>
      </c>
      <c r="T356">
        <v>0</v>
      </c>
      <c r="U356">
        <v>1</v>
      </c>
      <c r="V356">
        <v>0</v>
      </c>
      <c r="W356">
        <v>0</v>
      </c>
      <c r="X356">
        <v>0</v>
      </c>
      <c r="Y356">
        <v>0</v>
      </c>
      <c r="Z356">
        <v>0</v>
      </c>
    </row>
    <row r="357" spans="1:26" x14ac:dyDescent="0.25">
      <c r="A357">
        <v>6</v>
      </c>
      <c r="B357">
        <v>6</v>
      </c>
      <c r="C357">
        <v>5</v>
      </c>
      <c r="D357">
        <v>2959</v>
      </c>
      <c r="E357">
        <v>7</v>
      </c>
      <c r="F357">
        <v>0</v>
      </c>
      <c r="G357">
        <v>0</v>
      </c>
      <c r="H357">
        <v>0</v>
      </c>
      <c r="I357">
        <v>1</v>
      </c>
      <c r="J357">
        <v>0</v>
      </c>
      <c r="K357">
        <v>0</v>
      </c>
      <c r="L357">
        <v>1</v>
      </c>
      <c r="M357">
        <v>0</v>
      </c>
      <c r="N357">
        <v>0</v>
      </c>
      <c r="O357">
        <v>0</v>
      </c>
      <c r="P357">
        <v>1</v>
      </c>
      <c r="Q357">
        <v>0</v>
      </c>
      <c r="R357">
        <v>1</v>
      </c>
      <c r="S357">
        <v>0</v>
      </c>
      <c r="T357">
        <v>0</v>
      </c>
      <c r="U357">
        <v>0</v>
      </c>
      <c r="V357">
        <v>0</v>
      </c>
      <c r="W357">
        <v>0</v>
      </c>
      <c r="X357">
        <v>0</v>
      </c>
      <c r="Y357">
        <v>1</v>
      </c>
      <c r="Z357">
        <v>0</v>
      </c>
    </row>
    <row r="358" spans="1:26" x14ac:dyDescent="0.25">
      <c r="A358">
        <v>7</v>
      </c>
      <c r="B358">
        <v>5</v>
      </c>
      <c r="C358">
        <v>4</v>
      </c>
      <c r="D358">
        <v>3003</v>
      </c>
      <c r="E358">
        <v>9</v>
      </c>
      <c r="F358">
        <v>0</v>
      </c>
      <c r="G358">
        <v>1</v>
      </c>
      <c r="H358">
        <v>0</v>
      </c>
      <c r="I358">
        <v>0</v>
      </c>
      <c r="J358">
        <v>0</v>
      </c>
      <c r="K358">
        <v>0</v>
      </c>
      <c r="L358">
        <v>1</v>
      </c>
      <c r="M358">
        <v>0</v>
      </c>
      <c r="N358">
        <v>0</v>
      </c>
      <c r="O358">
        <v>1</v>
      </c>
      <c r="P358">
        <v>0</v>
      </c>
      <c r="Q358">
        <v>0</v>
      </c>
      <c r="R358">
        <v>1</v>
      </c>
      <c r="S358">
        <v>0</v>
      </c>
      <c r="T358">
        <v>0</v>
      </c>
      <c r="U358">
        <v>0</v>
      </c>
      <c r="V358">
        <v>0</v>
      </c>
      <c r="W358">
        <v>0</v>
      </c>
      <c r="X358">
        <v>0</v>
      </c>
      <c r="Y358">
        <v>1</v>
      </c>
      <c r="Z358">
        <v>0</v>
      </c>
    </row>
    <row r="359" spans="1:26" x14ac:dyDescent="0.25">
      <c r="A359">
        <v>16</v>
      </c>
      <c r="B359">
        <v>4</v>
      </c>
      <c r="C359">
        <v>5</v>
      </c>
      <c r="D359">
        <v>787</v>
      </c>
      <c r="E359">
        <v>4</v>
      </c>
      <c r="F359">
        <v>0</v>
      </c>
      <c r="G359">
        <v>0</v>
      </c>
      <c r="H359">
        <v>1</v>
      </c>
      <c r="I359">
        <v>0</v>
      </c>
      <c r="J359">
        <v>0</v>
      </c>
      <c r="K359">
        <v>0</v>
      </c>
      <c r="L359">
        <v>1</v>
      </c>
      <c r="M359">
        <v>1</v>
      </c>
      <c r="N359">
        <v>1</v>
      </c>
      <c r="O359">
        <v>0</v>
      </c>
      <c r="P359">
        <v>0</v>
      </c>
      <c r="Q359">
        <v>0</v>
      </c>
      <c r="R359">
        <v>0</v>
      </c>
      <c r="S359">
        <v>1</v>
      </c>
      <c r="T359">
        <v>0</v>
      </c>
      <c r="U359">
        <v>0</v>
      </c>
      <c r="V359">
        <v>1</v>
      </c>
      <c r="W359">
        <v>0</v>
      </c>
      <c r="X359">
        <v>0</v>
      </c>
      <c r="Y359">
        <v>0</v>
      </c>
      <c r="Z359">
        <v>0</v>
      </c>
    </row>
    <row r="360" spans="1:26" x14ac:dyDescent="0.25">
      <c r="A360">
        <v>14</v>
      </c>
      <c r="B360">
        <v>3</v>
      </c>
      <c r="C360">
        <v>4</v>
      </c>
      <c r="D360">
        <v>2916</v>
      </c>
      <c r="E360">
        <v>7</v>
      </c>
      <c r="F360">
        <v>1</v>
      </c>
      <c r="G360">
        <v>0</v>
      </c>
      <c r="H360">
        <v>0</v>
      </c>
      <c r="I360">
        <v>0</v>
      </c>
      <c r="J360">
        <v>0</v>
      </c>
      <c r="K360">
        <v>0</v>
      </c>
      <c r="L360">
        <v>1</v>
      </c>
      <c r="M360">
        <v>0</v>
      </c>
      <c r="N360">
        <v>0</v>
      </c>
      <c r="O360">
        <v>1</v>
      </c>
      <c r="P360">
        <v>0</v>
      </c>
      <c r="Q360">
        <v>0</v>
      </c>
      <c r="R360">
        <v>0</v>
      </c>
      <c r="S360">
        <v>1</v>
      </c>
      <c r="T360">
        <v>0</v>
      </c>
      <c r="U360">
        <v>0</v>
      </c>
      <c r="V360">
        <v>1</v>
      </c>
      <c r="W360">
        <v>0</v>
      </c>
      <c r="X360">
        <v>0</v>
      </c>
      <c r="Y360">
        <v>0</v>
      </c>
      <c r="Z360">
        <v>0</v>
      </c>
    </row>
    <row r="361" spans="1:26" x14ac:dyDescent="0.25">
      <c r="A361">
        <v>12</v>
      </c>
      <c r="B361">
        <v>3</v>
      </c>
      <c r="C361">
        <v>4</v>
      </c>
      <c r="D361">
        <v>2884</v>
      </c>
      <c r="E361">
        <v>4</v>
      </c>
      <c r="F361">
        <v>1</v>
      </c>
      <c r="G361">
        <v>0</v>
      </c>
      <c r="H361">
        <v>0</v>
      </c>
      <c r="I361">
        <v>0</v>
      </c>
      <c r="J361">
        <v>1</v>
      </c>
      <c r="K361">
        <v>0</v>
      </c>
      <c r="L361">
        <v>0</v>
      </c>
      <c r="M361">
        <v>1</v>
      </c>
      <c r="N361">
        <v>0</v>
      </c>
      <c r="O361">
        <v>1</v>
      </c>
      <c r="P361">
        <v>0</v>
      </c>
      <c r="Q361">
        <v>0</v>
      </c>
      <c r="R361">
        <v>0</v>
      </c>
      <c r="S361">
        <v>1</v>
      </c>
      <c r="T361">
        <v>0</v>
      </c>
      <c r="U361">
        <v>0</v>
      </c>
      <c r="V361">
        <v>1</v>
      </c>
      <c r="W361">
        <v>0</v>
      </c>
      <c r="X361">
        <v>0</v>
      </c>
      <c r="Y361">
        <v>0</v>
      </c>
      <c r="Z361">
        <v>0</v>
      </c>
    </row>
    <row r="362" spans="1:26" x14ac:dyDescent="0.25">
      <c r="A362">
        <v>10</v>
      </c>
      <c r="B362">
        <v>3</v>
      </c>
      <c r="C362">
        <v>5</v>
      </c>
      <c r="D362">
        <v>3025</v>
      </c>
      <c r="E362">
        <v>6</v>
      </c>
      <c r="F362">
        <v>0</v>
      </c>
      <c r="G362">
        <v>0</v>
      </c>
      <c r="H362">
        <v>1</v>
      </c>
      <c r="I362">
        <v>0</v>
      </c>
      <c r="J362">
        <v>0</v>
      </c>
      <c r="K362">
        <v>1</v>
      </c>
      <c r="L362">
        <v>0</v>
      </c>
      <c r="M362">
        <v>0</v>
      </c>
      <c r="N362">
        <v>0</v>
      </c>
      <c r="O362">
        <v>0</v>
      </c>
      <c r="P362">
        <v>1</v>
      </c>
      <c r="Q362">
        <v>0</v>
      </c>
      <c r="R362">
        <v>0</v>
      </c>
      <c r="S362">
        <v>1</v>
      </c>
      <c r="T362">
        <v>0</v>
      </c>
      <c r="U362">
        <v>0</v>
      </c>
      <c r="V362">
        <v>0</v>
      </c>
      <c r="W362">
        <v>0</v>
      </c>
      <c r="X362">
        <v>0</v>
      </c>
      <c r="Y362">
        <v>0</v>
      </c>
      <c r="Z362">
        <v>1</v>
      </c>
    </row>
    <row r="363" spans="1:26" x14ac:dyDescent="0.25">
      <c r="A363">
        <v>7</v>
      </c>
      <c r="B363">
        <v>3</v>
      </c>
      <c r="C363">
        <v>4</v>
      </c>
      <c r="D363">
        <v>716</v>
      </c>
      <c r="E363">
        <v>3</v>
      </c>
      <c r="F363">
        <v>0</v>
      </c>
      <c r="G363">
        <v>1</v>
      </c>
      <c r="H363">
        <v>0</v>
      </c>
      <c r="I363">
        <v>0</v>
      </c>
      <c r="J363">
        <v>1</v>
      </c>
      <c r="K363">
        <v>0</v>
      </c>
      <c r="L363">
        <v>0</v>
      </c>
      <c r="M363">
        <v>1</v>
      </c>
      <c r="N363">
        <v>1</v>
      </c>
      <c r="O363">
        <v>0</v>
      </c>
      <c r="P363">
        <v>0</v>
      </c>
      <c r="Q363">
        <v>0</v>
      </c>
      <c r="R363">
        <v>0</v>
      </c>
      <c r="S363">
        <v>1</v>
      </c>
      <c r="T363">
        <v>1</v>
      </c>
      <c r="U363">
        <v>0</v>
      </c>
      <c r="V363">
        <v>0</v>
      </c>
      <c r="W363">
        <v>0</v>
      </c>
      <c r="X363">
        <v>0</v>
      </c>
      <c r="Y363">
        <v>0</v>
      </c>
      <c r="Z363">
        <v>0</v>
      </c>
    </row>
    <row r="364" spans="1:26" x14ac:dyDescent="0.25">
      <c r="A364">
        <v>6</v>
      </c>
      <c r="B364">
        <v>3</v>
      </c>
      <c r="C364">
        <v>4</v>
      </c>
      <c r="D364">
        <v>3981</v>
      </c>
      <c r="E364">
        <v>1</v>
      </c>
      <c r="F364">
        <v>0</v>
      </c>
      <c r="G364">
        <v>1</v>
      </c>
      <c r="H364">
        <v>0</v>
      </c>
      <c r="I364">
        <v>0</v>
      </c>
      <c r="J364">
        <v>1</v>
      </c>
      <c r="K364">
        <v>0</v>
      </c>
      <c r="L364">
        <v>0</v>
      </c>
      <c r="M364">
        <v>0</v>
      </c>
      <c r="N364">
        <v>1</v>
      </c>
      <c r="O364">
        <v>0</v>
      </c>
      <c r="P364">
        <v>0</v>
      </c>
      <c r="Q364">
        <v>1</v>
      </c>
      <c r="R364">
        <v>0</v>
      </c>
      <c r="S364">
        <v>0</v>
      </c>
      <c r="T364">
        <v>0</v>
      </c>
      <c r="U364">
        <v>0</v>
      </c>
      <c r="V364">
        <v>0</v>
      </c>
      <c r="W364">
        <v>0</v>
      </c>
      <c r="X364">
        <v>1</v>
      </c>
      <c r="Y364">
        <v>0</v>
      </c>
      <c r="Z364">
        <v>0</v>
      </c>
    </row>
    <row r="365" spans="1:26" x14ac:dyDescent="0.25">
      <c r="A365">
        <v>21</v>
      </c>
      <c r="B365">
        <v>18</v>
      </c>
      <c r="C365">
        <v>2</v>
      </c>
      <c r="D365">
        <v>3003</v>
      </c>
      <c r="E365">
        <v>0</v>
      </c>
      <c r="F365">
        <v>1</v>
      </c>
      <c r="G365">
        <v>0</v>
      </c>
      <c r="H365">
        <v>0</v>
      </c>
      <c r="I365">
        <v>0</v>
      </c>
      <c r="J365">
        <v>1</v>
      </c>
      <c r="K365">
        <v>0</v>
      </c>
      <c r="L365">
        <v>0</v>
      </c>
      <c r="M365">
        <v>0</v>
      </c>
      <c r="N365">
        <v>0</v>
      </c>
      <c r="O365">
        <v>1</v>
      </c>
      <c r="P365">
        <v>0</v>
      </c>
      <c r="Q365">
        <v>0</v>
      </c>
      <c r="R365">
        <v>1</v>
      </c>
      <c r="S365">
        <v>0</v>
      </c>
      <c r="T365">
        <v>0</v>
      </c>
      <c r="U365">
        <v>0</v>
      </c>
      <c r="V365">
        <v>0</v>
      </c>
      <c r="W365">
        <v>1</v>
      </c>
      <c r="X365">
        <v>0</v>
      </c>
      <c r="Y365">
        <v>0</v>
      </c>
      <c r="Z365">
        <v>0</v>
      </c>
    </row>
    <row r="366" spans="1:26" x14ac:dyDescent="0.25">
      <c r="A366">
        <v>12</v>
      </c>
      <c r="B366">
        <v>12</v>
      </c>
      <c r="C366">
        <v>3</v>
      </c>
      <c r="D366">
        <v>716</v>
      </c>
      <c r="E366">
        <v>4</v>
      </c>
      <c r="F366">
        <v>1</v>
      </c>
      <c r="G366">
        <v>0</v>
      </c>
      <c r="H366">
        <v>0</v>
      </c>
      <c r="I366">
        <v>0</v>
      </c>
      <c r="J366">
        <v>1</v>
      </c>
      <c r="K366">
        <v>0</v>
      </c>
      <c r="L366">
        <v>0</v>
      </c>
      <c r="M366">
        <v>1</v>
      </c>
      <c r="N366">
        <v>1</v>
      </c>
      <c r="O366">
        <v>0</v>
      </c>
      <c r="P366">
        <v>0</v>
      </c>
      <c r="Q366">
        <v>0</v>
      </c>
      <c r="R366">
        <v>1</v>
      </c>
      <c r="S366">
        <v>0</v>
      </c>
      <c r="T366">
        <v>1</v>
      </c>
      <c r="U366">
        <v>0</v>
      </c>
      <c r="V366">
        <v>0</v>
      </c>
      <c r="W366">
        <v>0</v>
      </c>
      <c r="X366">
        <v>0</v>
      </c>
      <c r="Y366">
        <v>0</v>
      </c>
      <c r="Z366">
        <v>0</v>
      </c>
    </row>
    <row r="367" spans="1:26" x14ac:dyDescent="0.25">
      <c r="A367">
        <v>11</v>
      </c>
      <c r="B367">
        <v>10</v>
      </c>
      <c r="C367">
        <v>5</v>
      </c>
      <c r="D367">
        <v>2034</v>
      </c>
      <c r="E367">
        <v>7</v>
      </c>
      <c r="F367">
        <v>1</v>
      </c>
      <c r="G367">
        <v>0</v>
      </c>
      <c r="H367">
        <v>0</v>
      </c>
      <c r="I367">
        <v>0</v>
      </c>
      <c r="J367">
        <v>1</v>
      </c>
      <c r="K367">
        <v>0</v>
      </c>
      <c r="L367">
        <v>0</v>
      </c>
      <c r="M367">
        <v>0</v>
      </c>
      <c r="N367">
        <v>0</v>
      </c>
      <c r="O367">
        <v>0</v>
      </c>
      <c r="P367">
        <v>1</v>
      </c>
      <c r="Q367">
        <v>0</v>
      </c>
      <c r="R367">
        <v>0</v>
      </c>
      <c r="S367">
        <v>1</v>
      </c>
      <c r="T367">
        <v>0</v>
      </c>
      <c r="U367">
        <v>0</v>
      </c>
      <c r="V367">
        <v>0</v>
      </c>
      <c r="W367">
        <v>0</v>
      </c>
      <c r="X367">
        <v>0</v>
      </c>
      <c r="Y367">
        <v>1</v>
      </c>
      <c r="Z367">
        <v>0</v>
      </c>
    </row>
    <row r="368" spans="1:26" x14ac:dyDescent="0.25">
      <c r="A368">
        <v>11</v>
      </c>
      <c r="B368">
        <v>9</v>
      </c>
      <c r="C368">
        <v>3</v>
      </c>
      <c r="D368">
        <v>2884</v>
      </c>
      <c r="E368">
        <v>0</v>
      </c>
      <c r="F368">
        <v>0</v>
      </c>
      <c r="G368">
        <v>0</v>
      </c>
      <c r="H368">
        <v>0</v>
      </c>
      <c r="I368">
        <v>1</v>
      </c>
      <c r="J368">
        <v>0</v>
      </c>
      <c r="K368">
        <v>0</v>
      </c>
      <c r="L368">
        <v>1</v>
      </c>
      <c r="M368">
        <v>1</v>
      </c>
      <c r="N368">
        <v>0</v>
      </c>
      <c r="O368">
        <v>1</v>
      </c>
      <c r="P368">
        <v>0</v>
      </c>
      <c r="Q368">
        <v>0</v>
      </c>
      <c r="R368">
        <v>1</v>
      </c>
      <c r="S368">
        <v>0</v>
      </c>
      <c r="T368">
        <v>1</v>
      </c>
      <c r="U368">
        <v>0</v>
      </c>
      <c r="V368">
        <v>0</v>
      </c>
      <c r="W368">
        <v>0</v>
      </c>
      <c r="X368">
        <v>0</v>
      </c>
      <c r="Y368">
        <v>0</v>
      </c>
      <c r="Z368">
        <v>0</v>
      </c>
    </row>
    <row r="369" spans="1:26" x14ac:dyDescent="0.25">
      <c r="A369">
        <v>9</v>
      </c>
      <c r="B369">
        <v>9</v>
      </c>
      <c r="C369">
        <v>2</v>
      </c>
      <c r="D369">
        <v>188</v>
      </c>
      <c r="E369">
        <v>1</v>
      </c>
      <c r="F369">
        <v>0</v>
      </c>
      <c r="G369">
        <v>0</v>
      </c>
      <c r="H369">
        <v>1</v>
      </c>
      <c r="I369">
        <v>0</v>
      </c>
      <c r="J369">
        <v>1</v>
      </c>
      <c r="K369">
        <v>0</v>
      </c>
      <c r="L369">
        <v>0</v>
      </c>
      <c r="M369">
        <v>0</v>
      </c>
      <c r="N369">
        <v>0</v>
      </c>
      <c r="O369">
        <v>1</v>
      </c>
      <c r="P369">
        <v>0</v>
      </c>
      <c r="Q369">
        <v>0</v>
      </c>
      <c r="R369">
        <v>0</v>
      </c>
      <c r="S369">
        <v>1</v>
      </c>
      <c r="T369">
        <v>0</v>
      </c>
      <c r="U369">
        <v>0</v>
      </c>
      <c r="V369">
        <v>0</v>
      </c>
      <c r="W369">
        <v>0</v>
      </c>
      <c r="X369">
        <v>0</v>
      </c>
      <c r="Y369">
        <v>0</v>
      </c>
      <c r="Z369">
        <v>1</v>
      </c>
    </row>
    <row r="370" spans="1:26" x14ac:dyDescent="0.25">
      <c r="A370">
        <v>24</v>
      </c>
      <c r="B370">
        <v>7</v>
      </c>
      <c r="C370">
        <v>4</v>
      </c>
      <c r="D370">
        <v>2916</v>
      </c>
      <c r="E370">
        <v>1</v>
      </c>
      <c r="F370">
        <v>1</v>
      </c>
      <c r="G370">
        <v>0</v>
      </c>
      <c r="H370">
        <v>0</v>
      </c>
      <c r="I370">
        <v>0</v>
      </c>
      <c r="J370">
        <v>1</v>
      </c>
      <c r="K370">
        <v>0</v>
      </c>
      <c r="L370">
        <v>0</v>
      </c>
      <c r="M370">
        <v>0</v>
      </c>
      <c r="N370">
        <v>0</v>
      </c>
      <c r="O370">
        <v>1</v>
      </c>
      <c r="P370">
        <v>0</v>
      </c>
      <c r="Q370">
        <v>0</v>
      </c>
      <c r="R370">
        <v>0</v>
      </c>
      <c r="S370">
        <v>1</v>
      </c>
      <c r="T370">
        <v>0</v>
      </c>
      <c r="U370">
        <v>0</v>
      </c>
      <c r="V370">
        <v>0</v>
      </c>
      <c r="W370">
        <v>0</v>
      </c>
      <c r="X370">
        <v>1</v>
      </c>
      <c r="Y370">
        <v>0</v>
      </c>
      <c r="Z370">
        <v>0</v>
      </c>
    </row>
    <row r="371" spans="1:26" x14ac:dyDescent="0.25">
      <c r="A371">
        <v>16</v>
      </c>
      <c r="B371">
        <v>7</v>
      </c>
      <c r="C371">
        <v>4</v>
      </c>
      <c r="D371">
        <v>1282</v>
      </c>
      <c r="E371">
        <v>7</v>
      </c>
      <c r="F371">
        <v>0</v>
      </c>
      <c r="G371">
        <v>0</v>
      </c>
      <c r="H371">
        <v>1</v>
      </c>
      <c r="I371">
        <v>0</v>
      </c>
      <c r="J371">
        <v>0</v>
      </c>
      <c r="K371">
        <v>0</v>
      </c>
      <c r="L371">
        <v>1</v>
      </c>
      <c r="M371">
        <v>0</v>
      </c>
      <c r="N371">
        <v>0</v>
      </c>
      <c r="O371">
        <v>0</v>
      </c>
      <c r="P371">
        <v>1</v>
      </c>
      <c r="Q371">
        <v>1</v>
      </c>
      <c r="R371">
        <v>0</v>
      </c>
      <c r="S371">
        <v>0</v>
      </c>
      <c r="T371">
        <v>0</v>
      </c>
      <c r="U371">
        <v>1</v>
      </c>
      <c r="V371">
        <v>0</v>
      </c>
      <c r="W371">
        <v>0</v>
      </c>
      <c r="X371">
        <v>0</v>
      </c>
      <c r="Y371">
        <v>0</v>
      </c>
      <c r="Z371">
        <v>0</v>
      </c>
    </row>
    <row r="372" spans="1:26" x14ac:dyDescent="0.25">
      <c r="A372">
        <v>14</v>
      </c>
      <c r="B372">
        <v>7</v>
      </c>
      <c r="C372">
        <v>5</v>
      </c>
      <c r="D372">
        <v>2916</v>
      </c>
      <c r="E372">
        <v>2</v>
      </c>
      <c r="F372">
        <v>0</v>
      </c>
      <c r="G372">
        <v>0</v>
      </c>
      <c r="H372">
        <v>1</v>
      </c>
      <c r="I372">
        <v>0</v>
      </c>
      <c r="J372">
        <v>0</v>
      </c>
      <c r="K372">
        <v>0</v>
      </c>
      <c r="L372">
        <v>1</v>
      </c>
      <c r="M372">
        <v>0</v>
      </c>
      <c r="N372">
        <v>0</v>
      </c>
      <c r="O372">
        <v>1</v>
      </c>
      <c r="P372">
        <v>0</v>
      </c>
      <c r="Q372">
        <v>0</v>
      </c>
      <c r="R372">
        <v>0</v>
      </c>
      <c r="S372">
        <v>1</v>
      </c>
      <c r="T372">
        <v>1</v>
      </c>
      <c r="U372">
        <v>0</v>
      </c>
      <c r="V372">
        <v>0</v>
      </c>
      <c r="W372">
        <v>0</v>
      </c>
      <c r="X372">
        <v>0</v>
      </c>
      <c r="Y372">
        <v>0</v>
      </c>
      <c r="Z372">
        <v>0</v>
      </c>
    </row>
    <row r="373" spans="1:26" x14ac:dyDescent="0.25">
      <c r="A373">
        <v>22</v>
      </c>
      <c r="B373">
        <v>6</v>
      </c>
      <c r="C373">
        <v>5</v>
      </c>
      <c r="D373">
        <v>1467</v>
      </c>
      <c r="E373">
        <v>1</v>
      </c>
      <c r="F373">
        <v>0</v>
      </c>
      <c r="G373">
        <v>0</v>
      </c>
      <c r="H373">
        <v>0</v>
      </c>
      <c r="I373">
        <v>1</v>
      </c>
      <c r="J373">
        <v>1</v>
      </c>
      <c r="K373">
        <v>0</v>
      </c>
      <c r="L373">
        <v>0</v>
      </c>
      <c r="M373">
        <v>1</v>
      </c>
      <c r="N373">
        <v>0</v>
      </c>
      <c r="O373">
        <v>1</v>
      </c>
      <c r="P373">
        <v>0</v>
      </c>
      <c r="Q373">
        <v>0</v>
      </c>
      <c r="R373">
        <v>1</v>
      </c>
      <c r="S373">
        <v>0</v>
      </c>
      <c r="T373">
        <v>0</v>
      </c>
      <c r="U373">
        <v>0</v>
      </c>
      <c r="V373">
        <v>0</v>
      </c>
      <c r="W373">
        <v>0</v>
      </c>
      <c r="X373">
        <v>0</v>
      </c>
      <c r="Y373">
        <v>1</v>
      </c>
      <c r="Z373">
        <v>0</v>
      </c>
    </row>
    <row r="374" spans="1:26" x14ac:dyDescent="0.25">
      <c r="A374">
        <v>7</v>
      </c>
      <c r="B374">
        <v>5</v>
      </c>
      <c r="C374">
        <v>5</v>
      </c>
      <c r="D374">
        <v>4027</v>
      </c>
      <c r="E374">
        <v>1</v>
      </c>
      <c r="F374">
        <v>0</v>
      </c>
      <c r="G374">
        <v>1</v>
      </c>
      <c r="H374">
        <v>0</v>
      </c>
      <c r="I374">
        <v>0</v>
      </c>
      <c r="J374">
        <v>0</v>
      </c>
      <c r="K374">
        <v>0</v>
      </c>
      <c r="L374">
        <v>1</v>
      </c>
      <c r="M374">
        <v>0</v>
      </c>
      <c r="N374">
        <v>0</v>
      </c>
      <c r="O374">
        <v>0</v>
      </c>
      <c r="P374">
        <v>1</v>
      </c>
      <c r="Q374">
        <v>0</v>
      </c>
      <c r="R374">
        <v>0</v>
      </c>
      <c r="S374">
        <v>1</v>
      </c>
      <c r="T374">
        <v>0</v>
      </c>
      <c r="U374">
        <v>1</v>
      </c>
      <c r="V374">
        <v>0</v>
      </c>
      <c r="W374">
        <v>0</v>
      </c>
      <c r="X374">
        <v>0</v>
      </c>
      <c r="Y374">
        <v>0</v>
      </c>
      <c r="Z374">
        <v>0</v>
      </c>
    </row>
    <row r="375" spans="1:26" x14ac:dyDescent="0.25">
      <c r="A375">
        <v>6</v>
      </c>
      <c r="B375">
        <v>5</v>
      </c>
      <c r="C375">
        <v>5</v>
      </c>
      <c r="D375">
        <v>732</v>
      </c>
      <c r="E375">
        <v>4</v>
      </c>
      <c r="F375">
        <v>0</v>
      </c>
      <c r="G375">
        <v>1</v>
      </c>
      <c r="H375">
        <v>0</v>
      </c>
      <c r="I375">
        <v>0</v>
      </c>
      <c r="J375">
        <v>0</v>
      </c>
      <c r="K375">
        <v>1</v>
      </c>
      <c r="L375">
        <v>0</v>
      </c>
      <c r="M375">
        <v>0</v>
      </c>
      <c r="N375">
        <v>1</v>
      </c>
      <c r="O375">
        <v>0</v>
      </c>
      <c r="P375">
        <v>0</v>
      </c>
      <c r="Q375">
        <v>0</v>
      </c>
      <c r="R375">
        <v>0</v>
      </c>
      <c r="S375">
        <v>1</v>
      </c>
      <c r="T375">
        <v>0</v>
      </c>
      <c r="U375">
        <v>0</v>
      </c>
      <c r="V375">
        <v>0</v>
      </c>
      <c r="W375">
        <v>0</v>
      </c>
      <c r="X375">
        <v>0</v>
      </c>
      <c r="Y375">
        <v>1</v>
      </c>
      <c r="Z375">
        <v>0</v>
      </c>
    </row>
    <row r="376" spans="1:26" x14ac:dyDescent="0.25">
      <c r="A376">
        <v>15</v>
      </c>
      <c r="B376">
        <v>4</v>
      </c>
      <c r="C376">
        <v>5</v>
      </c>
      <c r="D376">
        <v>1467</v>
      </c>
      <c r="E376">
        <v>0</v>
      </c>
      <c r="F376">
        <v>0</v>
      </c>
      <c r="G376">
        <v>1</v>
      </c>
      <c r="H376">
        <v>0</v>
      </c>
      <c r="I376">
        <v>0</v>
      </c>
      <c r="J376">
        <v>0</v>
      </c>
      <c r="K376">
        <v>0</v>
      </c>
      <c r="L376">
        <v>1</v>
      </c>
      <c r="M376">
        <v>1</v>
      </c>
      <c r="N376">
        <v>0</v>
      </c>
      <c r="O376">
        <v>1</v>
      </c>
      <c r="P376">
        <v>0</v>
      </c>
      <c r="Q376">
        <v>1</v>
      </c>
      <c r="R376">
        <v>0</v>
      </c>
      <c r="S376">
        <v>0</v>
      </c>
      <c r="T376">
        <v>1</v>
      </c>
      <c r="U376">
        <v>0</v>
      </c>
      <c r="V376">
        <v>0</v>
      </c>
      <c r="W376">
        <v>0</v>
      </c>
      <c r="X376">
        <v>0</v>
      </c>
      <c r="Y376">
        <v>0</v>
      </c>
      <c r="Z376">
        <v>0</v>
      </c>
    </row>
    <row r="377" spans="1:26" x14ac:dyDescent="0.25">
      <c r="A377">
        <v>13</v>
      </c>
      <c r="B377">
        <v>4</v>
      </c>
      <c r="C377">
        <v>5</v>
      </c>
      <c r="D377">
        <v>716</v>
      </c>
      <c r="E377">
        <v>0</v>
      </c>
      <c r="F377">
        <v>0</v>
      </c>
      <c r="G377">
        <v>0</v>
      </c>
      <c r="H377">
        <v>0</v>
      </c>
      <c r="I377">
        <v>1</v>
      </c>
      <c r="J377">
        <v>0</v>
      </c>
      <c r="K377">
        <v>0</v>
      </c>
      <c r="L377">
        <v>1</v>
      </c>
      <c r="M377">
        <v>1</v>
      </c>
      <c r="N377">
        <v>1</v>
      </c>
      <c r="O377">
        <v>0</v>
      </c>
      <c r="P377">
        <v>0</v>
      </c>
      <c r="Q377">
        <v>0</v>
      </c>
      <c r="R377">
        <v>0</v>
      </c>
      <c r="S377">
        <v>1</v>
      </c>
      <c r="T377">
        <v>0</v>
      </c>
      <c r="U377">
        <v>0</v>
      </c>
      <c r="V377">
        <v>0</v>
      </c>
      <c r="W377">
        <v>0</v>
      </c>
      <c r="X377">
        <v>0</v>
      </c>
      <c r="Y377">
        <v>0</v>
      </c>
      <c r="Z377">
        <v>1</v>
      </c>
    </row>
    <row r="378" spans="1:26" x14ac:dyDescent="0.25">
      <c r="A378">
        <v>12</v>
      </c>
      <c r="B378">
        <v>4</v>
      </c>
      <c r="C378">
        <v>5</v>
      </c>
      <c r="D378">
        <v>787</v>
      </c>
      <c r="E378">
        <v>2</v>
      </c>
      <c r="F378">
        <v>0</v>
      </c>
      <c r="G378">
        <v>1</v>
      </c>
      <c r="H378">
        <v>0</v>
      </c>
      <c r="I378">
        <v>0</v>
      </c>
      <c r="J378">
        <v>0</v>
      </c>
      <c r="K378">
        <v>0</v>
      </c>
      <c r="L378">
        <v>1</v>
      </c>
      <c r="M378">
        <v>1</v>
      </c>
      <c r="N378">
        <v>1</v>
      </c>
      <c r="O378">
        <v>0</v>
      </c>
      <c r="P378">
        <v>0</v>
      </c>
      <c r="Q378">
        <v>0</v>
      </c>
      <c r="R378">
        <v>0</v>
      </c>
      <c r="S378">
        <v>1</v>
      </c>
      <c r="T378">
        <v>0</v>
      </c>
      <c r="U378">
        <v>1</v>
      </c>
      <c r="V378">
        <v>0</v>
      </c>
      <c r="W378">
        <v>0</v>
      </c>
      <c r="X378">
        <v>0</v>
      </c>
      <c r="Y378">
        <v>0</v>
      </c>
      <c r="Z378">
        <v>0</v>
      </c>
    </row>
    <row r="379" spans="1:26" x14ac:dyDescent="0.25">
      <c r="A379">
        <v>6</v>
      </c>
      <c r="B379">
        <v>4</v>
      </c>
      <c r="C379">
        <v>5</v>
      </c>
      <c r="D379">
        <v>2916</v>
      </c>
      <c r="E379">
        <v>0</v>
      </c>
      <c r="F379">
        <v>0</v>
      </c>
      <c r="G379">
        <v>0</v>
      </c>
      <c r="H379">
        <v>0</v>
      </c>
      <c r="I379">
        <v>1</v>
      </c>
      <c r="J379">
        <v>0</v>
      </c>
      <c r="K379">
        <v>0</v>
      </c>
      <c r="L379">
        <v>1</v>
      </c>
      <c r="M379">
        <v>0</v>
      </c>
      <c r="N379">
        <v>0</v>
      </c>
      <c r="O379">
        <v>1</v>
      </c>
      <c r="P379">
        <v>0</v>
      </c>
      <c r="Q379">
        <v>0</v>
      </c>
      <c r="R379">
        <v>0</v>
      </c>
      <c r="S379">
        <v>1</v>
      </c>
      <c r="T379">
        <v>0</v>
      </c>
      <c r="U379">
        <v>0</v>
      </c>
      <c r="V379">
        <v>1</v>
      </c>
      <c r="W379">
        <v>0</v>
      </c>
      <c r="X379">
        <v>0</v>
      </c>
      <c r="Y379">
        <v>0</v>
      </c>
      <c r="Z379">
        <v>0</v>
      </c>
    </row>
    <row r="380" spans="1:26" x14ac:dyDescent="0.25">
      <c r="A380">
        <v>27</v>
      </c>
      <c r="B380">
        <v>11</v>
      </c>
      <c r="C380">
        <v>3</v>
      </c>
      <c r="D380">
        <v>2884</v>
      </c>
      <c r="E380">
        <v>2</v>
      </c>
      <c r="F380">
        <v>0</v>
      </c>
      <c r="G380">
        <v>0</v>
      </c>
      <c r="H380">
        <v>0</v>
      </c>
      <c r="I380">
        <v>1</v>
      </c>
      <c r="J380">
        <v>0</v>
      </c>
      <c r="K380">
        <v>0</v>
      </c>
      <c r="L380">
        <v>1</v>
      </c>
      <c r="M380">
        <v>1</v>
      </c>
      <c r="N380">
        <v>0</v>
      </c>
      <c r="O380">
        <v>1</v>
      </c>
      <c r="P380">
        <v>0</v>
      </c>
      <c r="Q380">
        <v>0</v>
      </c>
      <c r="R380">
        <v>0</v>
      </c>
      <c r="S380">
        <v>1</v>
      </c>
      <c r="T380">
        <v>0</v>
      </c>
      <c r="U380">
        <v>1</v>
      </c>
      <c r="V380">
        <v>0</v>
      </c>
      <c r="W380">
        <v>0</v>
      </c>
      <c r="X380">
        <v>0</v>
      </c>
      <c r="Y380">
        <v>0</v>
      </c>
      <c r="Z380">
        <v>0</v>
      </c>
    </row>
    <row r="381" spans="1:26" x14ac:dyDescent="0.25">
      <c r="A381">
        <v>9</v>
      </c>
      <c r="B381">
        <v>8</v>
      </c>
      <c r="C381">
        <v>5</v>
      </c>
      <c r="D381">
        <v>716</v>
      </c>
      <c r="E381">
        <v>4</v>
      </c>
      <c r="F381">
        <v>1</v>
      </c>
      <c r="G381">
        <v>0</v>
      </c>
      <c r="H381">
        <v>0</v>
      </c>
      <c r="I381">
        <v>0</v>
      </c>
      <c r="J381">
        <v>0</v>
      </c>
      <c r="K381">
        <v>1</v>
      </c>
      <c r="L381">
        <v>0</v>
      </c>
      <c r="M381">
        <v>1</v>
      </c>
      <c r="N381">
        <v>1</v>
      </c>
      <c r="O381">
        <v>0</v>
      </c>
      <c r="P381">
        <v>0</v>
      </c>
      <c r="Q381">
        <v>0</v>
      </c>
      <c r="R381">
        <v>0</v>
      </c>
      <c r="S381">
        <v>1</v>
      </c>
      <c r="T381">
        <v>0</v>
      </c>
      <c r="U381">
        <v>0</v>
      </c>
      <c r="V381">
        <v>0</v>
      </c>
      <c r="W381">
        <v>1</v>
      </c>
      <c r="X381">
        <v>0</v>
      </c>
      <c r="Y381">
        <v>0</v>
      </c>
      <c r="Z381">
        <v>0</v>
      </c>
    </row>
    <row r="382" spans="1:26" x14ac:dyDescent="0.25">
      <c r="A382">
        <v>19</v>
      </c>
      <c r="B382">
        <v>7</v>
      </c>
      <c r="C382">
        <v>5</v>
      </c>
      <c r="D382">
        <v>4027</v>
      </c>
      <c r="E382">
        <v>5</v>
      </c>
      <c r="F382">
        <v>0</v>
      </c>
      <c r="G382">
        <v>0</v>
      </c>
      <c r="H382">
        <v>1</v>
      </c>
      <c r="I382">
        <v>0</v>
      </c>
      <c r="J382">
        <v>0</v>
      </c>
      <c r="K382">
        <v>0</v>
      </c>
      <c r="L382">
        <v>1</v>
      </c>
      <c r="M382">
        <v>0</v>
      </c>
      <c r="N382">
        <v>0</v>
      </c>
      <c r="O382">
        <v>0</v>
      </c>
      <c r="P382">
        <v>1</v>
      </c>
      <c r="Q382">
        <v>0</v>
      </c>
      <c r="R382">
        <v>0</v>
      </c>
      <c r="S382">
        <v>1</v>
      </c>
      <c r="T382">
        <v>0</v>
      </c>
      <c r="U382">
        <v>0</v>
      </c>
      <c r="V382">
        <v>0</v>
      </c>
      <c r="W382">
        <v>0</v>
      </c>
      <c r="X382">
        <v>0</v>
      </c>
      <c r="Y382">
        <v>0</v>
      </c>
      <c r="Z382">
        <v>1</v>
      </c>
    </row>
    <row r="383" spans="1:26" x14ac:dyDescent="0.25">
      <c r="A383">
        <v>9</v>
      </c>
      <c r="B383">
        <v>6</v>
      </c>
      <c r="C383">
        <v>2</v>
      </c>
      <c r="D383">
        <v>826</v>
      </c>
      <c r="E383">
        <v>9</v>
      </c>
      <c r="F383">
        <v>1</v>
      </c>
      <c r="G383">
        <v>0</v>
      </c>
      <c r="H383">
        <v>0</v>
      </c>
      <c r="I383">
        <v>0</v>
      </c>
      <c r="J383">
        <v>0</v>
      </c>
      <c r="K383">
        <v>1</v>
      </c>
      <c r="L383">
        <v>0</v>
      </c>
      <c r="M383">
        <v>0</v>
      </c>
      <c r="N383">
        <v>0</v>
      </c>
      <c r="O383">
        <v>1</v>
      </c>
      <c r="P383">
        <v>0</v>
      </c>
      <c r="Q383">
        <v>0</v>
      </c>
      <c r="R383">
        <v>0</v>
      </c>
      <c r="S383">
        <v>1</v>
      </c>
      <c r="T383">
        <v>0</v>
      </c>
      <c r="U383">
        <v>0</v>
      </c>
      <c r="V383">
        <v>0</v>
      </c>
      <c r="W383">
        <v>0</v>
      </c>
      <c r="X383">
        <v>0</v>
      </c>
      <c r="Y383">
        <v>0</v>
      </c>
      <c r="Z383">
        <v>1</v>
      </c>
    </row>
    <row r="384" spans="1:26" x14ac:dyDescent="0.25">
      <c r="A384">
        <v>26</v>
      </c>
      <c r="B384">
        <v>5</v>
      </c>
      <c r="C384">
        <v>4</v>
      </c>
      <c r="D384">
        <v>787</v>
      </c>
      <c r="E384">
        <v>1</v>
      </c>
      <c r="F384">
        <v>0</v>
      </c>
      <c r="G384">
        <v>0</v>
      </c>
      <c r="H384">
        <v>1</v>
      </c>
      <c r="I384">
        <v>0</v>
      </c>
      <c r="J384">
        <v>0</v>
      </c>
      <c r="K384">
        <v>1</v>
      </c>
      <c r="L384">
        <v>0</v>
      </c>
      <c r="M384">
        <v>1</v>
      </c>
      <c r="N384">
        <v>1</v>
      </c>
      <c r="O384">
        <v>0</v>
      </c>
      <c r="P384">
        <v>0</v>
      </c>
      <c r="Q384">
        <v>1</v>
      </c>
      <c r="R384">
        <v>0</v>
      </c>
      <c r="S384">
        <v>0</v>
      </c>
      <c r="T384">
        <v>0</v>
      </c>
      <c r="U384">
        <v>0</v>
      </c>
      <c r="V384">
        <v>0</v>
      </c>
      <c r="W384">
        <v>0</v>
      </c>
      <c r="X384">
        <v>1</v>
      </c>
      <c r="Y384">
        <v>0</v>
      </c>
      <c r="Z384">
        <v>0</v>
      </c>
    </row>
    <row r="385" spans="1:26" x14ac:dyDescent="0.25">
      <c r="A385">
        <v>19</v>
      </c>
      <c r="B385">
        <v>5</v>
      </c>
      <c r="C385">
        <v>5</v>
      </c>
      <c r="D385">
        <v>2700</v>
      </c>
      <c r="E385">
        <v>3</v>
      </c>
      <c r="F385">
        <v>0</v>
      </c>
      <c r="G385">
        <v>0</v>
      </c>
      <c r="H385">
        <v>1</v>
      </c>
      <c r="I385">
        <v>0</v>
      </c>
      <c r="J385">
        <v>0</v>
      </c>
      <c r="K385">
        <v>0</v>
      </c>
      <c r="L385">
        <v>1</v>
      </c>
      <c r="M385">
        <v>1</v>
      </c>
      <c r="N385">
        <v>0</v>
      </c>
      <c r="O385">
        <v>0</v>
      </c>
      <c r="P385">
        <v>1</v>
      </c>
      <c r="Q385">
        <v>0</v>
      </c>
      <c r="R385">
        <v>1</v>
      </c>
      <c r="S385">
        <v>0</v>
      </c>
      <c r="T385">
        <v>0</v>
      </c>
      <c r="U385">
        <v>1</v>
      </c>
      <c r="V385">
        <v>0</v>
      </c>
      <c r="W385">
        <v>0</v>
      </c>
      <c r="X385">
        <v>0</v>
      </c>
      <c r="Y385">
        <v>0</v>
      </c>
      <c r="Z385">
        <v>0</v>
      </c>
    </row>
    <row r="386" spans="1:26" x14ac:dyDescent="0.25">
      <c r="A386">
        <v>7</v>
      </c>
      <c r="B386">
        <v>5</v>
      </c>
      <c r="C386">
        <v>3</v>
      </c>
      <c r="D386">
        <v>2034</v>
      </c>
      <c r="E386">
        <v>7</v>
      </c>
      <c r="F386">
        <v>0</v>
      </c>
      <c r="G386">
        <v>0</v>
      </c>
      <c r="H386">
        <v>1</v>
      </c>
      <c r="I386">
        <v>0</v>
      </c>
      <c r="J386">
        <v>0</v>
      </c>
      <c r="K386">
        <v>1</v>
      </c>
      <c r="L386">
        <v>0</v>
      </c>
      <c r="M386">
        <v>0</v>
      </c>
      <c r="N386">
        <v>0</v>
      </c>
      <c r="O386">
        <v>0</v>
      </c>
      <c r="P386">
        <v>1</v>
      </c>
      <c r="Q386">
        <v>0</v>
      </c>
      <c r="R386">
        <v>1</v>
      </c>
      <c r="S386">
        <v>0</v>
      </c>
      <c r="T386">
        <v>0</v>
      </c>
      <c r="U386">
        <v>1</v>
      </c>
      <c r="V386">
        <v>0</v>
      </c>
      <c r="W386">
        <v>0</v>
      </c>
      <c r="X386">
        <v>0</v>
      </c>
      <c r="Y386">
        <v>0</v>
      </c>
      <c r="Z386">
        <v>0</v>
      </c>
    </row>
    <row r="387" spans="1:26" x14ac:dyDescent="0.25">
      <c r="A387">
        <v>6</v>
      </c>
      <c r="B387">
        <v>5</v>
      </c>
      <c r="C387">
        <v>4</v>
      </c>
      <c r="D387">
        <v>2884</v>
      </c>
      <c r="E387">
        <v>2</v>
      </c>
      <c r="F387">
        <v>0</v>
      </c>
      <c r="G387">
        <v>1</v>
      </c>
      <c r="H387">
        <v>0</v>
      </c>
      <c r="I387">
        <v>0</v>
      </c>
      <c r="J387">
        <v>0</v>
      </c>
      <c r="K387">
        <v>0</v>
      </c>
      <c r="L387">
        <v>1</v>
      </c>
      <c r="M387">
        <v>1</v>
      </c>
      <c r="N387">
        <v>0</v>
      </c>
      <c r="O387">
        <v>1</v>
      </c>
      <c r="P387">
        <v>0</v>
      </c>
      <c r="Q387">
        <v>0</v>
      </c>
      <c r="R387">
        <v>0</v>
      </c>
      <c r="S387">
        <v>1</v>
      </c>
      <c r="T387">
        <v>0</v>
      </c>
      <c r="U387">
        <v>0</v>
      </c>
      <c r="V387">
        <v>0</v>
      </c>
      <c r="W387">
        <v>0</v>
      </c>
      <c r="X387">
        <v>0</v>
      </c>
      <c r="Y387">
        <v>1</v>
      </c>
      <c r="Z387">
        <v>0</v>
      </c>
    </row>
    <row r="388" spans="1:26" x14ac:dyDescent="0.25">
      <c r="A388">
        <v>24</v>
      </c>
      <c r="B388">
        <v>3</v>
      </c>
      <c r="C388">
        <v>5</v>
      </c>
      <c r="D388">
        <v>2916</v>
      </c>
      <c r="E388">
        <v>0</v>
      </c>
      <c r="F388">
        <v>0</v>
      </c>
      <c r="G388">
        <v>0</v>
      </c>
      <c r="H388">
        <v>0</v>
      </c>
      <c r="I388">
        <v>1</v>
      </c>
      <c r="J388">
        <v>0</v>
      </c>
      <c r="K388">
        <v>0</v>
      </c>
      <c r="L388">
        <v>1</v>
      </c>
      <c r="M388">
        <v>0</v>
      </c>
      <c r="N388">
        <v>0</v>
      </c>
      <c r="O388">
        <v>1</v>
      </c>
      <c r="P388">
        <v>0</v>
      </c>
      <c r="Q388">
        <v>0</v>
      </c>
      <c r="R388">
        <v>0</v>
      </c>
      <c r="S388">
        <v>1</v>
      </c>
      <c r="T388">
        <v>0</v>
      </c>
      <c r="U388">
        <v>0</v>
      </c>
      <c r="V388">
        <v>0</v>
      </c>
      <c r="W388">
        <v>1</v>
      </c>
      <c r="X388">
        <v>0</v>
      </c>
      <c r="Y388">
        <v>0</v>
      </c>
      <c r="Z388">
        <v>0</v>
      </c>
    </row>
    <row r="389" spans="1:26" x14ac:dyDescent="0.25">
      <c r="A389">
        <v>6</v>
      </c>
      <c r="B389">
        <v>3</v>
      </c>
      <c r="C389">
        <v>5</v>
      </c>
      <c r="D389">
        <v>732</v>
      </c>
      <c r="E389">
        <v>0</v>
      </c>
      <c r="F389">
        <v>0</v>
      </c>
      <c r="G389">
        <v>0</v>
      </c>
      <c r="H389">
        <v>0</v>
      </c>
      <c r="I389">
        <v>1</v>
      </c>
      <c r="J389">
        <v>1</v>
      </c>
      <c r="K389">
        <v>0</v>
      </c>
      <c r="L389">
        <v>0</v>
      </c>
      <c r="M389">
        <v>0</v>
      </c>
      <c r="N389">
        <v>1</v>
      </c>
      <c r="O389">
        <v>0</v>
      </c>
      <c r="P389">
        <v>0</v>
      </c>
      <c r="Q389">
        <v>0</v>
      </c>
      <c r="R389">
        <v>0</v>
      </c>
      <c r="S389">
        <v>1</v>
      </c>
      <c r="T389">
        <v>0</v>
      </c>
      <c r="U389">
        <v>0</v>
      </c>
      <c r="V389">
        <v>0</v>
      </c>
      <c r="W389">
        <v>0</v>
      </c>
      <c r="X389">
        <v>0</v>
      </c>
      <c r="Y389">
        <v>1</v>
      </c>
      <c r="Z389">
        <v>0</v>
      </c>
    </row>
    <row r="390" spans="1:26" x14ac:dyDescent="0.25">
      <c r="A390">
        <v>4</v>
      </c>
      <c r="B390">
        <v>3</v>
      </c>
      <c r="C390">
        <v>5</v>
      </c>
      <c r="D390">
        <v>2034</v>
      </c>
      <c r="E390">
        <v>3</v>
      </c>
      <c r="F390">
        <v>0</v>
      </c>
      <c r="G390">
        <v>1</v>
      </c>
      <c r="H390">
        <v>0</v>
      </c>
      <c r="I390">
        <v>0</v>
      </c>
      <c r="J390">
        <v>1</v>
      </c>
      <c r="K390">
        <v>0</v>
      </c>
      <c r="L390">
        <v>0</v>
      </c>
      <c r="M390">
        <v>0</v>
      </c>
      <c r="N390">
        <v>0</v>
      </c>
      <c r="O390">
        <v>0</v>
      </c>
      <c r="P390">
        <v>1</v>
      </c>
      <c r="Q390">
        <v>0</v>
      </c>
      <c r="R390">
        <v>0</v>
      </c>
      <c r="S390">
        <v>1</v>
      </c>
      <c r="T390">
        <v>0</v>
      </c>
      <c r="U390">
        <v>0</v>
      </c>
      <c r="V390">
        <v>0</v>
      </c>
      <c r="W390">
        <v>0</v>
      </c>
      <c r="X390">
        <v>1</v>
      </c>
      <c r="Y390">
        <v>0</v>
      </c>
      <c r="Z390">
        <v>0</v>
      </c>
    </row>
    <row r="391" spans="1:26" x14ac:dyDescent="0.25">
      <c r="A391">
        <v>11</v>
      </c>
      <c r="B391">
        <v>0</v>
      </c>
      <c r="C391">
        <v>5</v>
      </c>
      <c r="D391">
        <v>732</v>
      </c>
      <c r="E391">
        <v>0</v>
      </c>
      <c r="F391">
        <v>0</v>
      </c>
      <c r="G391">
        <v>1</v>
      </c>
      <c r="H391">
        <v>0</v>
      </c>
      <c r="I391">
        <v>0</v>
      </c>
      <c r="J391">
        <v>0</v>
      </c>
      <c r="K391">
        <v>1</v>
      </c>
      <c r="L391">
        <v>0</v>
      </c>
      <c r="M391">
        <v>0</v>
      </c>
      <c r="N391">
        <v>1</v>
      </c>
      <c r="O391">
        <v>0</v>
      </c>
      <c r="P391">
        <v>0</v>
      </c>
      <c r="Q391">
        <v>1</v>
      </c>
      <c r="R391">
        <v>0</v>
      </c>
      <c r="S391">
        <v>0</v>
      </c>
      <c r="T391">
        <v>0</v>
      </c>
      <c r="U391">
        <v>0</v>
      </c>
      <c r="V391">
        <v>0</v>
      </c>
      <c r="W391">
        <v>0</v>
      </c>
      <c r="X391">
        <v>1</v>
      </c>
      <c r="Y391">
        <v>0</v>
      </c>
      <c r="Z391">
        <v>0</v>
      </c>
    </row>
    <row r="392" spans="1:26" x14ac:dyDescent="0.25">
      <c r="A392">
        <v>10</v>
      </c>
      <c r="B392">
        <v>0</v>
      </c>
      <c r="C392">
        <v>4</v>
      </c>
      <c r="D392">
        <v>2884</v>
      </c>
      <c r="E392">
        <v>3</v>
      </c>
      <c r="F392">
        <v>0</v>
      </c>
      <c r="G392">
        <v>0</v>
      </c>
      <c r="H392">
        <v>1</v>
      </c>
      <c r="I392">
        <v>0</v>
      </c>
      <c r="J392">
        <v>1</v>
      </c>
      <c r="K392">
        <v>0</v>
      </c>
      <c r="L392">
        <v>0</v>
      </c>
      <c r="M392">
        <v>1</v>
      </c>
      <c r="N392">
        <v>0</v>
      </c>
      <c r="O392">
        <v>1</v>
      </c>
      <c r="P392">
        <v>0</v>
      </c>
      <c r="Q392">
        <v>0</v>
      </c>
      <c r="R392">
        <v>1</v>
      </c>
      <c r="S392">
        <v>0</v>
      </c>
      <c r="T392">
        <v>0</v>
      </c>
      <c r="U392">
        <v>0</v>
      </c>
      <c r="V392">
        <v>0</v>
      </c>
      <c r="W392">
        <v>1</v>
      </c>
      <c r="X392">
        <v>0</v>
      </c>
      <c r="Y392">
        <v>0</v>
      </c>
      <c r="Z392">
        <v>0</v>
      </c>
    </row>
    <row r="393" spans="1:26" x14ac:dyDescent="0.25">
      <c r="A393">
        <v>5</v>
      </c>
      <c r="B393">
        <v>0</v>
      </c>
      <c r="C393">
        <v>5</v>
      </c>
      <c r="D393">
        <v>3933</v>
      </c>
      <c r="E393">
        <v>0</v>
      </c>
      <c r="F393">
        <v>0</v>
      </c>
      <c r="G393">
        <v>1</v>
      </c>
      <c r="H393">
        <v>0</v>
      </c>
      <c r="I393">
        <v>0</v>
      </c>
      <c r="J393">
        <v>0</v>
      </c>
      <c r="K393">
        <v>1</v>
      </c>
      <c r="L393">
        <v>0</v>
      </c>
      <c r="M393">
        <v>0</v>
      </c>
      <c r="N393">
        <v>0</v>
      </c>
      <c r="O393">
        <v>0</v>
      </c>
      <c r="P393">
        <v>1</v>
      </c>
      <c r="Q393">
        <v>0</v>
      </c>
      <c r="R393">
        <v>1</v>
      </c>
      <c r="S393">
        <v>0</v>
      </c>
      <c r="T393">
        <v>0</v>
      </c>
      <c r="U393">
        <v>0</v>
      </c>
      <c r="V393">
        <v>0</v>
      </c>
      <c r="W393">
        <v>0</v>
      </c>
      <c r="X393">
        <v>0</v>
      </c>
      <c r="Y393">
        <v>0</v>
      </c>
      <c r="Z393">
        <v>1</v>
      </c>
    </row>
    <row r="394" spans="1:26" x14ac:dyDescent="0.25">
      <c r="A394">
        <v>14</v>
      </c>
      <c r="B394">
        <v>8</v>
      </c>
      <c r="C394">
        <v>5</v>
      </c>
      <c r="D394">
        <v>3348</v>
      </c>
      <c r="E394">
        <v>1</v>
      </c>
      <c r="F394">
        <v>0</v>
      </c>
      <c r="G394">
        <v>1</v>
      </c>
      <c r="H394">
        <v>0</v>
      </c>
      <c r="I394">
        <v>0</v>
      </c>
      <c r="J394">
        <v>0</v>
      </c>
      <c r="K394">
        <v>0</v>
      </c>
      <c r="L394">
        <v>1</v>
      </c>
      <c r="M394">
        <v>0</v>
      </c>
      <c r="N394">
        <v>0</v>
      </c>
      <c r="O394">
        <v>0</v>
      </c>
      <c r="P394">
        <v>1</v>
      </c>
      <c r="Q394">
        <v>0</v>
      </c>
      <c r="R394">
        <v>0</v>
      </c>
      <c r="S394">
        <v>1</v>
      </c>
      <c r="T394">
        <v>0</v>
      </c>
      <c r="U394">
        <v>1</v>
      </c>
      <c r="V394">
        <v>0</v>
      </c>
      <c r="W394">
        <v>0</v>
      </c>
      <c r="X394">
        <v>0</v>
      </c>
      <c r="Y394">
        <v>0</v>
      </c>
      <c r="Z394">
        <v>0</v>
      </c>
    </row>
    <row r="395" spans="1:26" x14ac:dyDescent="0.25">
      <c r="A395">
        <v>20</v>
      </c>
      <c r="B395">
        <v>7</v>
      </c>
      <c r="C395">
        <v>3</v>
      </c>
      <c r="D395">
        <v>3981</v>
      </c>
      <c r="E395">
        <v>6</v>
      </c>
      <c r="F395">
        <v>0</v>
      </c>
      <c r="G395">
        <v>1</v>
      </c>
      <c r="H395">
        <v>0</v>
      </c>
      <c r="I395">
        <v>0</v>
      </c>
      <c r="J395">
        <v>0</v>
      </c>
      <c r="K395">
        <v>0</v>
      </c>
      <c r="L395">
        <v>1</v>
      </c>
      <c r="M395">
        <v>0</v>
      </c>
      <c r="N395">
        <v>1</v>
      </c>
      <c r="O395">
        <v>0</v>
      </c>
      <c r="P395">
        <v>0</v>
      </c>
      <c r="Q395">
        <v>0</v>
      </c>
      <c r="R395">
        <v>1</v>
      </c>
      <c r="S395">
        <v>0</v>
      </c>
      <c r="T395">
        <v>0</v>
      </c>
      <c r="U395">
        <v>0</v>
      </c>
      <c r="V395">
        <v>1</v>
      </c>
      <c r="W395">
        <v>0</v>
      </c>
      <c r="X395">
        <v>0</v>
      </c>
      <c r="Y395">
        <v>0</v>
      </c>
      <c r="Z395">
        <v>0</v>
      </c>
    </row>
    <row r="396" spans="1:26" x14ac:dyDescent="0.25">
      <c r="A396">
        <v>12</v>
      </c>
      <c r="B396">
        <v>7</v>
      </c>
      <c r="C396">
        <v>5</v>
      </c>
      <c r="D396">
        <v>2884</v>
      </c>
      <c r="E396">
        <v>5</v>
      </c>
      <c r="F396">
        <v>0</v>
      </c>
      <c r="G396">
        <v>0</v>
      </c>
      <c r="H396">
        <v>0</v>
      </c>
      <c r="I396">
        <v>1</v>
      </c>
      <c r="J396">
        <v>0</v>
      </c>
      <c r="K396">
        <v>1</v>
      </c>
      <c r="L396">
        <v>0</v>
      </c>
      <c r="M396">
        <v>1</v>
      </c>
      <c r="N396">
        <v>0</v>
      </c>
      <c r="O396">
        <v>1</v>
      </c>
      <c r="P396">
        <v>0</v>
      </c>
      <c r="Q396">
        <v>1</v>
      </c>
      <c r="R396">
        <v>0</v>
      </c>
      <c r="S396">
        <v>0</v>
      </c>
      <c r="T396">
        <v>0</v>
      </c>
      <c r="U396">
        <v>1</v>
      </c>
      <c r="V396">
        <v>0</v>
      </c>
      <c r="W396">
        <v>0</v>
      </c>
      <c r="X396">
        <v>0</v>
      </c>
      <c r="Y396">
        <v>0</v>
      </c>
      <c r="Z396">
        <v>0</v>
      </c>
    </row>
    <row r="397" spans="1:26" x14ac:dyDescent="0.25">
      <c r="A397">
        <v>9</v>
      </c>
      <c r="B397">
        <v>7</v>
      </c>
      <c r="C397">
        <v>5</v>
      </c>
      <c r="D397">
        <v>315</v>
      </c>
      <c r="E397">
        <v>2</v>
      </c>
      <c r="F397">
        <v>0</v>
      </c>
      <c r="G397">
        <v>0</v>
      </c>
      <c r="H397">
        <v>1</v>
      </c>
      <c r="I397">
        <v>0</v>
      </c>
      <c r="J397">
        <v>0</v>
      </c>
      <c r="K397">
        <v>0</v>
      </c>
      <c r="L397">
        <v>1</v>
      </c>
      <c r="M397">
        <v>0</v>
      </c>
      <c r="N397">
        <v>1</v>
      </c>
      <c r="O397">
        <v>0</v>
      </c>
      <c r="P397">
        <v>0</v>
      </c>
      <c r="Q397">
        <v>0</v>
      </c>
      <c r="R397">
        <v>0</v>
      </c>
      <c r="S397">
        <v>1</v>
      </c>
      <c r="T397">
        <v>0</v>
      </c>
      <c r="U397">
        <v>0</v>
      </c>
      <c r="V397">
        <v>0</v>
      </c>
      <c r="W397">
        <v>0</v>
      </c>
      <c r="X397">
        <v>0</v>
      </c>
      <c r="Y397">
        <v>1</v>
      </c>
      <c r="Z397">
        <v>0</v>
      </c>
    </row>
    <row r="398" spans="1:26" x14ac:dyDescent="0.25">
      <c r="A398">
        <v>10</v>
      </c>
      <c r="B398">
        <v>5</v>
      </c>
      <c r="C398">
        <v>4</v>
      </c>
      <c r="D398">
        <v>3003</v>
      </c>
      <c r="E398">
        <v>1</v>
      </c>
      <c r="F398">
        <v>0</v>
      </c>
      <c r="G398">
        <v>1</v>
      </c>
      <c r="H398">
        <v>0</v>
      </c>
      <c r="I398">
        <v>0</v>
      </c>
      <c r="J398">
        <v>0</v>
      </c>
      <c r="K398">
        <v>1</v>
      </c>
      <c r="L398">
        <v>0</v>
      </c>
      <c r="M398">
        <v>0</v>
      </c>
      <c r="N398">
        <v>0</v>
      </c>
      <c r="O398">
        <v>1</v>
      </c>
      <c r="P398">
        <v>0</v>
      </c>
      <c r="Q398">
        <v>0</v>
      </c>
      <c r="R398">
        <v>1</v>
      </c>
      <c r="S398">
        <v>0</v>
      </c>
      <c r="T398">
        <v>1</v>
      </c>
      <c r="U398">
        <v>0</v>
      </c>
      <c r="V398">
        <v>0</v>
      </c>
      <c r="W398">
        <v>0</v>
      </c>
      <c r="X398">
        <v>0</v>
      </c>
      <c r="Y398">
        <v>0</v>
      </c>
      <c r="Z398">
        <v>0</v>
      </c>
    </row>
    <row r="399" spans="1:26" x14ac:dyDescent="0.25">
      <c r="A399">
        <v>9</v>
      </c>
      <c r="B399">
        <v>5</v>
      </c>
      <c r="C399">
        <v>5</v>
      </c>
      <c r="D399">
        <v>2916</v>
      </c>
      <c r="E399">
        <v>6</v>
      </c>
      <c r="F399">
        <v>0</v>
      </c>
      <c r="G399">
        <v>0</v>
      </c>
      <c r="H399">
        <v>1</v>
      </c>
      <c r="I399">
        <v>0</v>
      </c>
      <c r="J399">
        <v>1</v>
      </c>
      <c r="K399">
        <v>0</v>
      </c>
      <c r="L399">
        <v>0</v>
      </c>
      <c r="M399">
        <v>0</v>
      </c>
      <c r="N399">
        <v>0</v>
      </c>
      <c r="O399">
        <v>1</v>
      </c>
      <c r="P399">
        <v>0</v>
      </c>
      <c r="Q399">
        <v>0</v>
      </c>
      <c r="R399">
        <v>0</v>
      </c>
      <c r="S399">
        <v>1</v>
      </c>
      <c r="T399">
        <v>0</v>
      </c>
      <c r="U399">
        <v>0</v>
      </c>
      <c r="V399">
        <v>0</v>
      </c>
      <c r="W399">
        <v>0</v>
      </c>
      <c r="X399">
        <v>1</v>
      </c>
      <c r="Y399">
        <v>0</v>
      </c>
      <c r="Z399">
        <v>0</v>
      </c>
    </row>
    <row r="400" spans="1:26" x14ac:dyDescent="0.25">
      <c r="A400">
        <v>5</v>
      </c>
      <c r="B400">
        <v>5</v>
      </c>
      <c r="C400">
        <v>5</v>
      </c>
      <c r="D400">
        <v>3348</v>
      </c>
      <c r="E400">
        <v>3</v>
      </c>
      <c r="F400">
        <v>0</v>
      </c>
      <c r="G400">
        <v>0</v>
      </c>
      <c r="H400">
        <v>1</v>
      </c>
      <c r="I400">
        <v>0</v>
      </c>
      <c r="J400">
        <v>0</v>
      </c>
      <c r="K400">
        <v>0</v>
      </c>
      <c r="L400">
        <v>1</v>
      </c>
      <c r="M400">
        <v>0</v>
      </c>
      <c r="N400">
        <v>0</v>
      </c>
      <c r="O400">
        <v>0</v>
      </c>
      <c r="P400">
        <v>1</v>
      </c>
      <c r="Q400">
        <v>0</v>
      </c>
      <c r="R400">
        <v>0</v>
      </c>
      <c r="S400">
        <v>1</v>
      </c>
      <c r="T400">
        <v>0</v>
      </c>
      <c r="U400">
        <v>0</v>
      </c>
      <c r="V400">
        <v>0</v>
      </c>
      <c r="W400">
        <v>0</v>
      </c>
      <c r="X400">
        <v>1</v>
      </c>
      <c r="Y400">
        <v>0</v>
      </c>
      <c r="Z400">
        <v>0</v>
      </c>
    </row>
    <row r="401" spans="1:26" x14ac:dyDescent="0.25">
      <c r="A401">
        <v>17</v>
      </c>
      <c r="B401">
        <v>4</v>
      </c>
      <c r="C401">
        <v>4</v>
      </c>
      <c r="D401">
        <v>315</v>
      </c>
      <c r="E401">
        <v>0</v>
      </c>
      <c r="F401">
        <v>0</v>
      </c>
      <c r="G401">
        <v>1</v>
      </c>
      <c r="H401">
        <v>0</v>
      </c>
      <c r="I401">
        <v>0</v>
      </c>
      <c r="J401">
        <v>0</v>
      </c>
      <c r="K401">
        <v>1</v>
      </c>
      <c r="L401">
        <v>0</v>
      </c>
      <c r="M401">
        <v>0</v>
      </c>
      <c r="N401">
        <v>1</v>
      </c>
      <c r="O401">
        <v>0</v>
      </c>
      <c r="P401">
        <v>0</v>
      </c>
      <c r="Q401">
        <v>0</v>
      </c>
      <c r="R401">
        <v>0</v>
      </c>
      <c r="S401">
        <v>1</v>
      </c>
      <c r="T401">
        <v>0</v>
      </c>
      <c r="U401">
        <v>0</v>
      </c>
      <c r="V401">
        <v>0</v>
      </c>
      <c r="W401">
        <v>1</v>
      </c>
      <c r="X401">
        <v>0</v>
      </c>
      <c r="Y401">
        <v>0</v>
      </c>
      <c r="Z401">
        <v>0</v>
      </c>
    </row>
    <row r="402" spans="1:26" x14ac:dyDescent="0.25">
      <c r="A402">
        <v>13</v>
      </c>
      <c r="B402">
        <v>4</v>
      </c>
      <c r="C402">
        <v>5</v>
      </c>
      <c r="D402">
        <v>716</v>
      </c>
      <c r="E402">
        <v>5</v>
      </c>
      <c r="F402">
        <v>1</v>
      </c>
      <c r="G402">
        <v>0</v>
      </c>
      <c r="H402">
        <v>0</v>
      </c>
      <c r="I402">
        <v>0</v>
      </c>
      <c r="J402">
        <v>1</v>
      </c>
      <c r="K402">
        <v>0</v>
      </c>
      <c r="L402">
        <v>0</v>
      </c>
      <c r="M402">
        <v>1</v>
      </c>
      <c r="N402">
        <v>1</v>
      </c>
      <c r="O402">
        <v>0</v>
      </c>
      <c r="P402">
        <v>0</v>
      </c>
      <c r="Q402">
        <v>0</v>
      </c>
      <c r="R402">
        <v>0</v>
      </c>
      <c r="S402">
        <v>1</v>
      </c>
      <c r="T402">
        <v>0</v>
      </c>
      <c r="U402">
        <v>0</v>
      </c>
      <c r="V402">
        <v>0</v>
      </c>
      <c r="W402">
        <v>0</v>
      </c>
      <c r="X402">
        <v>0</v>
      </c>
      <c r="Y402">
        <v>1</v>
      </c>
      <c r="Z402">
        <v>0</v>
      </c>
    </row>
    <row r="403" spans="1:26" x14ac:dyDescent="0.25">
      <c r="A403">
        <v>7</v>
      </c>
      <c r="B403">
        <v>4</v>
      </c>
      <c r="C403">
        <v>5</v>
      </c>
      <c r="D403">
        <v>1228</v>
      </c>
      <c r="E403">
        <v>1</v>
      </c>
      <c r="F403">
        <v>1</v>
      </c>
      <c r="G403">
        <v>0</v>
      </c>
      <c r="H403">
        <v>0</v>
      </c>
      <c r="I403">
        <v>0</v>
      </c>
      <c r="J403">
        <v>0</v>
      </c>
      <c r="K403">
        <v>0</v>
      </c>
      <c r="L403">
        <v>1</v>
      </c>
      <c r="M403">
        <v>0</v>
      </c>
      <c r="N403">
        <v>1</v>
      </c>
      <c r="O403">
        <v>0</v>
      </c>
      <c r="P403">
        <v>0</v>
      </c>
      <c r="Q403">
        <v>0</v>
      </c>
      <c r="R403">
        <v>0</v>
      </c>
      <c r="S403">
        <v>1</v>
      </c>
      <c r="T403">
        <v>1</v>
      </c>
      <c r="U403">
        <v>0</v>
      </c>
      <c r="V403">
        <v>0</v>
      </c>
      <c r="W403">
        <v>0</v>
      </c>
      <c r="X403">
        <v>0</v>
      </c>
      <c r="Y403">
        <v>0</v>
      </c>
      <c r="Z403">
        <v>0</v>
      </c>
    </row>
    <row r="404" spans="1:26" x14ac:dyDescent="0.25">
      <c r="A404">
        <v>6</v>
      </c>
      <c r="B404">
        <v>4</v>
      </c>
      <c r="C404">
        <v>5</v>
      </c>
      <c r="D404">
        <v>3025</v>
      </c>
      <c r="E404">
        <v>7</v>
      </c>
      <c r="F404">
        <v>1</v>
      </c>
      <c r="G404">
        <v>0</v>
      </c>
      <c r="H404">
        <v>0</v>
      </c>
      <c r="I404">
        <v>0</v>
      </c>
      <c r="J404">
        <v>0</v>
      </c>
      <c r="K404">
        <v>0</v>
      </c>
      <c r="L404">
        <v>1</v>
      </c>
      <c r="M404">
        <v>0</v>
      </c>
      <c r="N404">
        <v>0</v>
      </c>
      <c r="O404">
        <v>0</v>
      </c>
      <c r="P404">
        <v>1</v>
      </c>
      <c r="Q404">
        <v>0</v>
      </c>
      <c r="R404">
        <v>0</v>
      </c>
      <c r="S404">
        <v>1</v>
      </c>
      <c r="T404">
        <v>0</v>
      </c>
      <c r="U404">
        <v>0</v>
      </c>
      <c r="V404">
        <v>0</v>
      </c>
      <c r="W404">
        <v>0</v>
      </c>
      <c r="X404">
        <v>1</v>
      </c>
      <c r="Y404">
        <v>0</v>
      </c>
      <c r="Z404">
        <v>0</v>
      </c>
    </row>
    <row r="405" spans="1:26" x14ac:dyDescent="0.25">
      <c r="A405">
        <v>15</v>
      </c>
      <c r="B405">
        <v>3</v>
      </c>
      <c r="C405">
        <v>3</v>
      </c>
      <c r="D405">
        <v>826</v>
      </c>
      <c r="E405">
        <v>7</v>
      </c>
      <c r="F405">
        <v>1</v>
      </c>
      <c r="G405">
        <v>0</v>
      </c>
      <c r="H405">
        <v>0</v>
      </c>
      <c r="I405">
        <v>0</v>
      </c>
      <c r="J405">
        <v>0</v>
      </c>
      <c r="K405">
        <v>1</v>
      </c>
      <c r="L405">
        <v>0</v>
      </c>
      <c r="M405">
        <v>0</v>
      </c>
      <c r="N405">
        <v>0</v>
      </c>
      <c r="O405">
        <v>1</v>
      </c>
      <c r="P405">
        <v>0</v>
      </c>
      <c r="Q405">
        <v>0</v>
      </c>
      <c r="R405">
        <v>0</v>
      </c>
      <c r="S405">
        <v>1</v>
      </c>
      <c r="T405">
        <v>0</v>
      </c>
      <c r="U405">
        <v>0</v>
      </c>
      <c r="V405">
        <v>0</v>
      </c>
      <c r="W405">
        <v>0</v>
      </c>
      <c r="X405">
        <v>0</v>
      </c>
      <c r="Y405">
        <v>1</v>
      </c>
      <c r="Z405">
        <v>0</v>
      </c>
    </row>
    <row r="406" spans="1:26" x14ac:dyDescent="0.25">
      <c r="A406">
        <v>9</v>
      </c>
      <c r="B406">
        <v>3</v>
      </c>
      <c r="C406">
        <v>5</v>
      </c>
      <c r="D406">
        <v>1228</v>
      </c>
      <c r="E406">
        <v>1</v>
      </c>
      <c r="F406">
        <v>0</v>
      </c>
      <c r="G406">
        <v>1</v>
      </c>
      <c r="H406">
        <v>0</v>
      </c>
      <c r="I406">
        <v>0</v>
      </c>
      <c r="J406">
        <v>1</v>
      </c>
      <c r="K406">
        <v>0</v>
      </c>
      <c r="L406">
        <v>0</v>
      </c>
      <c r="M406">
        <v>0</v>
      </c>
      <c r="N406">
        <v>1</v>
      </c>
      <c r="O406">
        <v>0</v>
      </c>
      <c r="P406">
        <v>0</v>
      </c>
      <c r="Q406">
        <v>0</v>
      </c>
      <c r="R406">
        <v>0</v>
      </c>
      <c r="S406">
        <v>1</v>
      </c>
      <c r="T406">
        <v>0</v>
      </c>
      <c r="U406">
        <v>1</v>
      </c>
      <c r="V406">
        <v>0</v>
      </c>
      <c r="W406">
        <v>0</v>
      </c>
      <c r="X406">
        <v>0</v>
      </c>
      <c r="Y406">
        <v>0</v>
      </c>
      <c r="Z406">
        <v>0</v>
      </c>
    </row>
    <row r="407" spans="1:26" x14ac:dyDescent="0.25">
      <c r="A407">
        <v>9</v>
      </c>
      <c r="B407">
        <v>3</v>
      </c>
      <c r="C407">
        <v>5</v>
      </c>
      <c r="D407">
        <v>2034</v>
      </c>
      <c r="E407">
        <v>1</v>
      </c>
      <c r="F407">
        <v>0</v>
      </c>
      <c r="G407">
        <v>1</v>
      </c>
      <c r="H407">
        <v>0</v>
      </c>
      <c r="I407">
        <v>0</v>
      </c>
      <c r="J407">
        <v>0</v>
      </c>
      <c r="K407">
        <v>1</v>
      </c>
      <c r="L407">
        <v>0</v>
      </c>
      <c r="M407">
        <v>0</v>
      </c>
      <c r="N407">
        <v>0</v>
      </c>
      <c r="O407">
        <v>0</v>
      </c>
      <c r="P407">
        <v>1</v>
      </c>
      <c r="Q407">
        <v>0</v>
      </c>
      <c r="R407">
        <v>1</v>
      </c>
      <c r="S407">
        <v>0</v>
      </c>
      <c r="T407">
        <v>0</v>
      </c>
      <c r="U407">
        <v>0</v>
      </c>
      <c r="V407">
        <v>0</v>
      </c>
      <c r="W407">
        <v>0</v>
      </c>
      <c r="X407">
        <v>1</v>
      </c>
      <c r="Y407">
        <v>0</v>
      </c>
      <c r="Z407">
        <v>0</v>
      </c>
    </row>
    <row r="408" spans="1:26" x14ac:dyDescent="0.25">
      <c r="A408">
        <v>7</v>
      </c>
      <c r="B408">
        <v>3</v>
      </c>
      <c r="C408">
        <v>4</v>
      </c>
      <c r="D408">
        <v>2884</v>
      </c>
      <c r="E408">
        <v>5</v>
      </c>
      <c r="F408">
        <v>0</v>
      </c>
      <c r="G408">
        <v>1</v>
      </c>
      <c r="H408">
        <v>0</v>
      </c>
      <c r="I408">
        <v>0</v>
      </c>
      <c r="J408">
        <v>0</v>
      </c>
      <c r="K408">
        <v>0</v>
      </c>
      <c r="L408">
        <v>1</v>
      </c>
      <c r="M408">
        <v>1</v>
      </c>
      <c r="N408">
        <v>0</v>
      </c>
      <c r="O408">
        <v>1</v>
      </c>
      <c r="P408">
        <v>0</v>
      </c>
      <c r="Q408">
        <v>0</v>
      </c>
      <c r="R408">
        <v>1</v>
      </c>
      <c r="S408">
        <v>0</v>
      </c>
      <c r="T408">
        <v>1</v>
      </c>
      <c r="U408">
        <v>0</v>
      </c>
      <c r="V408">
        <v>0</v>
      </c>
      <c r="W408">
        <v>0</v>
      </c>
      <c r="X408">
        <v>0</v>
      </c>
      <c r="Y408">
        <v>0</v>
      </c>
      <c r="Z408">
        <v>0</v>
      </c>
    </row>
    <row r="409" spans="1:26" x14ac:dyDescent="0.25">
      <c r="A409">
        <v>4</v>
      </c>
      <c r="B409">
        <v>3</v>
      </c>
      <c r="C409">
        <v>5</v>
      </c>
      <c r="D409">
        <v>3348</v>
      </c>
      <c r="E409">
        <v>3</v>
      </c>
      <c r="F409">
        <v>0</v>
      </c>
      <c r="G409">
        <v>0</v>
      </c>
      <c r="H409">
        <v>0</v>
      </c>
      <c r="I409">
        <v>1</v>
      </c>
      <c r="J409">
        <v>0</v>
      </c>
      <c r="K409">
        <v>0</v>
      </c>
      <c r="L409">
        <v>1</v>
      </c>
      <c r="M409">
        <v>0</v>
      </c>
      <c r="N409">
        <v>0</v>
      </c>
      <c r="O409">
        <v>0</v>
      </c>
      <c r="P409">
        <v>1</v>
      </c>
      <c r="Q409">
        <v>0</v>
      </c>
      <c r="R409">
        <v>0</v>
      </c>
      <c r="S409">
        <v>1</v>
      </c>
      <c r="T409">
        <v>0</v>
      </c>
      <c r="U409">
        <v>1</v>
      </c>
      <c r="V409">
        <v>0</v>
      </c>
      <c r="W409">
        <v>0</v>
      </c>
      <c r="X409">
        <v>0</v>
      </c>
      <c r="Y409">
        <v>0</v>
      </c>
      <c r="Z409">
        <v>0</v>
      </c>
    </row>
    <row r="410" spans="1:26" x14ac:dyDescent="0.25">
      <c r="A410">
        <v>2</v>
      </c>
      <c r="B410">
        <v>1</v>
      </c>
      <c r="C410">
        <v>4</v>
      </c>
      <c r="D410">
        <v>3773</v>
      </c>
      <c r="E410">
        <v>0</v>
      </c>
      <c r="F410">
        <v>0</v>
      </c>
      <c r="G410">
        <v>0</v>
      </c>
      <c r="H410">
        <v>1</v>
      </c>
      <c r="I410">
        <v>0</v>
      </c>
      <c r="J410">
        <v>0</v>
      </c>
      <c r="K410">
        <v>1</v>
      </c>
      <c r="L410">
        <v>0</v>
      </c>
      <c r="M410">
        <v>0</v>
      </c>
      <c r="N410">
        <v>1</v>
      </c>
      <c r="O410">
        <v>0</v>
      </c>
      <c r="P410">
        <v>0</v>
      </c>
      <c r="Q410">
        <v>0</v>
      </c>
      <c r="R410">
        <v>0</v>
      </c>
      <c r="S410">
        <v>1</v>
      </c>
      <c r="T410">
        <v>0</v>
      </c>
      <c r="U410">
        <v>0</v>
      </c>
      <c r="V410">
        <v>0</v>
      </c>
      <c r="W410">
        <v>0</v>
      </c>
      <c r="X410">
        <v>0</v>
      </c>
      <c r="Y410">
        <v>1</v>
      </c>
      <c r="Z410">
        <v>0</v>
      </c>
    </row>
    <row r="411" spans="1:26" x14ac:dyDescent="0.25">
      <c r="A411">
        <v>14</v>
      </c>
      <c r="B411">
        <v>0</v>
      </c>
      <c r="C411">
        <v>2</v>
      </c>
      <c r="D411">
        <v>188</v>
      </c>
      <c r="E411">
        <v>4</v>
      </c>
      <c r="F411">
        <v>0</v>
      </c>
      <c r="G411">
        <v>0</v>
      </c>
      <c r="H411">
        <v>1</v>
      </c>
      <c r="I411">
        <v>0</v>
      </c>
      <c r="J411">
        <v>0</v>
      </c>
      <c r="K411">
        <v>1</v>
      </c>
      <c r="L411">
        <v>0</v>
      </c>
      <c r="M411">
        <v>0</v>
      </c>
      <c r="N411">
        <v>0</v>
      </c>
      <c r="O411">
        <v>1</v>
      </c>
      <c r="P411">
        <v>0</v>
      </c>
      <c r="Q411">
        <v>0</v>
      </c>
      <c r="R411">
        <v>0</v>
      </c>
      <c r="S411">
        <v>1</v>
      </c>
      <c r="T411">
        <v>0</v>
      </c>
      <c r="U411">
        <v>0</v>
      </c>
      <c r="V411">
        <v>0</v>
      </c>
      <c r="W411">
        <v>0</v>
      </c>
      <c r="X411">
        <v>0</v>
      </c>
      <c r="Y411">
        <v>1</v>
      </c>
      <c r="Z411">
        <v>0</v>
      </c>
    </row>
    <row r="412" spans="1:26" x14ac:dyDescent="0.25">
      <c r="A412">
        <v>6</v>
      </c>
      <c r="B412">
        <v>0</v>
      </c>
      <c r="C412">
        <v>4</v>
      </c>
      <c r="D412">
        <v>3981</v>
      </c>
      <c r="E412">
        <v>1</v>
      </c>
      <c r="F412">
        <v>0</v>
      </c>
      <c r="G412">
        <v>0</v>
      </c>
      <c r="H412">
        <v>0</v>
      </c>
      <c r="I412">
        <v>1</v>
      </c>
      <c r="J412">
        <v>1</v>
      </c>
      <c r="K412">
        <v>0</v>
      </c>
      <c r="L412">
        <v>0</v>
      </c>
      <c r="M412">
        <v>0</v>
      </c>
      <c r="N412">
        <v>1</v>
      </c>
      <c r="O412">
        <v>0</v>
      </c>
      <c r="P412">
        <v>0</v>
      </c>
      <c r="Q412">
        <v>0</v>
      </c>
      <c r="R412">
        <v>1</v>
      </c>
      <c r="S412">
        <v>0</v>
      </c>
      <c r="T412">
        <v>0</v>
      </c>
      <c r="U412">
        <v>0</v>
      </c>
      <c r="V412">
        <v>0</v>
      </c>
      <c r="W412">
        <v>1</v>
      </c>
      <c r="X412">
        <v>0</v>
      </c>
      <c r="Y412">
        <v>0</v>
      </c>
      <c r="Z412">
        <v>0</v>
      </c>
    </row>
    <row r="413" spans="1:26" x14ac:dyDescent="0.25">
      <c r="A413">
        <v>4</v>
      </c>
      <c r="B413">
        <v>0</v>
      </c>
      <c r="C413">
        <v>5</v>
      </c>
      <c r="D413">
        <v>3025</v>
      </c>
      <c r="E413">
        <v>9</v>
      </c>
      <c r="F413">
        <v>1</v>
      </c>
      <c r="G413">
        <v>0</v>
      </c>
      <c r="H413">
        <v>0</v>
      </c>
      <c r="I413">
        <v>0</v>
      </c>
      <c r="J413">
        <v>0</v>
      </c>
      <c r="K413">
        <v>0</v>
      </c>
      <c r="L413">
        <v>1</v>
      </c>
      <c r="M413">
        <v>0</v>
      </c>
      <c r="N413">
        <v>0</v>
      </c>
      <c r="O413">
        <v>0</v>
      </c>
      <c r="P413">
        <v>1</v>
      </c>
      <c r="Q413">
        <v>0</v>
      </c>
      <c r="R413">
        <v>0</v>
      </c>
      <c r="S413">
        <v>1</v>
      </c>
      <c r="T413">
        <v>1</v>
      </c>
      <c r="U413">
        <v>0</v>
      </c>
      <c r="V413">
        <v>0</v>
      </c>
      <c r="W413">
        <v>0</v>
      </c>
      <c r="X413">
        <v>0</v>
      </c>
      <c r="Y413">
        <v>0</v>
      </c>
      <c r="Z413">
        <v>0</v>
      </c>
    </row>
    <row r="414" spans="1:26" x14ac:dyDescent="0.25">
      <c r="A414">
        <v>35</v>
      </c>
      <c r="B414">
        <v>12</v>
      </c>
      <c r="C414">
        <v>5</v>
      </c>
      <c r="D414">
        <v>2034</v>
      </c>
      <c r="E414">
        <v>2</v>
      </c>
      <c r="F414">
        <v>0</v>
      </c>
      <c r="G414">
        <v>0</v>
      </c>
      <c r="H414">
        <v>1</v>
      </c>
      <c r="I414">
        <v>0</v>
      </c>
      <c r="J414">
        <v>1</v>
      </c>
      <c r="K414">
        <v>0</v>
      </c>
      <c r="L414">
        <v>0</v>
      </c>
      <c r="M414">
        <v>0</v>
      </c>
      <c r="N414">
        <v>0</v>
      </c>
      <c r="O414">
        <v>0</v>
      </c>
      <c r="P414">
        <v>1</v>
      </c>
      <c r="Q414">
        <v>0</v>
      </c>
      <c r="R414">
        <v>0</v>
      </c>
      <c r="S414">
        <v>1</v>
      </c>
      <c r="T414">
        <v>1</v>
      </c>
      <c r="U414">
        <v>0</v>
      </c>
      <c r="V414">
        <v>0</v>
      </c>
      <c r="W414">
        <v>0</v>
      </c>
      <c r="X414">
        <v>0</v>
      </c>
      <c r="Y414">
        <v>0</v>
      </c>
      <c r="Z414">
        <v>0</v>
      </c>
    </row>
    <row r="415" spans="1:26" x14ac:dyDescent="0.25">
      <c r="A415">
        <v>15</v>
      </c>
      <c r="B415">
        <v>9</v>
      </c>
      <c r="C415">
        <v>5</v>
      </c>
      <c r="D415">
        <v>2700</v>
      </c>
      <c r="E415">
        <v>2</v>
      </c>
      <c r="F415">
        <v>0</v>
      </c>
      <c r="G415">
        <v>0</v>
      </c>
      <c r="H415">
        <v>0</v>
      </c>
      <c r="I415">
        <v>1</v>
      </c>
      <c r="J415">
        <v>1</v>
      </c>
      <c r="K415">
        <v>0</v>
      </c>
      <c r="L415">
        <v>0</v>
      </c>
      <c r="M415">
        <v>1</v>
      </c>
      <c r="N415">
        <v>0</v>
      </c>
      <c r="O415">
        <v>0</v>
      </c>
      <c r="P415">
        <v>1</v>
      </c>
      <c r="Q415">
        <v>0</v>
      </c>
      <c r="R415">
        <v>0</v>
      </c>
      <c r="S415">
        <v>1</v>
      </c>
      <c r="T415">
        <v>0</v>
      </c>
      <c r="U415">
        <v>1</v>
      </c>
      <c r="V415">
        <v>0</v>
      </c>
      <c r="W415">
        <v>0</v>
      </c>
      <c r="X415">
        <v>0</v>
      </c>
      <c r="Y415">
        <v>0</v>
      </c>
      <c r="Z415">
        <v>0</v>
      </c>
    </row>
    <row r="416" spans="1:26" x14ac:dyDescent="0.25">
      <c r="A416">
        <v>12</v>
      </c>
      <c r="B416">
        <v>8</v>
      </c>
      <c r="C416">
        <v>4</v>
      </c>
      <c r="D416">
        <v>2884</v>
      </c>
      <c r="E416">
        <v>2</v>
      </c>
      <c r="F416">
        <v>0</v>
      </c>
      <c r="G416">
        <v>0</v>
      </c>
      <c r="H416">
        <v>1</v>
      </c>
      <c r="I416">
        <v>0</v>
      </c>
      <c r="J416">
        <v>1</v>
      </c>
      <c r="K416">
        <v>0</v>
      </c>
      <c r="L416">
        <v>0</v>
      </c>
      <c r="M416">
        <v>1</v>
      </c>
      <c r="N416">
        <v>0</v>
      </c>
      <c r="O416">
        <v>1</v>
      </c>
      <c r="P416">
        <v>0</v>
      </c>
      <c r="Q416">
        <v>0</v>
      </c>
      <c r="R416">
        <v>0</v>
      </c>
      <c r="S416">
        <v>1</v>
      </c>
      <c r="T416">
        <v>0</v>
      </c>
      <c r="U416">
        <v>0</v>
      </c>
      <c r="V416">
        <v>1</v>
      </c>
      <c r="W416">
        <v>0</v>
      </c>
      <c r="X416">
        <v>0</v>
      </c>
      <c r="Y416">
        <v>0</v>
      </c>
      <c r="Z416">
        <v>0</v>
      </c>
    </row>
    <row r="417" spans="1:26" x14ac:dyDescent="0.25">
      <c r="A417">
        <v>8</v>
      </c>
      <c r="B417">
        <v>7</v>
      </c>
      <c r="C417">
        <v>5</v>
      </c>
      <c r="D417">
        <v>1467</v>
      </c>
      <c r="E417">
        <v>1</v>
      </c>
      <c r="F417">
        <v>0</v>
      </c>
      <c r="G417">
        <v>1</v>
      </c>
      <c r="H417">
        <v>0</v>
      </c>
      <c r="I417">
        <v>0</v>
      </c>
      <c r="J417">
        <v>1</v>
      </c>
      <c r="K417">
        <v>0</v>
      </c>
      <c r="L417">
        <v>0</v>
      </c>
      <c r="M417">
        <v>1</v>
      </c>
      <c r="N417">
        <v>0</v>
      </c>
      <c r="O417">
        <v>1</v>
      </c>
      <c r="P417">
        <v>0</v>
      </c>
      <c r="Q417">
        <v>1</v>
      </c>
      <c r="R417">
        <v>0</v>
      </c>
      <c r="S417">
        <v>0</v>
      </c>
      <c r="T417">
        <v>0</v>
      </c>
      <c r="U417">
        <v>0</v>
      </c>
      <c r="V417">
        <v>1</v>
      </c>
      <c r="W417">
        <v>0</v>
      </c>
      <c r="X417">
        <v>0</v>
      </c>
      <c r="Y417">
        <v>0</v>
      </c>
      <c r="Z417">
        <v>0</v>
      </c>
    </row>
    <row r="418" spans="1:26" x14ac:dyDescent="0.25">
      <c r="A418">
        <v>21</v>
      </c>
      <c r="B418">
        <v>6</v>
      </c>
      <c r="C418">
        <v>4</v>
      </c>
      <c r="D418">
        <v>826</v>
      </c>
      <c r="E418">
        <v>5</v>
      </c>
      <c r="F418">
        <v>0</v>
      </c>
      <c r="G418">
        <v>1</v>
      </c>
      <c r="H418">
        <v>0</v>
      </c>
      <c r="I418">
        <v>0</v>
      </c>
      <c r="J418">
        <v>0</v>
      </c>
      <c r="K418">
        <v>0</v>
      </c>
      <c r="L418">
        <v>1</v>
      </c>
      <c r="M418">
        <v>0</v>
      </c>
      <c r="N418">
        <v>0</v>
      </c>
      <c r="O418">
        <v>1</v>
      </c>
      <c r="P418">
        <v>0</v>
      </c>
      <c r="Q418">
        <v>0</v>
      </c>
      <c r="R418">
        <v>0</v>
      </c>
      <c r="S418">
        <v>1</v>
      </c>
      <c r="T418">
        <v>0</v>
      </c>
      <c r="U418">
        <v>0</v>
      </c>
      <c r="V418">
        <v>0</v>
      </c>
      <c r="W418">
        <v>0</v>
      </c>
      <c r="X418">
        <v>0</v>
      </c>
      <c r="Y418">
        <v>1</v>
      </c>
      <c r="Z418">
        <v>0</v>
      </c>
    </row>
    <row r="419" spans="1:26" x14ac:dyDescent="0.25">
      <c r="A419">
        <v>16</v>
      </c>
      <c r="B419">
        <v>6</v>
      </c>
      <c r="C419">
        <v>4</v>
      </c>
      <c r="D419">
        <v>3933</v>
      </c>
      <c r="E419">
        <v>3</v>
      </c>
      <c r="F419">
        <v>1</v>
      </c>
      <c r="G419">
        <v>0</v>
      </c>
      <c r="H419">
        <v>0</v>
      </c>
      <c r="I419">
        <v>0</v>
      </c>
      <c r="J419">
        <v>1</v>
      </c>
      <c r="K419">
        <v>0</v>
      </c>
      <c r="L419">
        <v>0</v>
      </c>
      <c r="M419">
        <v>0</v>
      </c>
      <c r="N419">
        <v>0</v>
      </c>
      <c r="O419">
        <v>0</v>
      </c>
      <c r="P419">
        <v>1</v>
      </c>
      <c r="Q419">
        <v>1</v>
      </c>
      <c r="R419">
        <v>0</v>
      </c>
      <c r="S419">
        <v>0</v>
      </c>
      <c r="T419">
        <v>0</v>
      </c>
      <c r="U419">
        <v>0</v>
      </c>
      <c r="V419">
        <v>1</v>
      </c>
      <c r="W419">
        <v>0</v>
      </c>
      <c r="X419">
        <v>0</v>
      </c>
      <c r="Y419">
        <v>0</v>
      </c>
      <c r="Z419">
        <v>0</v>
      </c>
    </row>
    <row r="420" spans="1:26" x14ac:dyDescent="0.25">
      <c r="A420">
        <v>12</v>
      </c>
      <c r="B420">
        <v>6</v>
      </c>
      <c r="C420">
        <v>5</v>
      </c>
      <c r="D420">
        <v>2959</v>
      </c>
      <c r="E420">
        <v>1</v>
      </c>
      <c r="F420">
        <v>1</v>
      </c>
      <c r="G420">
        <v>0</v>
      </c>
      <c r="H420">
        <v>0</v>
      </c>
      <c r="I420">
        <v>0</v>
      </c>
      <c r="J420">
        <v>1</v>
      </c>
      <c r="K420">
        <v>0</v>
      </c>
      <c r="L420">
        <v>0</v>
      </c>
      <c r="M420">
        <v>0</v>
      </c>
      <c r="N420">
        <v>0</v>
      </c>
      <c r="O420">
        <v>0</v>
      </c>
      <c r="P420">
        <v>1</v>
      </c>
      <c r="Q420">
        <v>1</v>
      </c>
      <c r="R420">
        <v>0</v>
      </c>
      <c r="S420">
        <v>0</v>
      </c>
      <c r="T420">
        <v>0</v>
      </c>
      <c r="U420">
        <v>0</v>
      </c>
      <c r="V420">
        <v>0</v>
      </c>
      <c r="W420">
        <v>0</v>
      </c>
      <c r="X420">
        <v>1</v>
      </c>
      <c r="Y420">
        <v>0</v>
      </c>
      <c r="Z420">
        <v>0</v>
      </c>
    </row>
    <row r="421" spans="1:26" x14ac:dyDescent="0.25">
      <c r="A421">
        <v>9</v>
      </c>
      <c r="B421">
        <v>6</v>
      </c>
      <c r="C421">
        <v>5</v>
      </c>
      <c r="D421">
        <v>4027</v>
      </c>
      <c r="E421">
        <v>5</v>
      </c>
      <c r="F421">
        <v>0</v>
      </c>
      <c r="G421">
        <v>0</v>
      </c>
      <c r="H421">
        <v>0</v>
      </c>
      <c r="I421">
        <v>1</v>
      </c>
      <c r="J421">
        <v>1</v>
      </c>
      <c r="K421">
        <v>0</v>
      </c>
      <c r="L421">
        <v>0</v>
      </c>
      <c r="M421">
        <v>0</v>
      </c>
      <c r="N421">
        <v>0</v>
      </c>
      <c r="O421">
        <v>0</v>
      </c>
      <c r="P421">
        <v>1</v>
      </c>
      <c r="Q421">
        <v>0</v>
      </c>
      <c r="R421">
        <v>1</v>
      </c>
      <c r="S421">
        <v>0</v>
      </c>
      <c r="T421">
        <v>0</v>
      </c>
      <c r="U421">
        <v>0</v>
      </c>
      <c r="V421">
        <v>1</v>
      </c>
      <c r="W421">
        <v>0</v>
      </c>
      <c r="X421">
        <v>0</v>
      </c>
      <c r="Y421">
        <v>0</v>
      </c>
      <c r="Z421">
        <v>0</v>
      </c>
    </row>
    <row r="422" spans="1:26" x14ac:dyDescent="0.25">
      <c r="A422">
        <v>5</v>
      </c>
      <c r="B422">
        <v>4</v>
      </c>
      <c r="C422">
        <v>5</v>
      </c>
      <c r="D422">
        <v>716</v>
      </c>
      <c r="E422">
        <v>8</v>
      </c>
      <c r="F422">
        <v>0</v>
      </c>
      <c r="G422">
        <v>0</v>
      </c>
      <c r="H422">
        <v>1</v>
      </c>
      <c r="I422">
        <v>0</v>
      </c>
      <c r="J422">
        <v>1</v>
      </c>
      <c r="K422">
        <v>0</v>
      </c>
      <c r="L422">
        <v>0</v>
      </c>
      <c r="M422">
        <v>1</v>
      </c>
      <c r="N422">
        <v>1</v>
      </c>
      <c r="O422">
        <v>0</v>
      </c>
      <c r="P422">
        <v>0</v>
      </c>
      <c r="Q422">
        <v>0</v>
      </c>
      <c r="R422">
        <v>0</v>
      </c>
      <c r="S422">
        <v>1</v>
      </c>
      <c r="T422">
        <v>0</v>
      </c>
      <c r="U422">
        <v>0</v>
      </c>
      <c r="V422">
        <v>0</v>
      </c>
      <c r="W422">
        <v>1</v>
      </c>
      <c r="X422">
        <v>0</v>
      </c>
      <c r="Y422">
        <v>0</v>
      </c>
      <c r="Z422">
        <v>0</v>
      </c>
    </row>
    <row r="423" spans="1:26" x14ac:dyDescent="0.25">
      <c r="A423">
        <v>4</v>
      </c>
      <c r="B423">
        <v>4</v>
      </c>
      <c r="C423">
        <v>2</v>
      </c>
      <c r="D423">
        <v>3773</v>
      </c>
      <c r="E423">
        <v>5</v>
      </c>
      <c r="F423">
        <v>1</v>
      </c>
      <c r="G423">
        <v>0</v>
      </c>
      <c r="H423">
        <v>0</v>
      </c>
      <c r="I423">
        <v>0</v>
      </c>
      <c r="J423">
        <v>0</v>
      </c>
      <c r="K423">
        <v>0</v>
      </c>
      <c r="L423">
        <v>1</v>
      </c>
      <c r="M423">
        <v>0</v>
      </c>
      <c r="N423">
        <v>1</v>
      </c>
      <c r="O423">
        <v>0</v>
      </c>
      <c r="P423">
        <v>0</v>
      </c>
      <c r="Q423">
        <v>0</v>
      </c>
      <c r="R423">
        <v>0</v>
      </c>
      <c r="S423">
        <v>1</v>
      </c>
      <c r="T423">
        <v>0</v>
      </c>
      <c r="U423">
        <v>0</v>
      </c>
      <c r="V423">
        <v>0</v>
      </c>
      <c r="W423">
        <v>1</v>
      </c>
      <c r="X423">
        <v>0</v>
      </c>
      <c r="Y423">
        <v>0</v>
      </c>
      <c r="Z423">
        <v>0</v>
      </c>
    </row>
    <row r="424" spans="1:26" x14ac:dyDescent="0.25">
      <c r="A424">
        <v>13</v>
      </c>
      <c r="B424">
        <v>3</v>
      </c>
      <c r="C424">
        <v>2</v>
      </c>
      <c r="D424">
        <v>3003</v>
      </c>
      <c r="E424">
        <v>1</v>
      </c>
      <c r="F424">
        <v>0</v>
      </c>
      <c r="G424">
        <v>0</v>
      </c>
      <c r="H424">
        <v>0</v>
      </c>
      <c r="I424">
        <v>1</v>
      </c>
      <c r="J424">
        <v>0</v>
      </c>
      <c r="K424">
        <v>0</v>
      </c>
      <c r="L424">
        <v>1</v>
      </c>
      <c r="M424">
        <v>0</v>
      </c>
      <c r="N424">
        <v>0</v>
      </c>
      <c r="O424">
        <v>1</v>
      </c>
      <c r="P424">
        <v>0</v>
      </c>
      <c r="Q424">
        <v>0</v>
      </c>
      <c r="R424">
        <v>0</v>
      </c>
      <c r="S424">
        <v>1</v>
      </c>
      <c r="T424">
        <v>0</v>
      </c>
      <c r="U424">
        <v>0</v>
      </c>
      <c r="V424">
        <v>0</v>
      </c>
      <c r="W424">
        <v>1</v>
      </c>
      <c r="X424">
        <v>0</v>
      </c>
      <c r="Y424">
        <v>0</v>
      </c>
      <c r="Z424">
        <v>0</v>
      </c>
    </row>
    <row r="425" spans="1:26" x14ac:dyDescent="0.25">
      <c r="A425">
        <v>12</v>
      </c>
      <c r="B425">
        <v>3</v>
      </c>
      <c r="C425">
        <v>5</v>
      </c>
      <c r="D425">
        <v>1467</v>
      </c>
      <c r="E425">
        <v>4</v>
      </c>
      <c r="F425">
        <v>1</v>
      </c>
      <c r="G425">
        <v>0</v>
      </c>
      <c r="H425">
        <v>0</v>
      </c>
      <c r="I425">
        <v>0</v>
      </c>
      <c r="J425">
        <v>0</v>
      </c>
      <c r="K425">
        <v>1</v>
      </c>
      <c r="L425">
        <v>0</v>
      </c>
      <c r="M425">
        <v>1</v>
      </c>
      <c r="N425">
        <v>0</v>
      </c>
      <c r="O425">
        <v>1</v>
      </c>
      <c r="P425">
        <v>0</v>
      </c>
      <c r="Q425">
        <v>0</v>
      </c>
      <c r="R425">
        <v>1</v>
      </c>
      <c r="S425">
        <v>0</v>
      </c>
      <c r="T425">
        <v>0</v>
      </c>
      <c r="U425">
        <v>0</v>
      </c>
      <c r="V425">
        <v>0</v>
      </c>
      <c r="W425">
        <v>0</v>
      </c>
      <c r="X425">
        <v>1</v>
      </c>
      <c r="Y425">
        <v>0</v>
      </c>
      <c r="Z425">
        <v>0</v>
      </c>
    </row>
    <row r="426" spans="1:26" x14ac:dyDescent="0.25">
      <c r="A426">
        <v>8</v>
      </c>
      <c r="B426">
        <v>3</v>
      </c>
      <c r="C426">
        <v>5</v>
      </c>
      <c r="D426">
        <v>315</v>
      </c>
      <c r="E426">
        <v>3</v>
      </c>
      <c r="F426">
        <v>1</v>
      </c>
      <c r="G426">
        <v>0</v>
      </c>
      <c r="H426">
        <v>0</v>
      </c>
      <c r="I426">
        <v>0</v>
      </c>
      <c r="J426">
        <v>0</v>
      </c>
      <c r="K426">
        <v>0</v>
      </c>
      <c r="L426">
        <v>1</v>
      </c>
      <c r="M426">
        <v>0</v>
      </c>
      <c r="N426">
        <v>1</v>
      </c>
      <c r="O426">
        <v>0</v>
      </c>
      <c r="P426">
        <v>0</v>
      </c>
      <c r="Q426">
        <v>0</v>
      </c>
      <c r="R426">
        <v>0</v>
      </c>
      <c r="S426">
        <v>1</v>
      </c>
      <c r="T426">
        <v>0</v>
      </c>
      <c r="U426">
        <v>0</v>
      </c>
      <c r="V426">
        <v>0</v>
      </c>
      <c r="W426">
        <v>0</v>
      </c>
      <c r="X426">
        <v>1</v>
      </c>
      <c r="Y426">
        <v>0</v>
      </c>
      <c r="Z426">
        <v>0</v>
      </c>
    </row>
    <row r="427" spans="1:26" x14ac:dyDescent="0.25">
      <c r="A427">
        <v>4</v>
      </c>
      <c r="B427">
        <v>3</v>
      </c>
      <c r="C427">
        <v>1</v>
      </c>
      <c r="D427">
        <v>3773</v>
      </c>
      <c r="E427">
        <v>3</v>
      </c>
      <c r="F427">
        <v>0</v>
      </c>
      <c r="G427">
        <v>0</v>
      </c>
      <c r="H427">
        <v>0</v>
      </c>
      <c r="I427">
        <v>1</v>
      </c>
      <c r="J427">
        <v>0</v>
      </c>
      <c r="K427">
        <v>0</v>
      </c>
      <c r="L427">
        <v>1</v>
      </c>
      <c r="M427">
        <v>0</v>
      </c>
      <c r="N427">
        <v>1</v>
      </c>
      <c r="O427">
        <v>0</v>
      </c>
      <c r="P427">
        <v>0</v>
      </c>
      <c r="Q427">
        <v>1</v>
      </c>
      <c r="R427">
        <v>0</v>
      </c>
      <c r="S427">
        <v>0</v>
      </c>
      <c r="T427">
        <v>0</v>
      </c>
      <c r="U427">
        <v>1</v>
      </c>
      <c r="V427">
        <v>0</v>
      </c>
      <c r="W427">
        <v>0</v>
      </c>
      <c r="X427">
        <v>0</v>
      </c>
      <c r="Y427">
        <v>0</v>
      </c>
      <c r="Z427">
        <v>0</v>
      </c>
    </row>
    <row r="428" spans="1:26" x14ac:dyDescent="0.25">
      <c r="A428">
        <v>3</v>
      </c>
      <c r="B428">
        <v>3</v>
      </c>
      <c r="C428">
        <v>3</v>
      </c>
      <c r="D428">
        <v>3981</v>
      </c>
      <c r="E428">
        <v>4</v>
      </c>
      <c r="F428">
        <v>0</v>
      </c>
      <c r="G428">
        <v>0</v>
      </c>
      <c r="H428">
        <v>0</v>
      </c>
      <c r="I428">
        <v>1</v>
      </c>
      <c r="J428">
        <v>0</v>
      </c>
      <c r="K428">
        <v>1</v>
      </c>
      <c r="L428">
        <v>0</v>
      </c>
      <c r="M428">
        <v>0</v>
      </c>
      <c r="N428">
        <v>1</v>
      </c>
      <c r="O428">
        <v>0</v>
      </c>
      <c r="P428">
        <v>0</v>
      </c>
      <c r="Q428">
        <v>0</v>
      </c>
      <c r="R428">
        <v>1</v>
      </c>
      <c r="S428">
        <v>0</v>
      </c>
      <c r="T428">
        <v>0</v>
      </c>
      <c r="U428">
        <v>0</v>
      </c>
      <c r="V428">
        <v>1</v>
      </c>
      <c r="W428">
        <v>0</v>
      </c>
      <c r="X428">
        <v>0</v>
      </c>
      <c r="Y428">
        <v>0</v>
      </c>
      <c r="Z428">
        <v>0</v>
      </c>
    </row>
    <row r="429" spans="1:26" x14ac:dyDescent="0.25">
      <c r="A429">
        <v>3</v>
      </c>
      <c r="B429">
        <v>3</v>
      </c>
      <c r="C429">
        <v>5</v>
      </c>
      <c r="D429">
        <v>315</v>
      </c>
      <c r="E429">
        <v>2</v>
      </c>
      <c r="F429">
        <v>1</v>
      </c>
      <c r="G429">
        <v>0</v>
      </c>
      <c r="H429">
        <v>0</v>
      </c>
      <c r="I429">
        <v>0</v>
      </c>
      <c r="J429">
        <v>0</v>
      </c>
      <c r="K429">
        <v>1</v>
      </c>
      <c r="L429">
        <v>0</v>
      </c>
      <c r="M429">
        <v>0</v>
      </c>
      <c r="N429">
        <v>1</v>
      </c>
      <c r="O429">
        <v>0</v>
      </c>
      <c r="P429">
        <v>0</v>
      </c>
      <c r="Q429">
        <v>0</v>
      </c>
      <c r="R429">
        <v>0</v>
      </c>
      <c r="S429">
        <v>1</v>
      </c>
      <c r="T429">
        <v>0</v>
      </c>
      <c r="U429">
        <v>0</v>
      </c>
      <c r="V429">
        <v>0</v>
      </c>
      <c r="W429">
        <v>0</v>
      </c>
      <c r="X429">
        <v>0</v>
      </c>
      <c r="Y429">
        <v>0</v>
      </c>
      <c r="Z429">
        <v>1</v>
      </c>
    </row>
    <row r="430" spans="1:26" x14ac:dyDescent="0.25">
      <c r="A430">
        <v>1</v>
      </c>
      <c r="B430">
        <v>0</v>
      </c>
      <c r="C430">
        <v>2</v>
      </c>
      <c r="D430">
        <v>716</v>
      </c>
      <c r="E430">
        <v>0</v>
      </c>
      <c r="F430">
        <v>0</v>
      </c>
      <c r="G430">
        <v>0</v>
      </c>
      <c r="H430">
        <v>1</v>
      </c>
      <c r="I430">
        <v>0</v>
      </c>
      <c r="J430">
        <v>0</v>
      </c>
      <c r="K430">
        <v>1</v>
      </c>
      <c r="L430">
        <v>0</v>
      </c>
      <c r="M430">
        <v>1</v>
      </c>
      <c r="N430">
        <v>1</v>
      </c>
      <c r="O430">
        <v>0</v>
      </c>
      <c r="P430">
        <v>0</v>
      </c>
      <c r="Q430">
        <v>1</v>
      </c>
      <c r="R430">
        <v>0</v>
      </c>
      <c r="S430">
        <v>0</v>
      </c>
      <c r="T430">
        <v>0</v>
      </c>
      <c r="U430">
        <v>0</v>
      </c>
      <c r="V430">
        <v>0</v>
      </c>
      <c r="W430">
        <v>0</v>
      </c>
      <c r="X430">
        <v>1</v>
      </c>
      <c r="Y430">
        <v>0</v>
      </c>
      <c r="Z430">
        <v>0</v>
      </c>
    </row>
    <row r="431" spans="1:26" x14ac:dyDescent="0.25">
      <c r="A431">
        <v>11</v>
      </c>
      <c r="B431">
        <v>8</v>
      </c>
      <c r="C431">
        <v>4</v>
      </c>
      <c r="D431">
        <v>3933</v>
      </c>
      <c r="E431">
        <v>0</v>
      </c>
      <c r="F431">
        <v>0</v>
      </c>
      <c r="G431">
        <v>1</v>
      </c>
      <c r="H431">
        <v>0</v>
      </c>
      <c r="I431">
        <v>0</v>
      </c>
      <c r="J431">
        <v>1</v>
      </c>
      <c r="K431">
        <v>0</v>
      </c>
      <c r="L431">
        <v>0</v>
      </c>
      <c r="M431">
        <v>0</v>
      </c>
      <c r="N431">
        <v>0</v>
      </c>
      <c r="O431">
        <v>0</v>
      </c>
      <c r="P431">
        <v>1</v>
      </c>
      <c r="Q431">
        <v>0</v>
      </c>
      <c r="R431">
        <v>0</v>
      </c>
      <c r="S431">
        <v>1</v>
      </c>
      <c r="T431">
        <v>0</v>
      </c>
      <c r="U431">
        <v>1</v>
      </c>
      <c r="V431">
        <v>0</v>
      </c>
      <c r="W431">
        <v>0</v>
      </c>
      <c r="X431">
        <v>0</v>
      </c>
      <c r="Y431">
        <v>0</v>
      </c>
      <c r="Z431">
        <v>0</v>
      </c>
    </row>
    <row r="432" spans="1:26" x14ac:dyDescent="0.25">
      <c r="A432">
        <v>23</v>
      </c>
      <c r="B432">
        <v>7</v>
      </c>
      <c r="C432">
        <v>4</v>
      </c>
      <c r="D432">
        <v>3348</v>
      </c>
      <c r="E432">
        <v>3</v>
      </c>
      <c r="F432">
        <v>1</v>
      </c>
      <c r="G432">
        <v>0</v>
      </c>
      <c r="H432">
        <v>0</v>
      </c>
      <c r="I432">
        <v>0</v>
      </c>
      <c r="J432">
        <v>0</v>
      </c>
      <c r="K432">
        <v>1</v>
      </c>
      <c r="L432">
        <v>0</v>
      </c>
      <c r="M432">
        <v>0</v>
      </c>
      <c r="N432">
        <v>0</v>
      </c>
      <c r="O432">
        <v>0</v>
      </c>
      <c r="P432">
        <v>1</v>
      </c>
      <c r="Q432">
        <v>0</v>
      </c>
      <c r="R432">
        <v>0</v>
      </c>
      <c r="S432">
        <v>1</v>
      </c>
      <c r="T432">
        <v>1</v>
      </c>
      <c r="U432">
        <v>0</v>
      </c>
      <c r="V432">
        <v>0</v>
      </c>
      <c r="W432">
        <v>0</v>
      </c>
      <c r="X432">
        <v>0</v>
      </c>
      <c r="Y432">
        <v>0</v>
      </c>
      <c r="Z432">
        <v>0</v>
      </c>
    </row>
    <row r="433" spans="1:26" x14ac:dyDescent="0.25">
      <c r="A433">
        <v>10</v>
      </c>
      <c r="B433">
        <v>5</v>
      </c>
      <c r="C433">
        <v>4</v>
      </c>
      <c r="D433">
        <v>3773</v>
      </c>
      <c r="E433">
        <v>7</v>
      </c>
      <c r="F433">
        <v>0</v>
      </c>
      <c r="G433">
        <v>0</v>
      </c>
      <c r="H433">
        <v>0</v>
      </c>
      <c r="I433">
        <v>1</v>
      </c>
      <c r="J433">
        <v>0</v>
      </c>
      <c r="K433">
        <v>0</v>
      </c>
      <c r="L433">
        <v>1</v>
      </c>
      <c r="M433">
        <v>0</v>
      </c>
      <c r="N433">
        <v>1</v>
      </c>
      <c r="O433">
        <v>0</v>
      </c>
      <c r="P433">
        <v>0</v>
      </c>
      <c r="Q433">
        <v>0</v>
      </c>
      <c r="R433">
        <v>1</v>
      </c>
      <c r="S433">
        <v>0</v>
      </c>
      <c r="T433">
        <v>0</v>
      </c>
      <c r="U433">
        <v>0</v>
      </c>
      <c r="V433">
        <v>1</v>
      </c>
      <c r="W433">
        <v>0</v>
      </c>
      <c r="X433">
        <v>0</v>
      </c>
      <c r="Y433">
        <v>0</v>
      </c>
      <c r="Z433">
        <v>0</v>
      </c>
    </row>
    <row r="434" spans="1:26" x14ac:dyDescent="0.25">
      <c r="A434">
        <v>5</v>
      </c>
      <c r="B434">
        <v>5</v>
      </c>
      <c r="C434">
        <v>4</v>
      </c>
      <c r="D434">
        <v>3773</v>
      </c>
      <c r="E434">
        <v>7</v>
      </c>
      <c r="F434">
        <v>0</v>
      </c>
      <c r="G434">
        <v>0</v>
      </c>
      <c r="H434">
        <v>1</v>
      </c>
      <c r="I434">
        <v>0</v>
      </c>
      <c r="J434">
        <v>1</v>
      </c>
      <c r="K434">
        <v>0</v>
      </c>
      <c r="L434">
        <v>0</v>
      </c>
      <c r="M434">
        <v>0</v>
      </c>
      <c r="N434">
        <v>1</v>
      </c>
      <c r="O434">
        <v>0</v>
      </c>
      <c r="P434">
        <v>0</v>
      </c>
      <c r="Q434">
        <v>0</v>
      </c>
      <c r="R434">
        <v>0</v>
      </c>
      <c r="S434">
        <v>1</v>
      </c>
      <c r="T434">
        <v>0</v>
      </c>
      <c r="U434">
        <v>0</v>
      </c>
      <c r="V434">
        <v>0</v>
      </c>
      <c r="W434">
        <v>0</v>
      </c>
      <c r="X434">
        <v>0</v>
      </c>
      <c r="Y434">
        <v>1</v>
      </c>
      <c r="Z434">
        <v>0</v>
      </c>
    </row>
    <row r="435" spans="1:26" x14ac:dyDescent="0.25">
      <c r="A435">
        <v>4</v>
      </c>
      <c r="B435">
        <v>4</v>
      </c>
      <c r="C435">
        <v>2</v>
      </c>
      <c r="D435">
        <v>2916</v>
      </c>
      <c r="E435">
        <v>1</v>
      </c>
      <c r="F435">
        <v>1</v>
      </c>
      <c r="G435">
        <v>0</v>
      </c>
      <c r="H435">
        <v>0</v>
      </c>
      <c r="I435">
        <v>0</v>
      </c>
      <c r="J435">
        <v>0</v>
      </c>
      <c r="K435">
        <v>0</v>
      </c>
      <c r="L435">
        <v>1</v>
      </c>
      <c r="M435">
        <v>0</v>
      </c>
      <c r="N435">
        <v>0</v>
      </c>
      <c r="O435">
        <v>1</v>
      </c>
      <c r="P435">
        <v>0</v>
      </c>
      <c r="Q435">
        <v>0</v>
      </c>
      <c r="R435">
        <v>0</v>
      </c>
      <c r="S435">
        <v>1</v>
      </c>
      <c r="T435">
        <v>0</v>
      </c>
      <c r="U435">
        <v>0</v>
      </c>
      <c r="V435">
        <v>0</v>
      </c>
      <c r="W435">
        <v>0</v>
      </c>
      <c r="X435">
        <v>0</v>
      </c>
      <c r="Y435">
        <v>0</v>
      </c>
      <c r="Z435">
        <v>1</v>
      </c>
    </row>
    <row r="436" spans="1:26" x14ac:dyDescent="0.25">
      <c r="A436">
        <v>13</v>
      </c>
      <c r="B436">
        <v>3</v>
      </c>
      <c r="C436">
        <v>5</v>
      </c>
      <c r="D436">
        <v>3933</v>
      </c>
      <c r="E436">
        <v>6</v>
      </c>
      <c r="F436">
        <v>0</v>
      </c>
      <c r="G436">
        <v>0</v>
      </c>
      <c r="H436">
        <v>0</v>
      </c>
      <c r="I436">
        <v>1</v>
      </c>
      <c r="J436">
        <v>0</v>
      </c>
      <c r="K436">
        <v>0</v>
      </c>
      <c r="L436">
        <v>1</v>
      </c>
      <c r="M436">
        <v>0</v>
      </c>
      <c r="N436">
        <v>0</v>
      </c>
      <c r="O436">
        <v>0</v>
      </c>
      <c r="P436">
        <v>1</v>
      </c>
      <c r="Q436">
        <v>0</v>
      </c>
      <c r="R436">
        <v>1</v>
      </c>
      <c r="S436">
        <v>0</v>
      </c>
      <c r="T436">
        <v>0</v>
      </c>
      <c r="U436">
        <v>0</v>
      </c>
      <c r="V436">
        <v>0</v>
      </c>
      <c r="W436">
        <v>0</v>
      </c>
      <c r="X436">
        <v>0</v>
      </c>
      <c r="Y436">
        <v>1</v>
      </c>
      <c r="Z436">
        <v>0</v>
      </c>
    </row>
    <row r="437" spans="1:26" x14ac:dyDescent="0.25">
      <c r="A437">
        <v>5</v>
      </c>
      <c r="B437">
        <v>3</v>
      </c>
      <c r="C437">
        <v>5</v>
      </c>
      <c r="D437">
        <v>1467</v>
      </c>
      <c r="E437">
        <v>5</v>
      </c>
      <c r="F437">
        <v>0</v>
      </c>
      <c r="G437">
        <v>0</v>
      </c>
      <c r="H437">
        <v>0</v>
      </c>
      <c r="I437">
        <v>1</v>
      </c>
      <c r="J437">
        <v>0</v>
      </c>
      <c r="K437">
        <v>0</v>
      </c>
      <c r="L437">
        <v>1</v>
      </c>
      <c r="M437">
        <v>1</v>
      </c>
      <c r="N437">
        <v>0</v>
      </c>
      <c r="O437">
        <v>1</v>
      </c>
      <c r="P437">
        <v>0</v>
      </c>
      <c r="Q437">
        <v>1</v>
      </c>
      <c r="R437">
        <v>0</v>
      </c>
      <c r="S437">
        <v>0</v>
      </c>
      <c r="T437">
        <v>0</v>
      </c>
      <c r="U437">
        <v>0</v>
      </c>
      <c r="V437">
        <v>0</v>
      </c>
      <c r="W437">
        <v>0</v>
      </c>
      <c r="X437">
        <v>0</v>
      </c>
      <c r="Y437">
        <v>0</v>
      </c>
      <c r="Z437">
        <v>1</v>
      </c>
    </row>
    <row r="438" spans="1:26" x14ac:dyDescent="0.25">
      <c r="A438">
        <v>4</v>
      </c>
      <c r="B438">
        <v>3</v>
      </c>
      <c r="C438">
        <v>5</v>
      </c>
      <c r="D438">
        <v>1228</v>
      </c>
      <c r="E438">
        <v>6</v>
      </c>
      <c r="F438">
        <v>1</v>
      </c>
      <c r="G438">
        <v>0</v>
      </c>
      <c r="H438">
        <v>0</v>
      </c>
      <c r="I438">
        <v>0</v>
      </c>
      <c r="J438">
        <v>0</v>
      </c>
      <c r="K438">
        <v>0</v>
      </c>
      <c r="L438">
        <v>1</v>
      </c>
      <c r="M438">
        <v>0</v>
      </c>
      <c r="N438">
        <v>1</v>
      </c>
      <c r="O438">
        <v>0</v>
      </c>
      <c r="P438">
        <v>0</v>
      </c>
      <c r="Q438">
        <v>0</v>
      </c>
      <c r="R438">
        <v>0</v>
      </c>
      <c r="S438">
        <v>1</v>
      </c>
      <c r="T438">
        <v>1</v>
      </c>
      <c r="U438">
        <v>0</v>
      </c>
      <c r="V438">
        <v>0</v>
      </c>
      <c r="W438">
        <v>0</v>
      </c>
      <c r="X438">
        <v>0</v>
      </c>
      <c r="Y438">
        <v>0</v>
      </c>
      <c r="Z438">
        <v>0</v>
      </c>
    </row>
    <row r="439" spans="1:26" x14ac:dyDescent="0.25">
      <c r="A439">
        <v>4</v>
      </c>
      <c r="B439">
        <v>3</v>
      </c>
      <c r="C439">
        <v>3</v>
      </c>
      <c r="D439">
        <v>3981</v>
      </c>
      <c r="E439">
        <v>0</v>
      </c>
      <c r="F439">
        <v>0</v>
      </c>
      <c r="G439">
        <v>0</v>
      </c>
      <c r="H439">
        <v>1</v>
      </c>
      <c r="I439">
        <v>0</v>
      </c>
      <c r="J439">
        <v>0</v>
      </c>
      <c r="K439">
        <v>0</v>
      </c>
      <c r="L439">
        <v>1</v>
      </c>
      <c r="M439">
        <v>0</v>
      </c>
      <c r="N439">
        <v>1</v>
      </c>
      <c r="O439">
        <v>0</v>
      </c>
      <c r="P439">
        <v>0</v>
      </c>
      <c r="Q439">
        <v>1</v>
      </c>
      <c r="R439">
        <v>0</v>
      </c>
      <c r="S439">
        <v>0</v>
      </c>
      <c r="T439">
        <v>1</v>
      </c>
      <c r="U439">
        <v>0</v>
      </c>
      <c r="V439">
        <v>0</v>
      </c>
      <c r="W439">
        <v>0</v>
      </c>
      <c r="X439">
        <v>0</v>
      </c>
      <c r="Y439">
        <v>0</v>
      </c>
      <c r="Z439">
        <v>0</v>
      </c>
    </row>
    <row r="440" spans="1:26" x14ac:dyDescent="0.25">
      <c r="A440">
        <v>3</v>
      </c>
      <c r="B440">
        <v>3</v>
      </c>
      <c r="C440">
        <v>4</v>
      </c>
      <c r="D440">
        <v>1282</v>
      </c>
      <c r="E440">
        <v>4</v>
      </c>
      <c r="F440">
        <v>0</v>
      </c>
      <c r="G440">
        <v>1</v>
      </c>
      <c r="H440">
        <v>0</v>
      </c>
      <c r="I440">
        <v>0</v>
      </c>
      <c r="J440">
        <v>0</v>
      </c>
      <c r="K440">
        <v>0</v>
      </c>
      <c r="L440">
        <v>1</v>
      </c>
      <c r="M440">
        <v>0</v>
      </c>
      <c r="N440">
        <v>0</v>
      </c>
      <c r="O440">
        <v>0</v>
      </c>
      <c r="P440">
        <v>1</v>
      </c>
      <c r="Q440">
        <v>1</v>
      </c>
      <c r="R440">
        <v>0</v>
      </c>
      <c r="S440">
        <v>0</v>
      </c>
      <c r="T440">
        <v>0</v>
      </c>
      <c r="U440">
        <v>0</v>
      </c>
      <c r="V440">
        <v>0</v>
      </c>
      <c r="W440">
        <v>1</v>
      </c>
      <c r="X440">
        <v>0</v>
      </c>
      <c r="Y440">
        <v>0</v>
      </c>
      <c r="Z440">
        <v>0</v>
      </c>
    </row>
    <row r="441" spans="1:26" x14ac:dyDescent="0.25">
      <c r="A441">
        <v>3</v>
      </c>
      <c r="B441">
        <v>3</v>
      </c>
      <c r="C441">
        <v>3</v>
      </c>
      <c r="D441">
        <v>716</v>
      </c>
      <c r="E441">
        <v>0</v>
      </c>
      <c r="F441">
        <v>0</v>
      </c>
      <c r="G441">
        <v>1</v>
      </c>
      <c r="H441">
        <v>0</v>
      </c>
      <c r="I441">
        <v>0</v>
      </c>
      <c r="J441">
        <v>1</v>
      </c>
      <c r="K441">
        <v>0</v>
      </c>
      <c r="L441">
        <v>0</v>
      </c>
      <c r="M441">
        <v>1</v>
      </c>
      <c r="N441">
        <v>1</v>
      </c>
      <c r="O441">
        <v>0</v>
      </c>
      <c r="P441">
        <v>0</v>
      </c>
      <c r="Q441">
        <v>0</v>
      </c>
      <c r="R441">
        <v>0</v>
      </c>
      <c r="S441">
        <v>1</v>
      </c>
      <c r="T441">
        <v>0</v>
      </c>
      <c r="U441">
        <v>0</v>
      </c>
      <c r="V441">
        <v>0</v>
      </c>
      <c r="W441">
        <v>0</v>
      </c>
      <c r="X441">
        <v>0</v>
      </c>
      <c r="Y441">
        <v>0</v>
      </c>
      <c r="Z441">
        <v>1</v>
      </c>
    </row>
    <row r="442" spans="1:26" x14ac:dyDescent="0.25">
      <c r="A442">
        <v>2</v>
      </c>
      <c r="B442">
        <v>0</v>
      </c>
      <c r="C442">
        <v>4</v>
      </c>
      <c r="D442">
        <v>188</v>
      </c>
      <c r="E442">
        <v>1</v>
      </c>
      <c r="F442">
        <v>1</v>
      </c>
      <c r="G442">
        <v>0</v>
      </c>
      <c r="H442">
        <v>0</v>
      </c>
      <c r="I442">
        <v>0</v>
      </c>
      <c r="J442">
        <v>1</v>
      </c>
      <c r="K442">
        <v>0</v>
      </c>
      <c r="L442">
        <v>0</v>
      </c>
      <c r="M442">
        <v>0</v>
      </c>
      <c r="N442">
        <v>0</v>
      </c>
      <c r="O442">
        <v>1</v>
      </c>
      <c r="P442">
        <v>0</v>
      </c>
      <c r="Q442">
        <v>0</v>
      </c>
      <c r="R442">
        <v>0</v>
      </c>
      <c r="S442">
        <v>1</v>
      </c>
      <c r="T442">
        <v>0</v>
      </c>
      <c r="U442">
        <v>0</v>
      </c>
      <c r="V442">
        <v>1</v>
      </c>
      <c r="W442">
        <v>0</v>
      </c>
      <c r="X442">
        <v>0</v>
      </c>
      <c r="Y442">
        <v>0</v>
      </c>
      <c r="Z442">
        <v>0</v>
      </c>
    </row>
    <row r="443" spans="1:26" x14ac:dyDescent="0.25">
      <c r="A443">
        <v>2</v>
      </c>
      <c r="B443">
        <v>0</v>
      </c>
      <c r="C443">
        <v>5</v>
      </c>
      <c r="D443">
        <v>188</v>
      </c>
      <c r="E443">
        <v>0</v>
      </c>
      <c r="F443">
        <v>0</v>
      </c>
      <c r="G443">
        <v>1</v>
      </c>
      <c r="H443">
        <v>0</v>
      </c>
      <c r="I443">
        <v>0</v>
      </c>
      <c r="J443">
        <v>1</v>
      </c>
      <c r="K443">
        <v>0</v>
      </c>
      <c r="L443">
        <v>0</v>
      </c>
      <c r="M443">
        <v>0</v>
      </c>
      <c r="N443">
        <v>0</v>
      </c>
      <c r="O443">
        <v>1</v>
      </c>
      <c r="P443">
        <v>0</v>
      </c>
      <c r="Q443">
        <v>0</v>
      </c>
      <c r="R443">
        <v>0</v>
      </c>
      <c r="S443">
        <v>1</v>
      </c>
      <c r="T443">
        <v>0</v>
      </c>
      <c r="U443">
        <v>0</v>
      </c>
      <c r="V443">
        <v>0</v>
      </c>
      <c r="W443">
        <v>0</v>
      </c>
      <c r="X443">
        <v>0</v>
      </c>
      <c r="Y443">
        <v>0</v>
      </c>
      <c r="Z443">
        <v>1</v>
      </c>
    </row>
    <row r="444" spans="1:26" x14ac:dyDescent="0.25">
      <c r="A444">
        <v>1</v>
      </c>
      <c r="B444">
        <v>0</v>
      </c>
      <c r="C444">
        <v>5</v>
      </c>
      <c r="D444">
        <v>1282</v>
      </c>
      <c r="E444">
        <v>0</v>
      </c>
      <c r="F444">
        <v>1</v>
      </c>
      <c r="G444">
        <v>0</v>
      </c>
      <c r="H444">
        <v>0</v>
      </c>
      <c r="I444">
        <v>0</v>
      </c>
      <c r="J444">
        <v>0</v>
      </c>
      <c r="K444">
        <v>1</v>
      </c>
      <c r="L444">
        <v>0</v>
      </c>
      <c r="M444">
        <v>0</v>
      </c>
      <c r="N444">
        <v>0</v>
      </c>
      <c r="O444">
        <v>0</v>
      </c>
      <c r="P444">
        <v>1</v>
      </c>
      <c r="Q444">
        <v>0</v>
      </c>
      <c r="R444">
        <v>0</v>
      </c>
      <c r="S444">
        <v>1</v>
      </c>
      <c r="T444">
        <v>0</v>
      </c>
      <c r="U444">
        <v>0</v>
      </c>
      <c r="V444">
        <v>0</v>
      </c>
      <c r="W444">
        <v>0</v>
      </c>
      <c r="X444">
        <v>0</v>
      </c>
      <c r="Y444">
        <v>1</v>
      </c>
      <c r="Z444">
        <v>0</v>
      </c>
    </row>
    <row r="445" spans="1:26" x14ac:dyDescent="0.25">
      <c r="A445">
        <v>1</v>
      </c>
      <c r="B445">
        <v>0</v>
      </c>
      <c r="C445">
        <v>5</v>
      </c>
      <c r="D445">
        <v>4027</v>
      </c>
      <c r="E445">
        <v>0</v>
      </c>
      <c r="F445">
        <v>1</v>
      </c>
      <c r="G445">
        <v>0</v>
      </c>
      <c r="H445">
        <v>0</v>
      </c>
      <c r="I445">
        <v>0</v>
      </c>
      <c r="J445">
        <v>0</v>
      </c>
      <c r="K445">
        <v>0</v>
      </c>
      <c r="L445">
        <v>1</v>
      </c>
      <c r="M445">
        <v>0</v>
      </c>
      <c r="N445">
        <v>0</v>
      </c>
      <c r="O445">
        <v>0</v>
      </c>
      <c r="P445">
        <v>1</v>
      </c>
      <c r="Q445">
        <v>0</v>
      </c>
      <c r="R445">
        <v>0</v>
      </c>
      <c r="S445">
        <v>1</v>
      </c>
      <c r="T445">
        <v>0</v>
      </c>
      <c r="U445">
        <v>0</v>
      </c>
      <c r="V445">
        <v>0</v>
      </c>
      <c r="W445">
        <v>1</v>
      </c>
      <c r="X445">
        <v>0</v>
      </c>
      <c r="Y445">
        <v>0</v>
      </c>
      <c r="Z445">
        <v>0</v>
      </c>
    </row>
    <row r="446" spans="1:26" x14ac:dyDescent="0.25">
      <c r="A446">
        <v>1</v>
      </c>
      <c r="B446">
        <v>0</v>
      </c>
      <c r="C446">
        <v>1</v>
      </c>
      <c r="D446">
        <v>3003</v>
      </c>
      <c r="E446">
        <v>0</v>
      </c>
      <c r="F446">
        <v>0</v>
      </c>
      <c r="G446">
        <v>0</v>
      </c>
      <c r="H446">
        <v>0</v>
      </c>
      <c r="I446">
        <v>1</v>
      </c>
      <c r="J446">
        <v>1</v>
      </c>
      <c r="K446">
        <v>0</v>
      </c>
      <c r="L446">
        <v>0</v>
      </c>
      <c r="M446">
        <v>0</v>
      </c>
      <c r="N446">
        <v>0</v>
      </c>
      <c r="O446">
        <v>1</v>
      </c>
      <c r="P446">
        <v>0</v>
      </c>
      <c r="Q446">
        <v>1</v>
      </c>
      <c r="R446">
        <v>0</v>
      </c>
      <c r="S446">
        <v>0</v>
      </c>
      <c r="T446">
        <v>0</v>
      </c>
      <c r="U446">
        <v>0</v>
      </c>
      <c r="V446">
        <v>0</v>
      </c>
      <c r="W446">
        <v>0</v>
      </c>
      <c r="X446">
        <v>0</v>
      </c>
      <c r="Y446">
        <v>0</v>
      </c>
      <c r="Z446">
        <v>1</v>
      </c>
    </row>
    <row r="447" spans="1:26" x14ac:dyDescent="0.25">
      <c r="A447">
        <v>26</v>
      </c>
      <c r="B447">
        <v>8</v>
      </c>
      <c r="C447">
        <v>4</v>
      </c>
      <c r="D447">
        <v>1282</v>
      </c>
      <c r="E447">
        <v>6</v>
      </c>
      <c r="F447">
        <v>0</v>
      </c>
      <c r="G447">
        <v>1</v>
      </c>
      <c r="H447">
        <v>0</v>
      </c>
      <c r="I447">
        <v>0</v>
      </c>
      <c r="J447">
        <v>0</v>
      </c>
      <c r="K447">
        <v>1</v>
      </c>
      <c r="L447">
        <v>0</v>
      </c>
      <c r="M447">
        <v>0</v>
      </c>
      <c r="N447">
        <v>0</v>
      </c>
      <c r="O447">
        <v>0</v>
      </c>
      <c r="P447">
        <v>1</v>
      </c>
      <c r="Q447">
        <v>0</v>
      </c>
      <c r="R447">
        <v>0</v>
      </c>
      <c r="S447">
        <v>1</v>
      </c>
      <c r="T447">
        <v>0</v>
      </c>
      <c r="U447">
        <v>1</v>
      </c>
      <c r="V447">
        <v>0</v>
      </c>
      <c r="W447">
        <v>0</v>
      </c>
      <c r="X447">
        <v>0</v>
      </c>
      <c r="Y447">
        <v>0</v>
      </c>
      <c r="Z447">
        <v>0</v>
      </c>
    </row>
    <row r="448" spans="1:26" x14ac:dyDescent="0.25">
      <c r="A448">
        <v>9</v>
      </c>
      <c r="B448">
        <v>8</v>
      </c>
      <c r="C448">
        <v>5</v>
      </c>
      <c r="D448">
        <v>826</v>
      </c>
      <c r="E448">
        <v>6</v>
      </c>
      <c r="F448">
        <v>0</v>
      </c>
      <c r="G448">
        <v>1</v>
      </c>
      <c r="H448">
        <v>0</v>
      </c>
      <c r="I448">
        <v>0</v>
      </c>
      <c r="J448">
        <v>0</v>
      </c>
      <c r="K448">
        <v>0</v>
      </c>
      <c r="L448">
        <v>1</v>
      </c>
      <c r="M448">
        <v>0</v>
      </c>
      <c r="N448">
        <v>0</v>
      </c>
      <c r="O448">
        <v>1</v>
      </c>
      <c r="P448">
        <v>0</v>
      </c>
      <c r="Q448">
        <v>0</v>
      </c>
      <c r="R448">
        <v>0</v>
      </c>
      <c r="S448">
        <v>1</v>
      </c>
      <c r="T448">
        <v>0</v>
      </c>
      <c r="U448">
        <v>1</v>
      </c>
      <c r="V448">
        <v>0</v>
      </c>
      <c r="W448">
        <v>0</v>
      </c>
      <c r="X448">
        <v>0</v>
      </c>
      <c r="Y448">
        <v>0</v>
      </c>
      <c r="Z448">
        <v>0</v>
      </c>
    </row>
    <row r="449" spans="1:26" x14ac:dyDescent="0.25">
      <c r="A449">
        <v>13</v>
      </c>
      <c r="B449">
        <v>7</v>
      </c>
      <c r="C449">
        <v>5</v>
      </c>
      <c r="D449">
        <v>315</v>
      </c>
      <c r="E449">
        <v>4</v>
      </c>
      <c r="F449">
        <v>0</v>
      </c>
      <c r="G449">
        <v>0</v>
      </c>
      <c r="H449">
        <v>0</v>
      </c>
      <c r="I449">
        <v>1</v>
      </c>
      <c r="J449">
        <v>1</v>
      </c>
      <c r="K449">
        <v>0</v>
      </c>
      <c r="L449">
        <v>0</v>
      </c>
      <c r="M449">
        <v>0</v>
      </c>
      <c r="N449">
        <v>1</v>
      </c>
      <c r="O449">
        <v>0</v>
      </c>
      <c r="P449">
        <v>0</v>
      </c>
      <c r="Q449">
        <v>0</v>
      </c>
      <c r="R449">
        <v>0</v>
      </c>
      <c r="S449">
        <v>1</v>
      </c>
      <c r="T449">
        <v>0</v>
      </c>
      <c r="U449">
        <v>0</v>
      </c>
      <c r="V449">
        <v>0</v>
      </c>
      <c r="W449">
        <v>1</v>
      </c>
      <c r="X449">
        <v>0</v>
      </c>
      <c r="Y449">
        <v>0</v>
      </c>
      <c r="Z449">
        <v>0</v>
      </c>
    </row>
    <row r="450" spans="1:26" x14ac:dyDescent="0.25">
      <c r="A450">
        <v>12</v>
      </c>
      <c r="B450">
        <v>6</v>
      </c>
      <c r="C450">
        <v>5</v>
      </c>
      <c r="D450">
        <v>1467</v>
      </c>
      <c r="E450">
        <v>2</v>
      </c>
      <c r="F450">
        <v>1</v>
      </c>
      <c r="G450">
        <v>0</v>
      </c>
      <c r="H450">
        <v>0</v>
      </c>
      <c r="I450">
        <v>0</v>
      </c>
      <c r="J450">
        <v>1</v>
      </c>
      <c r="K450">
        <v>0</v>
      </c>
      <c r="L450">
        <v>0</v>
      </c>
      <c r="M450">
        <v>1</v>
      </c>
      <c r="N450">
        <v>0</v>
      </c>
      <c r="O450">
        <v>1</v>
      </c>
      <c r="P450">
        <v>0</v>
      </c>
      <c r="Q450">
        <v>0</v>
      </c>
      <c r="R450">
        <v>0</v>
      </c>
      <c r="S450">
        <v>1</v>
      </c>
      <c r="T450">
        <v>0</v>
      </c>
      <c r="U450">
        <v>0</v>
      </c>
      <c r="V450">
        <v>0</v>
      </c>
      <c r="W450">
        <v>1</v>
      </c>
      <c r="X450">
        <v>0</v>
      </c>
      <c r="Y450">
        <v>0</v>
      </c>
      <c r="Z450">
        <v>0</v>
      </c>
    </row>
    <row r="451" spans="1:26" x14ac:dyDescent="0.25">
      <c r="A451">
        <v>12</v>
      </c>
      <c r="B451">
        <v>5</v>
      </c>
      <c r="C451">
        <v>5</v>
      </c>
      <c r="D451">
        <v>2034</v>
      </c>
      <c r="E451">
        <v>5</v>
      </c>
      <c r="F451">
        <v>0</v>
      </c>
      <c r="G451">
        <v>0</v>
      </c>
      <c r="H451">
        <v>0</v>
      </c>
      <c r="I451">
        <v>1</v>
      </c>
      <c r="J451">
        <v>0</v>
      </c>
      <c r="K451">
        <v>0</v>
      </c>
      <c r="L451">
        <v>1</v>
      </c>
      <c r="M451">
        <v>0</v>
      </c>
      <c r="N451">
        <v>0</v>
      </c>
      <c r="O451">
        <v>0</v>
      </c>
      <c r="P451">
        <v>1</v>
      </c>
      <c r="Q451">
        <v>0</v>
      </c>
      <c r="R451">
        <v>0</v>
      </c>
      <c r="S451">
        <v>1</v>
      </c>
      <c r="T451">
        <v>1</v>
      </c>
      <c r="U451">
        <v>0</v>
      </c>
      <c r="V451">
        <v>0</v>
      </c>
      <c r="W451">
        <v>0</v>
      </c>
      <c r="X451">
        <v>0</v>
      </c>
      <c r="Y451">
        <v>0</v>
      </c>
      <c r="Z451">
        <v>0</v>
      </c>
    </row>
    <row r="452" spans="1:26" x14ac:dyDescent="0.25">
      <c r="A452">
        <v>12</v>
      </c>
      <c r="B452">
        <v>5</v>
      </c>
      <c r="C452">
        <v>5</v>
      </c>
      <c r="D452">
        <v>2959</v>
      </c>
      <c r="E452">
        <v>1</v>
      </c>
      <c r="F452">
        <v>0</v>
      </c>
      <c r="G452">
        <v>0</v>
      </c>
      <c r="H452">
        <v>1</v>
      </c>
      <c r="I452">
        <v>0</v>
      </c>
      <c r="J452">
        <v>0</v>
      </c>
      <c r="K452">
        <v>0</v>
      </c>
      <c r="L452">
        <v>1</v>
      </c>
      <c r="M452">
        <v>0</v>
      </c>
      <c r="N452">
        <v>0</v>
      </c>
      <c r="O452">
        <v>0</v>
      </c>
      <c r="P452">
        <v>1</v>
      </c>
      <c r="Q452">
        <v>0</v>
      </c>
      <c r="R452">
        <v>0</v>
      </c>
      <c r="S452">
        <v>1</v>
      </c>
      <c r="T452">
        <v>0</v>
      </c>
      <c r="U452">
        <v>1</v>
      </c>
      <c r="V452">
        <v>0</v>
      </c>
      <c r="W452">
        <v>0</v>
      </c>
      <c r="X452">
        <v>0</v>
      </c>
      <c r="Y452">
        <v>0</v>
      </c>
      <c r="Z452">
        <v>0</v>
      </c>
    </row>
    <row r="453" spans="1:26" x14ac:dyDescent="0.25">
      <c r="A453">
        <v>13</v>
      </c>
      <c r="B453">
        <v>4</v>
      </c>
      <c r="C453">
        <v>4</v>
      </c>
      <c r="D453">
        <v>188</v>
      </c>
      <c r="E453">
        <v>2</v>
      </c>
      <c r="F453">
        <v>1</v>
      </c>
      <c r="G453">
        <v>0</v>
      </c>
      <c r="H453">
        <v>0</v>
      </c>
      <c r="I453">
        <v>0</v>
      </c>
      <c r="J453">
        <v>0</v>
      </c>
      <c r="K453">
        <v>0</v>
      </c>
      <c r="L453">
        <v>1</v>
      </c>
      <c r="M453">
        <v>0</v>
      </c>
      <c r="N453">
        <v>0</v>
      </c>
      <c r="O453">
        <v>1</v>
      </c>
      <c r="P453">
        <v>0</v>
      </c>
      <c r="Q453">
        <v>0</v>
      </c>
      <c r="R453">
        <v>0</v>
      </c>
      <c r="S453">
        <v>1</v>
      </c>
      <c r="T453">
        <v>0</v>
      </c>
      <c r="U453">
        <v>0</v>
      </c>
      <c r="V453">
        <v>0</v>
      </c>
      <c r="W453">
        <v>0</v>
      </c>
      <c r="X453">
        <v>0</v>
      </c>
      <c r="Y453">
        <v>0</v>
      </c>
      <c r="Z453">
        <v>1</v>
      </c>
    </row>
    <row r="454" spans="1:26" x14ac:dyDescent="0.25">
      <c r="A454">
        <v>4</v>
      </c>
      <c r="B454">
        <v>4</v>
      </c>
      <c r="C454">
        <v>3</v>
      </c>
      <c r="D454">
        <v>1228</v>
      </c>
      <c r="E454">
        <v>0</v>
      </c>
      <c r="F454">
        <v>0</v>
      </c>
      <c r="G454">
        <v>0</v>
      </c>
      <c r="H454">
        <v>0</v>
      </c>
      <c r="I454">
        <v>1</v>
      </c>
      <c r="J454">
        <v>0</v>
      </c>
      <c r="K454">
        <v>1</v>
      </c>
      <c r="L454">
        <v>0</v>
      </c>
      <c r="M454">
        <v>0</v>
      </c>
      <c r="N454">
        <v>1</v>
      </c>
      <c r="O454">
        <v>0</v>
      </c>
      <c r="P454">
        <v>0</v>
      </c>
      <c r="Q454">
        <v>0</v>
      </c>
      <c r="R454">
        <v>0</v>
      </c>
      <c r="S454">
        <v>1</v>
      </c>
      <c r="T454">
        <v>0</v>
      </c>
      <c r="U454">
        <v>0</v>
      </c>
      <c r="V454">
        <v>0</v>
      </c>
      <c r="W454">
        <v>0</v>
      </c>
      <c r="X454">
        <v>0</v>
      </c>
      <c r="Y454">
        <v>0</v>
      </c>
      <c r="Z454">
        <v>1</v>
      </c>
    </row>
    <row r="455" spans="1:26" x14ac:dyDescent="0.25">
      <c r="A455">
        <v>4</v>
      </c>
      <c r="B455">
        <v>4</v>
      </c>
      <c r="C455">
        <v>4</v>
      </c>
      <c r="D455">
        <v>3933</v>
      </c>
      <c r="E455">
        <v>1</v>
      </c>
      <c r="F455">
        <v>1</v>
      </c>
      <c r="G455">
        <v>0</v>
      </c>
      <c r="H455">
        <v>0</v>
      </c>
      <c r="I455">
        <v>0</v>
      </c>
      <c r="J455">
        <v>1</v>
      </c>
      <c r="K455">
        <v>0</v>
      </c>
      <c r="L455">
        <v>0</v>
      </c>
      <c r="M455">
        <v>0</v>
      </c>
      <c r="N455">
        <v>0</v>
      </c>
      <c r="O455">
        <v>0</v>
      </c>
      <c r="P455">
        <v>1</v>
      </c>
      <c r="Q455">
        <v>1</v>
      </c>
      <c r="R455">
        <v>0</v>
      </c>
      <c r="S455">
        <v>0</v>
      </c>
      <c r="T455">
        <v>0</v>
      </c>
      <c r="U455">
        <v>1</v>
      </c>
      <c r="V455">
        <v>0</v>
      </c>
      <c r="W455">
        <v>0</v>
      </c>
      <c r="X455">
        <v>0</v>
      </c>
      <c r="Y455">
        <v>0</v>
      </c>
      <c r="Z455">
        <v>0</v>
      </c>
    </row>
    <row r="456" spans="1:26" x14ac:dyDescent="0.25">
      <c r="A456">
        <v>10</v>
      </c>
      <c r="B456">
        <v>3</v>
      </c>
      <c r="C456">
        <v>5</v>
      </c>
      <c r="D456">
        <v>1228</v>
      </c>
      <c r="E456">
        <v>4</v>
      </c>
      <c r="F456">
        <v>1</v>
      </c>
      <c r="G456">
        <v>0</v>
      </c>
      <c r="H456">
        <v>0</v>
      </c>
      <c r="I456">
        <v>0</v>
      </c>
      <c r="J456">
        <v>1</v>
      </c>
      <c r="K456">
        <v>0</v>
      </c>
      <c r="L456">
        <v>0</v>
      </c>
      <c r="M456">
        <v>0</v>
      </c>
      <c r="N456">
        <v>1</v>
      </c>
      <c r="O456">
        <v>0</v>
      </c>
      <c r="P456">
        <v>0</v>
      </c>
      <c r="Q456">
        <v>0</v>
      </c>
      <c r="R456">
        <v>0</v>
      </c>
      <c r="S456">
        <v>1</v>
      </c>
      <c r="T456">
        <v>0</v>
      </c>
      <c r="U456">
        <v>0</v>
      </c>
      <c r="V456">
        <v>0</v>
      </c>
      <c r="W456">
        <v>0</v>
      </c>
      <c r="X456">
        <v>0</v>
      </c>
      <c r="Y456">
        <v>1</v>
      </c>
      <c r="Z456">
        <v>0</v>
      </c>
    </row>
    <row r="457" spans="1:26" x14ac:dyDescent="0.25">
      <c r="A457">
        <v>9</v>
      </c>
      <c r="B457">
        <v>3</v>
      </c>
      <c r="C457">
        <v>4</v>
      </c>
      <c r="D457">
        <v>3773</v>
      </c>
      <c r="E457">
        <v>2</v>
      </c>
      <c r="F457">
        <v>0</v>
      </c>
      <c r="G457">
        <v>0</v>
      </c>
      <c r="H457">
        <v>0</v>
      </c>
      <c r="I457">
        <v>1</v>
      </c>
      <c r="J457">
        <v>0</v>
      </c>
      <c r="K457">
        <v>1</v>
      </c>
      <c r="L457">
        <v>0</v>
      </c>
      <c r="M457">
        <v>0</v>
      </c>
      <c r="N457">
        <v>1</v>
      </c>
      <c r="O457">
        <v>0</v>
      </c>
      <c r="P457">
        <v>0</v>
      </c>
      <c r="Q457">
        <v>0</v>
      </c>
      <c r="R457">
        <v>0</v>
      </c>
      <c r="S457">
        <v>1</v>
      </c>
      <c r="T457">
        <v>0</v>
      </c>
      <c r="U457">
        <v>0</v>
      </c>
      <c r="V457">
        <v>1</v>
      </c>
      <c r="W457">
        <v>0</v>
      </c>
      <c r="X457">
        <v>0</v>
      </c>
      <c r="Y457">
        <v>0</v>
      </c>
      <c r="Z457">
        <v>0</v>
      </c>
    </row>
    <row r="458" spans="1:26" x14ac:dyDescent="0.25">
      <c r="A458">
        <v>4</v>
      </c>
      <c r="B458">
        <v>3</v>
      </c>
      <c r="C458">
        <v>5</v>
      </c>
      <c r="D458">
        <v>2884</v>
      </c>
      <c r="E458">
        <v>7</v>
      </c>
      <c r="F458">
        <v>0</v>
      </c>
      <c r="G458">
        <v>0</v>
      </c>
      <c r="H458">
        <v>0</v>
      </c>
      <c r="I458">
        <v>1</v>
      </c>
      <c r="J458">
        <v>0</v>
      </c>
      <c r="K458">
        <v>0</v>
      </c>
      <c r="L458">
        <v>1</v>
      </c>
      <c r="M458">
        <v>1</v>
      </c>
      <c r="N458">
        <v>0</v>
      </c>
      <c r="O458">
        <v>1</v>
      </c>
      <c r="P458">
        <v>0</v>
      </c>
      <c r="Q458">
        <v>1</v>
      </c>
      <c r="R458">
        <v>0</v>
      </c>
      <c r="S458">
        <v>0</v>
      </c>
      <c r="T458">
        <v>1</v>
      </c>
      <c r="U458">
        <v>0</v>
      </c>
      <c r="V458">
        <v>0</v>
      </c>
      <c r="W458">
        <v>0</v>
      </c>
      <c r="X458">
        <v>0</v>
      </c>
      <c r="Y458">
        <v>0</v>
      </c>
      <c r="Z458">
        <v>0</v>
      </c>
    </row>
    <row r="459" spans="1:26" x14ac:dyDescent="0.25">
      <c r="A459">
        <v>2</v>
      </c>
      <c r="B459">
        <v>1</v>
      </c>
      <c r="C459">
        <v>3</v>
      </c>
      <c r="D459">
        <v>315</v>
      </c>
      <c r="E459">
        <v>3</v>
      </c>
      <c r="F459">
        <v>0</v>
      </c>
      <c r="G459">
        <v>0</v>
      </c>
      <c r="H459">
        <v>1</v>
      </c>
      <c r="I459">
        <v>0</v>
      </c>
      <c r="J459">
        <v>0</v>
      </c>
      <c r="K459">
        <v>1</v>
      </c>
      <c r="L459">
        <v>0</v>
      </c>
      <c r="M459">
        <v>0</v>
      </c>
      <c r="N459">
        <v>1</v>
      </c>
      <c r="O459">
        <v>0</v>
      </c>
      <c r="P459">
        <v>0</v>
      </c>
      <c r="Q459">
        <v>0</v>
      </c>
      <c r="R459">
        <v>0</v>
      </c>
      <c r="S459">
        <v>1</v>
      </c>
      <c r="T459">
        <v>0</v>
      </c>
      <c r="U459">
        <v>0</v>
      </c>
      <c r="V459">
        <v>0</v>
      </c>
      <c r="W459">
        <v>0</v>
      </c>
      <c r="X459">
        <v>0</v>
      </c>
      <c r="Y459">
        <v>1</v>
      </c>
      <c r="Z459">
        <v>0</v>
      </c>
    </row>
    <row r="460" spans="1:26" x14ac:dyDescent="0.25">
      <c r="A460">
        <v>3</v>
      </c>
      <c r="B460">
        <v>0</v>
      </c>
      <c r="C460">
        <v>5</v>
      </c>
      <c r="D460">
        <v>188</v>
      </c>
      <c r="E460">
        <v>1</v>
      </c>
      <c r="F460">
        <v>0</v>
      </c>
      <c r="G460">
        <v>0</v>
      </c>
      <c r="H460">
        <v>1</v>
      </c>
      <c r="I460">
        <v>0</v>
      </c>
      <c r="J460">
        <v>0</v>
      </c>
      <c r="K460">
        <v>0</v>
      </c>
      <c r="L460">
        <v>1</v>
      </c>
      <c r="M460">
        <v>0</v>
      </c>
      <c r="N460">
        <v>0</v>
      </c>
      <c r="O460">
        <v>1</v>
      </c>
      <c r="P460">
        <v>0</v>
      </c>
      <c r="Q460">
        <v>0</v>
      </c>
      <c r="R460">
        <v>0</v>
      </c>
      <c r="S460">
        <v>1</v>
      </c>
      <c r="T460">
        <v>0</v>
      </c>
      <c r="U460">
        <v>0</v>
      </c>
      <c r="V460">
        <v>0</v>
      </c>
      <c r="W460">
        <v>0</v>
      </c>
      <c r="X460">
        <v>0</v>
      </c>
      <c r="Y460">
        <v>1</v>
      </c>
      <c r="Z460">
        <v>0</v>
      </c>
    </row>
    <row r="461" spans="1:26" x14ac:dyDescent="0.25">
      <c r="A461">
        <v>2</v>
      </c>
      <c r="B461">
        <v>0</v>
      </c>
      <c r="C461">
        <v>5</v>
      </c>
      <c r="D461">
        <v>188</v>
      </c>
      <c r="E461">
        <v>0</v>
      </c>
      <c r="F461">
        <v>0</v>
      </c>
      <c r="G461">
        <v>1</v>
      </c>
      <c r="H461">
        <v>0</v>
      </c>
      <c r="I461">
        <v>0</v>
      </c>
      <c r="J461">
        <v>0</v>
      </c>
      <c r="K461">
        <v>0</v>
      </c>
      <c r="L461">
        <v>1</v>
      </c>
      <c r="M461">
        <v>0</v>
      </c>
      <c r="N461">
        <v>0</v>
      </c>
      <c r="O461">
        <v>1</v>
      </c>
      <c r="P461">
        <v>0</v>
      </c>
      <c r="Q461">
        <v>0</v>
      </c>
      <c r="R461">
        <v>0</v>
      </c>
      <c r="S461">
        <v>1</v>
      </c>
      <c r="T461">
        <v>0</v>
      </c>
      <c r="U461">
        <v>0</v>
      </c>
      <c r="V461">
        <v>0</v>
      </c>
      <c r="W461">
        <v>0</v>
      </c>
      <c r="X461">
        <v>0</v>
      </c>
      <c r="Y461">
        <v>0</v>
      </c>
      <c r="Z461">
        <v>1</v>
      </c>
    </row>
    <row r="462" spans="1:26" x14ac:dyDescent="0.25">
      <c r="A462">
        <v>1</v>
      </c>
      <c r="B462">
        <v>0</v>
      </c>
      <c r="C462">
        <v>5</v>
      </c>
      <c r="D462">
        <v>1282</v>
      </c>
      <c r="E462">
        <v>0</v>
      </c>
      <c r="F462">
        <v>0</v>
      </c>
      <c r="G462">
        <v>0</v>
      </c>
      <c r="H462">
        <v>1</v>
      </c>
      <c r="I462">
        <v>0</v>
      </c>
      <c r="J462">
        <v>0</v>
      </c>
      <c r="K462">
        <v>0</v>
      </c>
      <c r="L462">
        <v>1</v>
      </c>
      <c r="M462">
        <v>0</v>
      </c>
      <c r="N462">
        <v>0</v>
      </c>
      <c r="O462">
        <v>0</v>
      </c>
      <c r="P462">
        <v>1</v>
      </c>
      <c r="Q462">
        <v>0</v>
      </c>
      <c r="R462">
        <v>0</v>
      </c>
      <c r="S462">
        <v>1</v>
      </c>
      <c r="T462">
        <v>0</v>
      </c>
      <c r="U462">
        <v>0</v>
      </c>
      <c r="V462">
        <v>0</v>
      </c>
      <c r="W462">
        <v>0</v>
      </c>
      <c r="X462">
        <v>0</v>
      </c>
      <c r="Y462">
        <v>0</v>
      </c>
      <c r="Z462">
        <v>1</v>
      </c>
    </row>
    <row r="463" spans="1:26" x14ac:dyDescent="0.25">
      <c r="A463">
        <v>1</v>
      </c>
      <c r="B463">
        <v>0</v>
      </c>
      <c r="C463">
        <v>2</v>
      </c>
      <c r="D463">
        <v>1282</v>
      </c>
      <c r="E463">
        <v>0</v>
      </c>
      <c r="F463">
        <v>0</v>
      </c>
      <c r="G463">
        <v>0</v>
      </c>
      <c r="H463">
        <v>0</v>
      </c>
      <c r="I463">
        <v>1</v>
      </c>
      <c r="J463">
        <v>0</v>
      </c>
      <c r="K463">
        <v>0</v>
      </c>
      <c r="L463">
        <v>1</v>
      </c>
      <c r="M463">
        <v>0</v>
      </c>
      <c r="N463">
        <v>0</v>
      </c>
      <c r="O463">
        <v>0</v>
      </c>
      <c r="P463">
        <v>1</v>
      </c>
      <c r="Q463">
        <v>0</v>
      </c>
      <c r="R463">
        <v>1</v>
      </c>
      <c r="S463">
        <v>0</v>
      </c>
      <c r="T463">
        <v>0</v>
      </c>
      <c r="U463">
        <v>0</v>
      </c>
      <c r="V463">
        <v>0</v>
      </c>
      <c r="W463">
        <v>0</v>
      </c>
      <c r="X463">
        <v>0</v>
      </c>
      <c r="Y463">
        <v>0</v>
      </c>
      <c r="Z463">
        <v>1</v>
      </c>
    </row>
    <row r="464" spans="1:26" x14ac:dyDescent="0.25">
      <c r="A464">
        <v>8</v>
      </c>
      <c r="B464">
        <v>4</v>
      </c>
      <c r="C464">
        <v>4</v>
      </c>
      <c r="D464">
        <v>1467</v>
      </c>
      <c r="E464">
        <v>1</v>
      </c>
      <c r="F464">
        <v>0</v>
      </c>
      <c r="G464">
        <v>0</v>
      </c>
      <c r="H464">
        <v>1</v>
      </c>
      <c r="I464">
        <v>0</v>
      </c>
      <c r="J464">
        <v>0</v>
      </c>
      <c r="K464">
        <v>0</v>
      </c>
      <c r="L464">
        <v>1</v>
      </c>
      <c r="M464">
        <v>1</v>
      </c>
      <c r="N464">
        <v>0</v>
      </c>
      <c r="O464">
        <v>1</v>
      </c>
      <c r="P464">
        <v>0</v>
      </c>
      <c r="Q464">
        <v>1</v>
      </c>
      <c r="R464">
        <v>0</v>
      </c>
      <c r="S464">
        <v>0</v>
      </c>
      <c r="T464">
        <v>0</v>
      </c>
      <c r="U464">
        <v>0</v>
      </c>
      <c r="V464">
        <v>0</v>
      </c>
      <c r="W464">
        <v>0</v>
      </c>
      <c r="X464">
        <v>0</v>
      </c>
      <c r="Y464">
        <v>1</v>
      </c>
      <c r="Z464">
        <v>0</v>
      </c>
    </row>
    <row r="465" spans="1:26" x14ac:dyDescent="0.25">
      <c r="A465">
        <v>4</v>
      </c>
      <c r="B465">
        <v>4</v>
      </c>
      <c r="C465">
        <v>5</v>
      </c>
      <c r="D465">
        <v>188</v>
      </c>
      <c r="E465">
        <v>2</v>
      </c>
      <c r="F465">
        <v>1</v>
      </c>
      <c r="G465">
        <v>0</v>
      </c>
      <c r="H465">
        <v>0</v>
      </c>
      <c r="I465">
        <v>0</v>
      </c>
      <c r="J465">
        <v>0</v>
      </c>
      <c r="K465">
        <v>0</v>
      </c>
      <c r="L465">
        <v>1</v>
      </c>
      <c r="M465">
        <v>0</v>
      </c>
      <c r="N465">
        <v>0</v>
      </c>
      <c r="O465">
        <v>1</v>
      </c>
      <c r="P465">
        <v>0</v>
      </c>
      <c r="Q465">
        <v>0</v>
      </c>
      <c r="R465">
        <v>0</v>
      </c>
      <c r="S465">
        <v>1</v>
      </c>
      <c r="T465">
        <v>0</v>
      </c>
      <c r="U465">
        <v>1</v>
      </c>
      <c r="V465">
        <v>0</v>
      </c>
      <c r="W465">
        <v>0</v>
      </c>
      <c r="X465">
        <v>0</v>
      </c>
      <c r="Y465">
        <v>0</v>
      </c>
      <c r="Z465">
        <v>0</v>
      </c>
    </row>
    <row r="466" spans="1:26" x14ac:dyDescent="0.25">
      <c r="A466">
        <v>3</v>
      </c>
      <c r="B466">
        <v>3</v>
      </c>
      <c r="C466">
        <v>4</v>
      </c>
      <c r="D466">
        <v>2959</v>
      </c>
      <c r="E466">
        <v>7</v>
      </c>
      <c r="F466">
        <v>0</v>
      </c>
      <c r="G466">
        <v>1</v>
      </c>
      <c r="H466">
        <v>0</v>
      </c>
      <c r="I466">
        <v>0</v>
      </c>
      <c r="J466">
        <v>1</v>
      </c>
      <c r="K466">
        <v>0</v>
      </c>
      <c r="L466">
        <v>0</v>
      </c>
      <c r="M466">
        <v>0</v>
      </c>
      <c r="N466">
        <v>0</v>
      </c>
      <c r="O466">
        <v>0</v>
      </c>
      <c r="P466">
        <v>1</v>
      </c>
      <c r="Q466">
        <v>1</v>
      </c>
      <c r="R466">
        <v>0</v>
      </c>
      <c r="S466">
        <v>0</v>
      </c>
      <c r="T466">
        <v>0</v>
      </c>
      <c r="U466">
        <v>0</v>
      </c>
      <c r="V466">
        <v>0</v>
      </c>
      <c r="W466">
        <v>0</v>
      </c>
      <c r="X466">
        <v>0</v>
      </c>
      <c r="Y466">
        <v>1</v>
      </c>
      <c r="Z466">
        <v>0</v>
      </c>
    </row>
    <row r="467" spans="1:26" x14ac:dyDescent="0.25">
      <c r="A467">
        <v>3</v>
      </c>
      <c r="B467">
        <v>3</v>
      </c>
      <c r="C467">
        <v>3</v>
      </c>
      <c r="D467">
        <v>3773</v>
      </c>
      <c r="E467">
        <v>1</v>
      </c>
      <c r="F467">
        <v>0</v>
      </c>
      <c r="G467">
        <v>1</v>
      </c>
      <c r="H467">
        <v>0</v>
      </c>
      <c r="I467">
        <v>0</v>
      </c>
      <c r="J467">
        <v>1</v>
      </c>
      <c r="K467">
        <v>0</v>
      </c>
      <c r="L467">
        <v>0</v>
      </c>
      <c r="M467">
        <v>0</v>
      </c>
      <c r="N467">
        <v>1</v>
      </c>
      <c r="O467">
        <v>0</v>
      </c>
      <c r="P467">
        <v>0</v>
      </c>
      <c r="Q467">
        <v>0</v>
      </c>
      <c r="R467">
        <v>1</v>
      </c>
      <c r="S467">
        <v>0</v>
      </c>
      <c r="T467">
        <v>0</v>
      </c>
      <c r="U467">
        <v>0</v>
      </c>
      <c r="V467">
        <v>0</v>
      </c>
      <c r="W467">
        <v>1</v>
      </c>
      <c r="X467">
        <v>0</v>
      </c>
      <c r="Y467">
        <v>0</v>
      </c>
      <c r="Z467">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2F8CA-92B5-460C-9211-DDB4A27E6FDE}">
  <sheetPr codeName="Sheet7"/>
  <dimension ref="B1:CV502"/>
  <sheetViews>
    <sheetView showGridLines="0" topLeftCell="A408" workbookViewId="0">
      <selection activeCell="H421" sqref="H421"/>
    </sheetView>
  </sheetViews>
  <sheetFormatPr defaultRowHeight="15" x14ac:dyDescent="0.25"/>
  <cols>
    <col min="3" max="3" width="11.5703125" customWidth="1"/>
    <col min="4" max="4" width="13.28515625" customWidth="1"/>
    <col min="5" max="5" width="18.42578125" customWidth="1"/>
    <col min="7" max="7" width="11.85546875" customWidth="1"/>
    <col min="8" max="8" width="16" customWidth="1"/>
    <col min="9" max="9" width="23.5703125" customWidth="1"/>
    <col min="10" max="10" width="23.42578125" customWidth="1"/>
    <col min="11" max="11" width="24.42578125" customWidth="1"/>
    <col min="12" max="12" width="23.85546875" customWidth="1"/>
    <col min="13" max="13" width="20.42578125" customWidth="1"/>
    <col min="14" max="14" width="22.7109375" customWidth="1"/>
    <col min="15" max="15" width="22.42578125" customWidth="1"/>
    <col min="16" max="16" width="18.140625" customWidth="1"/>
    <col min="17" max="18" width="20.7109375" customWidth="1"/>
    <col min="19" max="19" width="14" customWidth="1"/>
    <col min="20" max="20" width="21.85546875" customWidth="1"/>
    <col min="21" max="21" width="23" customWidth="1"/>
    <col min="22" max="22" width="29.5703125" customWidth="1"/>
    <col min="23" max="23" width="24.5703125" customWidth="1"/>
    <col min="24" max="24" width="26.42578125" customWidth="1"/>
    <col min="25" max="25" width="26.85546875" customWidth="1"/>
    <col min="26" max="26" width="25.5703125" customWidth="1"/>
    <col min="27" max="27" width="27.140625" customWidth="1"/>
    <col min="28" max="28" width="26.42578125" customWidth="1"/>
    <col min="29" max="29" width="29.7109375" customWidth="1"/>
  </cols>
  <sheetData>
    <row r="1" spans="2:100" ht="18.75" x14ac:dyDescent="0.3">
      <c r="B1" s="6" t="s">
        <v>146</v>
      </c>
      <c r="N1" t="s">
        <v>787</v>
      </c>
      <c r="CV1" s="12" t="s">
        <v>788</v>
      </c>
    </row>
    <row r="3" spans="2:100" ht="15.75" x14ac:dyDescent="0.25">
      <c r="B3" s="13" t="s">
        <v>147</v>
      </c>
      <c r="C3" s="14"/>
      <c r="D3" s="14"/>
      <c r="E3" s="14"/>
      <c r="F3" s="14"/>
      <c r="G3" s="15"/>
      <c r="J3" s="13" t="s">
        <v>148</v>
      </c>
      <c r="K3" s="14"/>
      <c r="L3" s="14"/>
      <c r="M3" s="15"/>
    </row>
    <row r="4" spans="2:100" x14ac:dyDescent="0.25">
      <c r="B4" s="25" t="s">
        <v>153</v>
      </c>
      <c r="C4" s="21"/>
      <c r="D4" s="25" t="s">
        <v>170</v>
      </c>
      <c r="E4" s="21"/>
      <c r="F4" s="25" t="s">
        <v>175</v>
      </c>
      <c r="G4" s="21"/>
      <c r="J4" s="11" t="s">
        <v>149</v>
      </c>
      <c r="K4" s="11" t="s">
        <v>150</v>
      </c>
      <c r="L4" s="11" t="s">
        <v>151</v>
      </c>
      <c r="M4" s="11" t="s">
        <v>152</v>
      </c>
    </row>
    <row r="5" spans="2:100" x14ac:dyDescent="0.25">
      <c r="J5" s="10">
        <v>31</v>
      </c>
      <c r="K5" s="10">
        <v>7</v>
      </c>
      <c r="L5" s="10">
        <v>32</v>
      </c>
      <c r="M5" s="10">
        <v>70</v>
      </c>
    </row>
    <row r="10" spans="2:100" ht="18.75" x14ac:dyDescent="0.3">
      <c r="B10" s="7" t="s">
        <v>153</v>
      </c>
    </row>
    <row r="12" spans="2:100" ht="15.75" x14ac:dyDescent="0.25">
      <c r="C12" s="13" t="s">
        <v>154</v>
      </c>
      <c r="D12" s="14"/>
      <c r="E12" s="14"/>
      <c r="F12" s="14"/>
      <c r="G12" s="14"/>
      <c r="H12" s="14"/>
      <c r="I12" s="15"/>
    </row>
    <row r="13" spans="2:100" x14ac:dyDescent="0.25">
      <c r="C13" s="16" t="s">
        <v>155</v>
      </c>
      <c r="D13" s="17"/>
      <c r="E13" s="18"/>
      <c r="F13" s="19" t="s">
        <v>156</v>
      </c>
      <c r="G13" s="20"/>
      <c r="H13" s="20"/>
      <c r="I13" s="21"/>
    </row>
    <row r="14" spans="2:100" x14ac:dyDescent="0.25">
      <c r="C14" s="16" t="s">
        <v>157</v>
      </c>
      <c r="D14" s="17"/>
      <c r="E14" s="18"/>
      <c r="F14" s="19" t="s">
        <v>643</v>
      </c>
      <c r="G14" s="20"/>
      <c r="H14" s="20"/>
      <c r="I14" s="21"/>
    </row>
    <row r="15" spans="2:100" x14ac:dyDescent="0.25">
      <c r="C15" s="16" t="s">
        <v>158</v>
      </c>
      <c r="D15" s="17"/>
      <c r="E15" s="18"/>
      <c r="F15" s="19" t="s">
        <v>159</v>
      </c>
      <c r="G15" s="20"/>
      <c r="H15" s="20"/>
      <c r="I15" s="21"/>
    </row>
    <row r="16" spans="2:100" x14ac:dyDescent="0.25">
      <c r="C16" s="16" t="s">
        <v>160</v>
      </c>
      <c r="D16" s="17"/>
      <c r="E16" s="18"/>
      <c r="F16" s="22">
        <v>466</v>
      </c>
      <c r="G16" s="23"/>
      <c r="H16" s="23"/>
      <c r="I16" s="24"/>
    </row>
    <row r="18" spans="2:31" ht="15.75" x14ac:dyDescent="0.25">
      <c r="C18" s="13" t="s">
        <v>161</v>
      </c>
      <c r="D18" s="14"/>
      <c r="E18" s="14"/>
      <c r="F18" s="14"/>
      <c r="G18" s="14"/>
      <c r="H18" s="14"/>
      <c r="I18" s="14"/>
      <c r="J18" s="14"/>
      <c r="K18" s="14"/>
      <c r="L18" s="14"/>
      <c r="M18" s="14"/>
      <c r="N18" s="14"/>
      <c r="O18" s="14"/>
      <c r="P18" s="14"/>
      <c r="Q18" s="14"/>
      <c r="R18" s="14"/>
      <c r="S18" s="14"/>
      <c r="T18" s="14"/>
      <c r="U18" s="14"/>
      <c r="V18" s="14"/>
      <c r="W18" s="14"/>
      <c r="X18" s="14"/>
      <c r="Y18" s="14"/>
      <c r="Z18" s="14"/>
      <c r="AA18" s="14"/>
      <c r="AB18" s="14"/>
      <c r="AC18" s="14"/>
      <c r="AD18" s="14"/>
      <c r="AE18" s="15"/>
    </row>
    <row r="19" spans="2:31" x14ac:dyDescent="0.25">
      <c r="C19" s="16" t="s">
        <v>162</v>
      </c>
      <c r="D19" s="17"/>
      <c r="E19" s="18"/>
      <c r="F19" s="22">
        <v>26</v>
      </c>
      <c r="G19" s="23"/>
      <c r="H19" s="23"/>
      <c r="I19" s="23"/>
      <c r="J19" s="23"/>
      <c r="K19" s="23"/>
      <c r="L19" s="23"/>
      <c r="M19" s="23"/>
      <c r="N19" s="23"/>
      <c r="O19" s="23"/>
      <c r="P19" s="23"/>
      <c r="Q19" s="23"/>
      <c r="R19" s="23"/>
      <c r="S19" s="23"/>
      <c r="T19" s="23"/>
      <c r="U19" s="23"/>
      <c r="V19" s="23"/>
      <c r="W19" s="23"/>
      <c r="X19" s="23"/>
      <c r="Y19" s="23"/>
      <c r="Z19" s="23"/>
      <c r="AA19" s="23"/>
      <c r="AB19" s="23"/>
      <c r="AC19" s="23"/>
      <c r="AD19" s="23"/>
      <c r="AE19" s="24"/>
    </row>
    <row r="20" spans="2:31" x14ac:dyDescent="0.25">
      <c r="C20" s="16" t="s">
        <v>163</v>
      </c>
      <c r="D20" s="17"/>
      <c r="E20" s="18"/>
      <c r="F20" s="10" t="s">
        <v>1</v>
      </c>
      <c r="G20" s="10" t="s">
        <v>2</v>
      </c>
      <c r="H20" s="10" t="s">
        <v>4</v>
      </c>
      <c r="I20" s="10" t="s">
        <v>15</v>
      </c>
      <c r="J20" s="10" t="s">
        <v>17</v>
      </c>
      <c r="K20" s="10" t="s">
        <v>125</v>
      </c>
      <c r="L20" s="10" t="s">
        <v>126</v>
      </c>
      <c r="M20" s="10" t="s">
        <v>127</v>
      </c>
      <c r="N20" s="10" t="s">
        <v>128</v>
      </c>
      <c r="O20" s="10" t="s">
        <v>137</v>
      </c>
      <c r="P20" s="10" t="s">
        <v>138</v>
      </c>
      <c r="Q20" s="10" t="s">
        <v>139</v>
      </c>
      <c r="R20" s="10" t="s">
        <v>129</v>
      </c>
      <c r="S20" s="10" t="s">
        <v>140</v>
      </c>
      <c r="T20" s="10" t="s">
        <v>141</v>
      </c>
      <c r="U20" s="10" t="s">
        <v>142</v>
      </c>
      <c r="V20" s="10" t="s">
        <v>143</v>
      </c>
      <c r="W20" s="10" t="s">
        <v>145</v>
      </c>
      <c r="X20" s="10" t="s">
        <v>144</v>
      </c>
      <c r="Y20" s="10" t="s">
        <v>130</v>
      </c>
      <c r="Z20" s="10" t="s">
        <v>131</v>
      </c>
      <c r="AA20" s="10" t="s">
        <v>132</v>
      </c>
      <c r="AB20" s="10" t="s">
        <v>133</v>
      </c>
      <c r="AC20" s="10" t="s">
        <v>134</v>
      </c>
      <c r="AD20" s="10" t="s">
        <v>135</v>
      </c>
      <c r="AE20" s="10" t="s">
        <v>136</v>
      </c>
    </row>
    <row r="22" spans="2:31" ht="15.75" x14ac:dyDescent="0.25">
      <c r="C22" s="13" t="s">
        <v>164</v>
      </c>
      <c r="D22" s="14"/>
      <c r="E22" s="14"/>
      <c r="F22" s="14"/>
      <c r="G22" s="14"/>
      <c r="H22" s="14"/>
      <c r="I22" s="15"/>
    </row>
    <row r="23" spans="2:31" x14ac:dyDescent="0.25">
      <c r="C23" s="16" t="s">
        <v>165</v>
      </c>
      <c r="D23" s="17"/>
      <c r="E23" s="18"/>
      <c r="F23" s="22" t="s">
        <v>166</v>
      </c>
      <c r="G23" s="23"/>
      <c r="H23" s="23"/>
      <c r="I23" s="24"/>
    </row>
    <row r="24" spans="2:31" x14ac:dyDescent="0.25">
      <c r="C24" s="16" t="s">
        <v>167</v>
      </c>
      <c r="D24" s="17"/>
      <c r="E24" s="18"/>
      <c r="F24" s="22">
        <v>12345</v>
      </c>
      <c r="G24" s="23"/>
      <c r="H24" s="23"/>
      <c r="I24" s="24"/>
    </row>
    <row r="25" spans="2:31" x14ac:dyDescent="0.25">
      <c r="C25" s="16" t="s">
        <v>168</v>
      </c>
      <c r="D25" s="17"/>
      <c r="E25" s="18"/>
      <c r="F25" s="22">
        <v>0.8</v>
      </c>
      <c r="G25" s="23"/>
      <c r="H25" s="23"/>
      <c r="I25" s="24"/>
    </row>
    <row r="26" spans="2:31" x14ac:dyDescent="0.25">
      <c r="C26" s="16" t="s">
        <v>169</v>
      </c>
      <c r="D26" s="17"/>
      <c r="E26" s="18"/>
      <c r="F26" s="22">
        <v>0.2</v>
      </c>
      <c r="G26" s="23"/>
      <c r="H26" s="23"/>
      <c r="I26" s="24"/>
    </row>
    <row r="28" spans="2:31" ht="18.75" x14ac:dyDescent="0.3">
      <c r="B28" s="7" t="s">
        <v>170</v>
      </c>
    </row>
    <row r="30" spans="2:31" x14ac:dyDescent="0.25">
      <c r="C30" s="9" t="s">
        <v>171</v>
      </c>
      <c r="D30" s="5" t="s">
        <v>172</v>
      </c>
    </row>
    <row r="31" spans="2:31" x14ac:dyDescent="0.25">
      <c r="C31" s="9" t="s">
        <v>173</v>
      </c>
      <c r="D31" s="8">
        <v>373</v>
      </c>
    </row>
    <row r="32" spans="2:31" x14ac:dyDescent="0.25">
      <c r="C32" s="9" t="s">
        <v>174</v>
      </c>
      <c r="D32" s="8">
        <v>93</v>
      </c>
    </row>
    <row r="34" spans="2:29" ht="18.75" x14ac:dyDescent="0.3">
      <c r="B34" s="7" t="s">
        <v>175</v>
      </c>
    </row>
    <row r="36" spans="2:29" x14ac:dyDescent="0.25">
      <c r="C36" s="9" t="s">
        <v>176</v>
      </c>
      <c r="D36" s="5" t="s">
        <v>1</v>
      </c>
      <c r="E36" s="5" t="s">
        <v>2</v>
      </c>
      <c r="F36" s="5" t="s">
        <v>4</v>
      </c>
      <c r="G36" s="5" t="s">
        <v>15</v>
      </c>
      <c r="H36" s="5" t="s">
        <v>17</v>
      </c>
      <c r="I36" s="5" t="s">
        <v>125</v>
      </c>
      <c r="J36" s="5" t="s">
        <v>126</v>
      </c>
      <c r="K36" s="5" t="s">
        <v>127</v>
      </c>
      <c r="L36" s="5" t="s">
        <v>128</v>
      </c>
      <c r="M36" s="5" t="s">
        <v>137</v>
      </c>
      <c r="N36" s="5" t="s">
        <v>138</v>
      </c>
      <c r="O36" s="5" t="s">
        <v>139</v>
      </c>
      <c r="P36" s="5" t="s">
        <v>129</v>
      </c>
      <c r="Q36" s="5" t="s">
        <v>140</v>
      </c>
      <c r="R36" s="5" t="s">
        <v>141</v>
      </c>
      <c r="S36" s="5" t="s">
        <v>142</v>
      </c>
      <c r="T36" s="5" t="s">
        <v>143</v>
      </c>
      <c r="U36" s="5" t="s">
        <v>145</v>
      </c>
      <c r="V36" s="5" t="s">
        <v>144</v>
      </c>
      <c r="W36" s="5" t="s">
        <v>130</v>
      </c>
      <c r="X36" s="5" t="s">
        <v>131</v>
      </c>
      <c r="Y36" s="5" t="s">
        <v>132</v>
      </c>
      <c r="Z36" s="5" t="s">
        <v>133</v>
      </c>
      <c r="AA36" s="5" t="s">
        <v>134</v>
      </c>
      <c r="AB36" s="5" t="s">
        <v>135</v>
      </c>
      <c r="AC36" s="5" t="s">
        <v>136</v>
      </c>
    </row>
    <row r="37" spans="2:29" x14ac:dyDescent="0.25">
      <c r="C37" s="9" t="s">
        <v>177</v>
      </c>
      <c r="D37" s="8">
        <v>131</v>
      </c>
      <c r="E37" s="8">
        <v>61</v>
      </c>
      <c r="F37" s="8">
        <v>3</v>
      </c>
      <c r="G37" s="8">
        <v>188</v>
      </c>
      <c r="H37" s="8">
        <v>8</v>
      </c>
      <c r="I37" s="8">
        <v>0</v>
      </c>
      <c r="J37" s="8">
        <v>0</v>
      </c>
      <c r="K37" s="8">
        <v>0</v>
      </c>
      <c r="L37" s="8">
        <v>1</v>
      </c>
      <c r="M37" s="8">
        <v>0</v>
      </c>
      <c r="N37" s="8">
        <v>1</v>
      </c>
      <c r="O37" s="8">
        <v>0</v>
      </c>
      <c r="P37" s="8">
        <v>0</v>
      </c>
      <c r="Q37" s="8">
        <v>0</v>
      </c>
      <c r="R37" s="8">
        <v>1</v>
      </c>
      <c r="S37" s="8">
        <v>0</v>
      </c>
      <c r="T37" s="8">
        <v>0</v>
      </c>
      <c r="U37" s="8">
        <v>0</v>
      </c>
      <c r="V37" s="8">
        <v>1</v>
      </c>
      <c r="W37" s="8">
        <v>0</v>
      </c>
      <c r="X37" s="8">
        <v>0</v>
      </c>
      <c r="Y37" s="8">
        <v>0</v>
      </c>
      <c r="Z37" s="8">
        <v>0</v>
      </c>
      <c r="AA37" s="8">
        <v>1</v>
      </c>
      <c r="AB37" s="8">
        <v>0</v>
      </c>
      <c r="AC37" s="8">
        <v>0</v>
      </c>
    </row>
    <row r="38" spans="2:29" x14ac:dyDescent="0.25">
      <c r="C38" s="9" t="s">
        <v>454</v>
      </c>
      <c r="D38" s="8">
        <v>20</v>
      </c>
      <c r="E38" s="8">
        <v>19</v>
      </c>
      <c r="F38" s="8">
        <v>4</v>
      </c>
      <c r="G38" s="8">
        <v>826</v>
      </c>
      <c r="H38" s="8">
        <v>5</v>
      </c>
      <c r="I38" s="8">
        <v>1</v>
      </c>
      <c r="J38" s="8">
        <v>0</v>
      </c>
      <c r="K38" s="8">
        <v>0</v>
      </c>
      <c r="L38" s="8">
        <v>0</v>
      </c>
      <c r="M38" s="8">
        <v>0</v>
      </c>
      <c r="N38" s="8">
        <v>1</v>
      </c>
      <c r="O38" s="8">
        <v>0</v>
      </c>
      <c r="P38" s="8">
        <v>0</v>
      </c>
      <c r="Q38" s="8">
        <v>0</v>
      </c>
      <c r="R38" s="8">
        <v>1</v>
      </c>
      <c r="S38" s="8">
        <v>0</v>
      </c>
      <c r="T38" s="8">
        <v>0</v>
      </c>
      <c r="U38" s="8">
        <v>0</v>
      </c>
      <c r="V38" s="8">
        <v>1</v>
      </c>
      <c r="W38" s="8">
        <v>0</v>
      </c>
      <c r="X38" s="8">
        <v>0</v>
      </c>
      <c r="Y38" s="8">
        <v>0</v>
      </c>
      <c r="Z38" s="8">
        <v>0</v>
      </c>
      <c r="AA38" s="8">
        <v>0</v>
      </c>
      <c r="AB38" s="8">
        <v>1</v>
      </c>
      <c r="AC38" s="8">
        <v>0</v>
      </c>
    </row>
    <row r="39" spans="2:29" x14ac:dyDescent="0.25">
      <c r="C39" s="9" t="s">
        <v>178</v>
      </c>
      <c r="D39" s="8">
        <v>67</v>
      </c>
      <c r="E39" s="8">
        <v>46</v>
      </c>
      <c r="F39" s="8">
        <v>5</v>
      </c>
      <c r="G39" s="8">
        <v>2700</v>
      </c>
      <c r="H39" s="8">
        <v>6</v>
      </c>
      <c r="I39" s="8">
        <v>0</v>
      </c>
      <c r="J39" s="8">
        <v>1</v>
      </c>
      <c r="K39" s="8">
        <v>0</v>
      </c>
      <c r="L39" s="8">
        <v>0</v>
      </c>
      <c r="M39" s="8">
        <v>0</v>
      </c>
      <c r="N39" s="8">
        <v>0</v>
      </c>
      <c r="O39" s="8">
        <v>1</v>
      </c>
      <c r="P39" s="8">
        <v>1</v>
      </c>
      <c r="Q39" s="8">
        <v>0</v>
      </c>
      <c r="R39" s="8">
        <v>0</v>
      </c>
      <c r="S39" s="8">
        <v>1</v>
      </c>
      <c r="T39" s="8">
        <v>0</v>
      </c>
      <c r="U39" s="8">
        <v>0</v>
      </c>
      <c r="V39" s="8">
        <v>1</v>
      </c>
      <c r="W39" s="8">
        <v>0</v>
      </c>
      <c r="X39" s="8">
        <v>0</v>
      </c>
      <c r="Y39" s="8">
        <v>0</v>
      </c>
      <c r="Z39" s="8">
        <v>1</v>
      </c>
      <c r="AA39" s="8">
        <v>0</v>
      </c>
      <c r="AB39" s="8">
        <v>0</v>
      </c>
      <c r="AC39" s="8">
        <v>0</v>
      </c>
    </row>
    <row r="40" spans="2:29" x14ac:dyDescent="0.25">
      <c r="C40" s="9" t="s">
        <v>179</v>
      </c>
      <c r="D40" s="8">
        <v>75</v>
      </c>
      <c r="E40" s="8">
        <v>19</v>
      </c>
      <c r="F40" s="8">
        <v>4</v>
      </c>
      <c r="G40" s="8">
        <v>3025</v>
      </c>
      <c r="H40" s="8">
        <v>8</v>
      </c>
      <c r="I40" s="8">
        <v>0</v>
      </c>
      <c r="J40" s="8">
        <v>1</v>
      </c>
      <c r="K40" s="8">
        <v>0</v>
      </c>
      <c r="L40" s="8">
        <v>0</v>
      </c>
      <c r="M40" s="8">
        <v>1</v>
      </c>
      <c r="N40" s="8">
        <v>0</v>
      </c>
      <c r="O40" s="8">
        <v>0</v>
      </c>
      <c r="P40" s="8">
        <v>0</v>
      </c>
      <c r="Q40" s="8">
        <v>0</v>
      </c>
      <c r="R40" s="8">
        <v>0</v>
      </c>
      <c r="S40" s="8">
        <v>1</v>
      </c>
      <c r="T40" s="8">
        <v>0</v>
      </c>
      <c r="U40" s="8">
        <v>1</v>
      </c>
      <c r="V40" s="8">
        <v>0</v>
      </c>
      <c r="W40" s="8">
        <v>0</v>
      </c>
      <c r="X40" s="8">
        <v>0</v>
      </c>
      <c r="Y40" s="8">
        <v>0</v>
      </c>
      <c r="Z40" s="8">
        <v>1</v>
      </c>
      <c r="AA40" s="8">
        <v>0</v>
      </c>
      <c r="AB40" s="8">
        <v>0</v>
      </c>
      <c r="AC40" s="8">
        <v>0</v>
      </c>
    </row>
    <row r="41" spans="2:29" x14ac:dyDescent="0.25">
      <c r="C41" s="9" t="s">
        <v>406</v>
      </c>
      <c r="D41" s="8">
        <v>139</v>
      </c>
      <c r="E41" s="8">
        <v>20</v>
      </c>
      <c r="F41" s="8">
        <v>5</v>
      </c>
      <c r="G41" s="8">
        <v>2034</v>
      </c>
      <c r="H41" s="8">
        <v>5</v>
      </c>
      <c r="I41" s="8">
        <v>0</v>
      </c>
      <c r="J41" s="8">
        <v>0</v>
      </c>
      <c r="K41" s="8">
        <v>1</v>
      </c>
      <c r="L41" s="8">
        <v>0</v>
      </c>
      <c r="M41" s="8">
        <v>1</v>
      </c>
      <c r="N41" s="8">
        <v>0</v>
      </c>
      <c r="O41" s="8">
        <v>0</v>
      </c>
      <c r="P41" s="8">
        <v>0</v>
      </c>
      <c r="Q41" s="8">
        <v>0</v>
      </c>
      <c r="R41" s="8">
        <v>0</v>
      </c>
      <c r="S41" s="8">
        <v>1</v>
      </c>
      <c r="T41" s="8">
        <v>0</v>
      </c>
      <c r="U41" s="8">
        <v>1</v>
      </c>
      <c r="V41" s="8">
        <v>0</v>
      </c>
      <c r="W41" s="8">
        <v>0</v>
      </c>
      <c r="X41" s="8">
        <v>1</v>
      </c>
      <c r="Y41" s="8">
        <v>0</v>
      </c>
      <c r="Z41" s="8">
        <v>0</v>
      </c>
      <c r="AA41" s="8">
        <v>0</v>
      </c>
      <c r="AB41" s="8">
        <v>0</v>
      </c>
      <c r="AC41" s="8">
        <v>0</v>
      </c>
    </row>
    <row r="42" spans="2:29" x14ac:dyDescent="0.25">
      <c r="C42" s="9" t="s">
        <v>180</v>
      </c>
      <c r="D42" s="8">
        <v>161</v>
      </c>
      <c r="E42" s="8">
        <v>33</v>
      </c>
      <c r="F42" s="8">
        <v>4</v>
      </c>
      <c r="G42" s="8">
        <v>3348</v>
      </c>
      <c r="H42" s="8">
        <v>3</v>
      </c>
      <c r="I42" s="8">
        <v>1</v>
      </c>
      <c r="J42" s="8">
        <v>0</v>
      </c>
      <c r="K42" s="8">
        <v>0</v>
      </c>
      <c r="L42" s="8">
        <v>0</v>
      </c>
      <c r="M42" s="8">
        <v>0</v>
      </c>
      <c r="N42" s="8">
        <v>0</v>
      </c>
      <c r="O42" s="8">
        <v>1</v>
      </c>
      <c r="P42" s="8">
        <v>0</v>
      </c>
      <c r="Q42" s="8">
        <v>0</v>
      </c>
      <c r="R42" s="8">
        <v>0</v>
      </c>
      <c r="S42" s="8">
        <v>1</v>
      </c>
      <c r="T42" s="8">
        <v>0</v>
      </c>
      <c r="U42" s="8">
        <v>0</v>
      </c>
      <c r="V42" s="8">
        <v>1</v>
      </c>
      <c r="W42" s="8">
        <v>1</v>
      </c>
      <c r="X42" s="8">
        <v>0</v>
      </c>
      <c r="Y42" s="8">
        <v>0</v>
      </c>
      <c r="Z42" s="8">
        <v>0</v>
      </c>
      <c r="AA42" s="8">
        <v>0</v>
      </c>
      <c r="AB42" s="8">
        <v>0</v>
      </c>
      <c r="AC42" s="8">
        <v>0</v>
      </c>
    </row>
    <row r="43" spans="2:29" x14ac:dyDescent="0.25">
      <c r="C43" s="9" t="s">
        <v>475</v>
      </c>
      <c r="D43" s="8">
        <v>164</v>
      </c>
      <c r="E43" s="8">
        <v>48</v>
      </c>
      <c r="F43" s="8">
        <v>5</v>
      </c>
      <c r="G43" s="8">
        <v>2700</v>
      </c>
      <c r="H43" s="8">
        <v>4</v>
      </c>
      <c r="I43" s="8">
        <v>1</v>
      </c>
      <c r="J43" s="8">
        <v>0</v>
      </c>
      <c r="K43" s="8">
        <v>0</v>
      </c>
      <c r="L43" s="8">
        <v>0</v>
      </c>
      <c r="M43" s="8">
        <v>0</v>
      </c>
      <c r="N43" s="8">
        <v>0</v>
      </c>
      <c r="O43" s="8">
        <v>1</v>
      </c>
      <c r="P43" s="8">
        <v>1</v>
      </c>
      <c r="Q43" s="8">
        <v>0</v>
      </c>
      <c r="R43" s="8">
        <v>0</v>
      </c>
      <c r="S43" s="8">
        <v>1</v>
      </c>
      <c r="T43" s="8">
        <v>0</v>
      </c>
      <c r="U43" s="8">
        <v>0</v>
      </c>
      <c r="V43" s="8">
        <v>1</v>
      </c>
      <c r="W43" s="8">
        <v>0</v>
      </c>
      <c r="X43" s="8">
        <v>0</v>
      </c>
      <c r="Y43" s="8">
        <v>1</v>
      </c>
      <c r="Z43" s="8">
        <v>0</v>
      </c>
      <c r="AA43" s="8">
        <v>0</v>
      </c>
      <c r="AB43" s="8">
        <v>0</v>
      </c>
      <c r="AC43" s="8">
        <v>0</v>
      </c>
    </row>
    <row r="44" spans="2:29" x14ac:dyDescent="0.25">
      <c r="C44" s="9" t="s">
        <v>181</v>
      </c>
      <c r="D44" s="8">
        <v>153</v>
      </c>
      <c r="E44" s="8">
        <v>38</v>
      </c>
      <c r="F44" s="8">
        <v>5</v>
      </c>
      <c r="G44" s="8">
        <v>3348</v>
      </c>
      <c r="H44" s="8">
        <v>10</v>
      </c>
      <c r="I44" s="8">
        <v>1</v>
      </c>
      <c r="J44" s="8">
        <v>0</v>
      </c>
      <c r="K44" s="8">
        <v>0</v>
      </c>
      <c r="L44" s="8">
        <v>0</v>
      </c>
      <c r="M44" s="8">
        <v>0</v>
      </c>
      <c r="N44" s="8">
        <v>1</v>
      </c>
      <c r="O44" s="8">
        <v>0</v>
      </c>
      <c r="P44" s="8">
        <v>0</v>
      </c>
      <c r="Q44" s="8">
        <v>0</v>
      </c>
      <c r="R44" s="8">
        <v>0</v>
      </c>
      <c r="S44" s="8">
        <v>1</v>
      </c>
      <c r="T44" s="8">
        <v>0</v>
      </c>
      <c r="U44" s="8">
        <v>0</v>
      </c>
      <c r="V44" s="8">
        <v>1</v>
      </c>
      <c r="W44" s="8">
        <v>0</v>
      </c>
      <c r="X44" s="8">
        <v>0</v>
      </c>
      <c r="Y44" s="8">
        <v>0</v>
      </c>
      <c r="Z44" s="8">
        <v>0</v>
      </c>
      <c r="AA44" s="8">
        <v>0</v>
      </c>
      <c r="AB44" s="8">
        <v>1</v>
      </c>
      <c r="AC44" s="8">
        <v>0</v>
      </c>
    </row>
    <row r="45" spans="2:29" x14ac:dyDescent="0.25">
      <c r="C45" s="9" t="s">
        <v>182</v>
      </c>
      <c r="D45" s="8">
        <v>127</v>
      </c>
      <c r="E45" s="8">
        <v>40</v>
      </c>
      <c r="F45" s="8">
        <v>5</v>
      </c>
      <c r="G45" s="8">
        <v>2959</v>
      </c>
      <c r="H45" s="8">
        <v>8</v>
      </c>
      <c r="I45" s="8">
        <v>1</v>
      </c>
      <c r="J45" s="8">
        <v>0</v>
      </c>
      <c r="K45" s="8">
        <v>0</v>
      </c>
      <c r="L45" s="8">
        <v>0</v>
      </c>
      <c r="M45" s="8">
        <v>0</v>
      </c>
      <c r="N45" s="8">
        <v>0</v>
      </c>
      <c r="O45" s="8">
        <v>1</v>
      </c>
      <c r="P45" s="8">
        <v>0</v>
      </c>
      <c r="Q45" s="8">
        <v>0</v>
      </c>
      <c r="R45" s="8">
        <v>0</v>
      </c>
      <c r="S45" s="8">
        <v>1</v>
      </c>
      <c r="T45" s="8">
        <v>0</v>
      </c>
      <c r="U45" s="8">
        <v>1</v>
      </c>
      <c r="V45" s="8">
        <v>0</v>
      </c>
      <c r="W45" s="8">
        <v>0</v>
      </c>
      <c r="X45" s="8">
        <v>0</v>
      </c>
      <c r="Y45" s="8">
        <v>0</v>
      </c>
      <c r="Z45" s="8">
        <v>0</v>
      </c>
      <c r="AA45" s="8">
        <v>0</v>
      </c>
      <c r="AB45" s="8">
        <v>0</v>
      </c>
      <c r="AC45" s="8">
        <v>1</v>
      </c>
    </row>
    <row r="46" spans="2:29" x14ac:dyDescent="0.25">
      <c r="C46" s="9" t="s">
        <v>183</v>
      </c>
      <c r="D46" s="8">
        <v>52</v>
      </c>
      <c r="E46" s="8">
        <v>48</v>
      </c>
      <c r="F46" s="8">
        <v>3</v>
      </c>
      <c r="G46" s="8">
        <v>3025</v>
      </c>
      <c r="H46" s="8">
        <v>8</v>
      </c>
      <c r="I46" s="8">
        <v>0</v>
      </c>
      <c r="J46" s="8">
        <v>0</v>
      </c>
      <c r="K46" s="8">
        <v>0</v>
      </c>
      <c r="L46" s="8">
        <v>1</v>
      </c>
      <c r="M46" s="8">
        <v>1</v>
      </c>
      <c r="N46" s="8">
        <v>0</v>
      </c>
      <c r="O46" s="8">
        <v>0</v>
      </c>
      <c r="P46" s="8">
        <v>0</v>
      </c>
      <c r="Q46" s="8">
        <v>0</v>
      </c>
      <c r="R46" s="8">
        <v>0</v>
      </c>
      <c r="S46" s="8">
        <v>1</v>
      </c>
      <c r="T46" s="8">
        <v>0</v>
      </c>
      <c r="U46" s="8">
        <v>1</v>
      </c>
      <c r="V46" s="8">
        <v>0</v>
      </c>
      <c r="W46" s="8">
        <v>0</v>
      </c>
      <c r="X46" s="8">
        <v>0</v>
      </c>
      <c r="Y46" s="8">
        <v>1</v>
      </c>
      <c r="Z46" s="8">
        <v>0</v>
      </c>
      <c r="AA46" s="8">
        <v>0</v>
      </c>
      <c r="AB46" s="8">
        <v>0</v>
      </c>
      <c r="AC46" s="8">
        <v>0</v>
      </c>
    </row>
    <row r="47" spans="2:29" x14ac:dyDescent="0.25">
      <c r="C47" s="9" t="s">
        <v>184</v>
      </c>
      <c r="D47" s="8">
        <v>110</v>
      </c>
      <c r="E47" s="8">
        <v>19</v>
      </c>
      <c r="F47" s="8">
        <v>4</v>
      </c>
      <c r="G47" s="8">
        <v>1282</v>
      </c>
      <c r="H47" s="8">
        <v>2</v>
      </c>
      <c r="I47" s="8">
        <v>1</v>
      </c>
      <c r="J47" s="8">
        <v>0</v>
      </c>
      <c r="K47" s="8">
        <v>0</v>
      </c>
      <c r="L47" s="8">
        <v>0</v>
      </c>
      <c r="M47" s="8">
        <v>1</v>
      </c>
      <c r="N47" s="8">
        <v>0</v>
      </c>
      <c r="O47" s="8">
        <v>0</v>
      </c>
      <c r="P47" s="8">
        <v>0</v>
      </c>
      <c r="Q47" s="8">
        <v>0</v>
      </c>
      <c r="R47" s="8">
        <v>0</v>
      </c>
      <c r="S47" s="8">
        <v>1</v>
      </c>
      <c r="T47" s="8">
        <v>0</v>
      </c>
      <c r="U47" s="8">
        <v>0</v>
      </c>
      <c r="V47" s="8">
        <v>1</v>
      </c>
      <c r="W47" s="8">
        <v>0</v>
      </c>
      <c r="X47" s="8">
        <v>0</v>
      </c>
      <c r="Y47" s="8">
        <v>0</v>
      </c>
      <c r="Z47" s="8">
        <v>0</v>
      </c>
      <c r="AA47" s="8">
        <v>0</v>
      </c>
      <c r="AB47" s="8">
        <v>1</v>
      </c>
      <c r="AC47" s="8">
        <v>0</v>
      </c>
    </row>
    <row r="48" spans="2:29" x14ac:dyDescent="0.25">
      <c r="C48" s="9" t="s">
        <v>185</v>
      </c>
      <c r="D48" s="8">
        <v>119</v>
      </c>
      <c r="E48" s="8">
        <v>21</v>
      </c>
      <c r="F48" s="8">
        <v>3</v>
      </c>
      <c r="G48" s="8">
        <v>3773</v>
      </c>
      <c r="H48" s="8">
        <v>3</v>
      </c>
      <c r="I48" s="8">
        <v>1</v>
      </c>
      <c r="J48" s="8">
        <v>0</v>
      </c>
      <c r="K48" s="8">
        <v>0</v>
      </c>
      <c r="L48" s="8">
        <v>0</v>
      </c>
      <c r="M48" s="8">
        <v>1</v>
      </c>
      <c r="N48" s="8">
        <v>0</v>
      </c>
      <c r="O48" s="8">
        <v>0</v>
      </c>
      <c r="P48" s="8">
        <v>0</v>
      </c>
      <c r="Q48" s="8">
        <v>1</v>
      </c>
      <c r="R48" s="8">
        <v>0</v>
      </c>
      <c r="S48" s="8">
        <v>0</v>
      </c>
      <c r="T48" s="8">
        <v>0</v>
      </c>
      <c r="U48" s="8">
        <v>0</v>
      </c>
      <c r="V48" s="8">
        <v>1</v>
      </c>
      <c r="W48" s="8">
        <v>1</v>
      </c>
      <c r="X48" s="8">
        <v>0</v>
      </c>
      <c r="Y48" s="8">
        <v>0</v>
      </c>
      <c r="Z48" s="8">
        <v>0</v>
      </c>
      <c r="AA48" s="8">
        <v>0</v>
      </c>
      <c r="AB48" s="8">
        <v>0</v>
      </c>
      <c r="AC48" s="8">
        <v>0</v>
      </c>
    </row>
    <row r="49" spans="3:29" x14ac:dyDescent="0.25">
      <c r="C49" s="9" t="s">
        <v>186</v>
      </c>
      <c r="D49" s="8">
        <v>17</v>
      </c>
      <c r="E49" s="8">
        <v>17</v>
      </c>
      <c r="F49" s="8">
        <v>5</v>
      </c>
      <c r="G49" s="8">
        <v>2959</v>
      </c>
      <c r="H49" s="8">
        <v>10</v>
      </c>
      <c r="I49" s="8">
        <v>0</v>
      </c>
      <c r="J49" s="8">
        <v>0</v>
      </c>
      <c r="K49" s="8">
        <v>1</v>
      </c>
      <c r="L49" s="8">
        <v>0</v>
      </c>
      <c r="M49" s="8">
        <v>0</v>
      </c>
      <c r="N49" s="8">
        <v>0</v>
      </c>
      <c r="O49" s="8">
        <v>1</v>
      </c>
      <c r="P49" s="8">
        <v>0</v>
      </c>
      <c r="Q49" s="8">
        <v>0</v>
      </c>
      <c r="R49" s="8">
        <v>0</v>
      </c>
      <c r="S49" s="8">
        <v>1</v>
      </c>
      <c r="T49" s="8">
        <v>0</v>
      </c>
      <c r="U49" s="8">
        <v>0</v>
      </c>
      <c r="V49" s="8">
        <v>1</v>
      </c>
      <c r="W49" s="8">
        <v>0</v>
      </c>
      <c r="X49" s="8">
        <v>0</v>
      </c>
      <c r="Y49" s="8">
        <v>1</v>
      </c>
      <c r="Z49" s="8">
        <v>0</v>
      </c>
      <c r="AA49" s="8">
        <v>0</v>
      </c>
      <c r="AB49" s="8">
        <v>0</v>
      </c>
      <c r="AC49" s="8">
        <v>0</v>
      </c>
    </row>
    <row r="50" spans="3:29" x14ac:dyDescent="0.25">
      <c r="C50" s="9" t="s">
        <v>187</v>
      </c>
      <c r="D50" s="8">
        <v>65</v>
      </c>
      <c r="E50" s="8">
        <v>24</v>
      </c>
      <c r="F50" s="8">
        <v>3</v>
      </c>
      <c r="G50" s="8">
        <v>315</v>
      </c>
      <c r="H50" s="8">
        <v>6</v>
      </c>
      <c r="I50" s="8">
        <v>1</v>
      </c>
      <c r="J50" s="8">
        <v>0</v>
      </c>
      <c r="K50" s="8">
        <v>0</v>
      </c>
      <c r="L50" s="8">
        <v>0</v>
      </c>
      <c r="M50" s="8">
        <v>1</v>
      </c>
      <c r="N50" s="8">
        <v>0</v>
      </c>
      <c r="O50" s="8">
        <v>0</v>
      </c>
      <c r="P50" s="8">
        <v>0</v>
      </c>
      <c r="Q50" s="8">
        <v>1</v>
      </c>
      <c r="R50" s="8">
        <v>0</v>
      </c>
      <c r="S50" s="8">
        <v>0</v>
      </c>
      <c r="T50" s="8">
        <v>0</v>
      </c>
      <c r="U50" s="8">
        <v>0</v>
      </c>
      <c r="V50" s="8">
        <v>1</v>
      </c>
      <c r="W50" s="8">
        <v>0</v>
      </c>
      <c r="X50" s="8">
        <v>1</v>
      </c>
      <c r="Y50" s="8">
        <v>0</v>
      </c>
      <c r="Z50" s="8">
        <v>0</v>
      </c>
      <c r="AA50" s="8">
        <v>0</v>
      </c>
      <c r="AB50" s="8">
        <v>0</v>
      </c>
      <c r="AC50" s="8">
        <v>0</v>
      </c>
    </row>
    <row r="51" spans="3:29" x14ac:dyDescent="0.25">
      <c r="C51" s="9" t="s">
        <v>409</v>
      </c>
      <c r="D51" s="8">
        <v>57</v>
      </c>
      <c r="E51" s="8">
        <v>20</v>
      </c>
      <c r="F51" s="8">
        <v>5</v>
      </c>
      <c r="G51" s="8">
        <v>3025</v>
      </c>
      <c r="H51" s="8">
        <v>0</v>
      </c>
      <c r="I51" s="8">
        <v>0</v>
      </c>
      <c r="J51" s="8">
        <v>0</v>
      </c>
      <c r="K51" s="8">
        <v>1</v>
      </c>
      <c r="L51" s="8">
        <v>0</v>
      </c>
      <c r="M51" s="8">
        <v>1</v>
      </c>
      <c r="N51" s="8">
        <v>0</v>
      </c>
      <c r="O51" s="8">
        <v>0</v>
      </c>
      <c r="P51" s="8">
        <v>0</v>
      </c>
      <c r="Q51" s="8">
        <v>0</v>
      </c>
      <c r="R51" s="8">
        <v>0</v>
      </c>
      <c r="S51" s="8">
        <v>1</v>
      </c>
      <c r="T51" s="8">
        <v>0</v>
      </c>
      <c r="U51" s="8">
        <v>1</v>
      </c>
      <c r="V51" s="8">
        <v>0</v>
      </c>
      <c r="W51" s="8">
        <v>1</v>
      </c>
      <c r="X51" s="8">
        <v>0</v>
      </c>
      <c r="Y51" s="8">
        <v>0</v>
      </c>
      <c r="Z51" s="8">
        <v>0</v>
      </c>
      <c r="AA51" s="8">
        <v>0</v>
      </c>
      <c r="AB51" s="8">
        <v>0</v>
      </c>
      <c r="AC51" s="8">
        <v>0</v>
      </c>
    </row>
    <row r="52" spans="3:29" x14ac:dyDescent="0.25">
      <c r="C52" s="9" t="s">
        <v>188</v>
      </c>
      <c r="D52" s="8">
        <v>184</v>
      </c>
      <c r="E52" s="8">
        <v>52</v>
      </c>
      <c r="F52" s="8">
        <v>5</v>
      </c>
      <c r="G52" s="8">
        <v>188</v>
      </c>
      <c r="H52" s="8">
        <v>3</v>
      </c>
      <c r="I52" s="8">
        <v>0</v>
      </c>
      <c r="J52" s="8">
        <v>1</v>
      </c>
      <c r="K52" s="8">
        <v>0</v>
      </c>
      <c r="L52" s="8">
        <v>0</v>
      </c>
      <c r="M52" s="8">
        <v>0</v>
      </c>
      <c r="N52" s="8">
        <v>0</v>
      </c>
      <c r="O52" s="8">
        <v>1</v>
      </c>
      <c r="P52" s="8">
        <v>0</v>
      </c>
      <c r="Q52" s="8">
        <v>0</v>
      </c>
      <c r="R52" s="8">
        <v>1</v>
      </c>
      <c r="S52" s="8">
        <v>0</v>
      </c>
      <c r="T52" s="8">
        <v>0</v>
      </c>
      <c r="U52" s="8">
        <v>1</v>
      </c>
      <c r="V52" s="8">
        <v>0</v>
      </c>
      <c r="W52" s="8">
        <v>0</v>
      </c>
      <c r="X52" s="8">
        <v>0</v>
      </c>
      <c r="Y52" s="8">
        <v>0</v>
      </c>
      <c r="Z52" s="8">
        <v>0</v>
      </c>
      <c r="AA52" s="8">
        <v>0</v>
      </c>
      <c r="AB52" s="8">
        <v>0</v>
      </c>
      <c r="AC52" s="8">
        <v>1</v>
      </c>
    </row>
    <row r="53" spans="3:29" x14ac:dyDescent="0.25">
      <c r="C53" s="9" t="s">
        <v>189</v>
      </c>
      <c r="D53" s="8">
        <v>17</v>
      </c>
      <c r="E53" s="8">
        <v>14</v>
      </c>
      <c r="F53" s="8">
        <v>5</v>
      </c>
      <c r="G53" s="8">
        <v>188</v>
      </c>
      <c r="H53" s="8">
        <v>10</v>
      </c>
      <c r="I53" s="8">
        <v>0</v>
      </c>
      <c r="J53" s="8">
        <v>0</v>
      </c>
      <c r="K53" s="8">
        <v>1</v>
      </c>
      <c r="L53" s="8">
        <v>0</v>
      </c>
      <c r="M53" s="8">
        <v>1</v>
      </c>
      <c r="N53" s="8">
        <v>0</v>
      </c>
      <c r="O53" s="8">
        <v>0</v>
      </c>
      <c r="P53" s="8">
        <v>0</v>
      </c>
      <c r="Q53" s="8">
        <v>0</v>
      </c>
      <c r="R53" s="8">
        <v>1</v>
      </c>
      <c r="S53" s="8">
        <v>0</v>
      </c>
      <c r="T53" s="8">
        <v>0</v>
      </c>
      <c r="U53" s="8">
        <v>0</v>
      </c>
      <c r="V53" s="8">
        <v>1</v>
      </c>
      <c r="W53" s="8">
        <v>0</v>
      </c>
      <c r="X53" s="8">
        <v>0</v>
      </c>
      <c r="Y53" s="8">
        <v>0</v>
      </c>
      <c r="Z53" s="8">
        <v>1</v>
      </c>
      <c r="AA53" s="8">
        <v>0</v>
      </c>
      <c r="AB53" s="8">
        <v>0</v>
      </c>
      <c r="AC53" s="8">
        <v>0</v>
      </c>
    </row>
    <row r="54" spans="3:29" x14ac:dyDescent="0.25">
      <c r="C54" s="9" t="s">
        <v>190</v>
      </c>
      <c r="D54" s="8">
        <v>85</v>
      </c>
      <c r="E54" s="8">
        <v>37</v>
      </c>
      <c r="F54" s="8">
        <v>5</v>
      </c>
      <c r="G54" s="8">
        <v>2916</v>
      </c>
      <c r="H54" s="8">
        <v>4</v>
      </c>
      <c r="I54" s="8">
        <v>0</v>
      </c>
      <c r="J54" s="8">
        <v>1</v>
      </c>
      <c r="K54" s="8">
        <v>0</v>
      </c>
      <c r="L54" s="8">
        <v>0</v>
      </c>
      <c r="M54" s="8">
        <v>0</v>
      </c>
      <c r="N54" s="8">
        <v>1</v>
      </c>
      <c r="O54" s="8">
        <v>0</v>
      </c>
      <c r="P54" s="8">
        <v>0</v>
      </c>
      <c r="Q54" s="8">
        <v>0</v>
      </c>
      <c r="R54" s="8">
        <v>1</v>
      </c>
      <c r="S54" s="8">
        <v>0</v>
      </c>
      <c r="T54" s="8">
        <v>1</v>
      </c>
      <c r="U54" s="8">
        <v>0</v>
      </c>
      <c r="V54" s="8">
        <v>0</v>
      </c>
      <c r="W54" s="8">
        <v>1</v>
      </c>
      <c r="X54" s="8">
        <v>0</v>
      </c>
      <c r="Y54" s="8">
        <v>0</v>
      </c>
      <c r="Z54" s="8">
        <v>0</v>
      </c>
      <c r="AA54" s="8">
        <v>0</v>
      </c>
      <c r="AB54" s="8">
        <v>0</v>
      </c>
      <c r="AC54" s="8">
        <v>0</v>
      </c>
    </row>
    <row r="55" spans="3:29" x14ac:dyDescent="0.25">
      <c r="C55" s="9" t="s">
        <v>191</v>
      </c>
      <c r="D55" s="8">
        <v>123</v>
      </c>
      <c r="E55" s="8">
        <v>26</v>
      </c>
      <c r="F55" s="8">
        <v>5</v>
      </c>
      <c r="G55" s="8">
        <v>2916</v>
      </c>
      <c r="H55" s="8">
        <v>4</v>
      </c>
      <c r="I55" s="8">
        <v>1</v>
      </c>
      <c r="J55" s="8">
        <v>0</v>
      </c>
      <c r="K55" s="8">
        <v>0</v>
      </c>
      <c r="L55" s="8">
        <v>0</v>
      </c>
      <c r="M55" s="8">
        <v>0</v>
      </c>
      <c r="N55" s="8">
        <v>0</v>
      </c>
      <c r="O55" s="8">
        <v>1</v>
      </c>
      <c r="P55" s="8">
        <v>0</v>
      </c>
      <c r="Q55" s="8">
        <v>0</v>
      </c>
      <c r="R55" s="8">
        <v>1</v>
      </c>
      <c r="S55" s="8">
        <v>0</v>
      </c>
      <c r="T55" s="8">
        <v>0</v>
      </c>
      <c r="U55" s="8">
        <v>0</v>
      </c>
      <c r="V55" s="8">
        <v>1</v>
      </c>
      <c r="W55" s="8">
        <v>0</v>
      </c>
      <c r="X55" s="8">
        <v>0</v>
      </c>
      <c r="Y55" s="8">
        <v>1</v>
      </c>
      <c r="Z55" s="8">
        <v>0</v>
      </c>
      <c r="AA55" s="8">
        <v>0</v>
      </c>
      <c r="AB55" s="8">
        <v>0</v>
      </c>
      <c r="AC55" s="8">
        <v>0</v>
      </c>
    </row>
    <row r="56" spans="3:29" x14ac:dyDescent="0.25">
      <c r="C56" s="9" t="s">
        <v>192</v>
      </c>
      <c r="D56" s="8">
        <v>66</v>
      </c>
      <c r="E56" s="8">
        <v>33</v>
      </c>
      <c r="F56" s="8">
        <v>5</v>
      </c>
      <c r="G56" s="8">
        <v>3025</v>
      </c>
      <c r="H56" s="8">
        <v>10</v>
      </c>
      <c r="I56" s="8">
        <v>0</v>
      </c>
      <c r="J56" s="8">
        <v>0</v>
      </c>
      <c r="K56" s="8">
        <v>1</v>
      </c>
      <c r="L56" s="8">
        <v>0</v>
      </c>
      <c r="M56" s="8">
        <v>0</v>
      </c>
      <c r="N56" s="8">
        <v>0</v>
      </c>
      <c r="O56" s="8">
        <v>1</v>
      </c>
      <c r="P56" s="8">
        <v>0</v>
      </c>
      <c r="Q56" s="8">
        <v>0</v>
      </c>
      <c r="R56" s="8">
        <v>0</v>
      </c>
      <c r="S56" s="8">
        <v>1</v>
      </c>
      <c r="T56" s="8">
        <v>0</v>
      </c>
      <c r="U56" s="8">
        <v>0</v>
      </c>
      <c r="V56" s="8">
        <v>1</v>
      </c>
      <c r="W56" s="8">
        <v>0</v>
      </c>
      <c r="X56" s="8">
        <v>0</v>
      </c>
      <c r="Y56" s="8">
        <v>1</v>
      </c>
      <c r="Z56" s="8">
        <v>0</v>
      </c>
      <c r="AA56" s="8">
        <v>0</v>
      </c>
      <c r="AB56" s="8">
        <v>0</v>
      </c>
      <c r="AC56" s="8">
        <v>0</v>
      </c>
    </row>
    <row r="57" spans="3:29" x14ac:dyDescent="0.25">
      <c r="C57" s="9" t="s">
        <v>193</v>
      </c>
      <c r="D57" s="8">
        <v>121</v>
      </c>
      <c r="E57" s="8">
        <v>13</v>
      </c>
      <c r="F57" s="8">
        <v>2</v>
      </c>
      <c r="G57" s="8">
        <v>2916</v>
      </c>
      <c r="H57" s="8">
        <v>9</v>
      </c>
      <c r="I57" s="8">
        <v>0</v>
      </c>
      <c r="J57" s="8">
        <v>0</v>
      </c>
      <c r="K57" s="8">
        <v>1</v>
      </c>
      <c r="L57" s="8">
        <v>0</v>
      </c>
      <c r="M57" s="8">
        <v>0</v>
      </c>
      <c r="N57" s="8">
        <v>0</v>
      </c>
      <c r="O57" s="8">
        <v>1</v>
      </c>
      <c r="P57" s="8">
        <v>0</v>
      </c>
      <c r="Q57" s="8">
        <v>0</v>
      </c>
      <c r="R57" s="8">
        <v>1</v>
      </c>
      <c r="S57" s="8">
        <v>0</v>
      </c>
      <c r="T57" s="8">
        <v>0</v>
      </c>
      <c r="U57" s="8">
        <v>0</v>
      </c>
      <c r="V57" s="8">
        <v>1</v>
      </c>
      <c r="W57" s="8">
        <v>0</v>
      </c>
      <c r="X57" s="8">
        <v>0</v>
      </c>
      <c r="Y57" s="8">
        <v>0</v>
      </c>
      <c r="Z57" s="8">
        <v>0</v>
      </c>
      <c r="AA57" s="8">
        <v>0</v>
      </c>
      <c r="AB57" s="8">
        <v>1</v>
      </c>
      <c r="AC57" s="8">
        <v>0</v>
      </c>
    </row>
    <row r="58" spans="3:29" x14ac:dyDescent="0.25">
      <c r="C58" s="9" t="s">
        <v>194</v>
      </c>
      <c r="D58" s="8">
        <v>106</v>
      </c>
      <c r="E58" s="8">
        <v>37</v>
      </c>
      <c r="F58" s="8">
        <v>4</v>
      </c>
      <c r="G58" s="8">
        <v>1228</v>
      </c>
      <c r="H58" s="8">
        <v>3</v>
      </c>
      <c r="I58" s="8">
        <v>0</v>
      </c>
      <c r="J58" s="8">
        <v>0</v>
      </c>
      <c r="K58" s="8">
        <v>1</v>
      </c>
      <c r="L58" s="8">
        <v>0</v>
      </c>
      <c r="M58" s="8">
        <v>1</v>
      </c>
      <c r="N58" s="8">
        <v>0</v>
      </c>
      <c r="O58" s="8">
        <v>0</v>
      </c>
      <c r="P58" s="8">
        <v>0</v>
      </c>
      <c r="Q58" s="8">
        <v>1</v>
      </c>
      <c r="R58" s="8">
        <v>0</v>
      </c>
      <c r="S58" s="8">
        <v>0</v>
      </c>
      <c r="T58" s="8">
        <v>1</v>
      </c>
      <c r="U58" s="8">
        <v>0</v>
      </c>
      <c r="V58" s="8">
        <v>0</v>
      </c>
      <c r="W58" s="8">
        <v>0</v>
      </c>
      <c r="X58" s="8">
        <v>0</v>
      </c>
      <c r="Y58" s="8">
        <v>0</v>
      </c>
      <c r="Z58" s="8">
        <v>0</v>
      </c>
      <c r="AA58" s="8">
        <v>0</v>
      </c>
      <c r="AB58" s="8">
        <v>0</v>
      </c>
      <c r="AC58" s="8">
        <v>1</v>
      </c>
    </row>
    <row r="59" spans="3:29" x14ac:dyDescent="0.25">
      <c r="C59" s="9" t="s">
        <v>195</v>
      </c>
      <c r="D59" s="8">
        <v>88</v>
      </c>
      <c r="E59" s="8">
        <v>19</v>
      </c>
      <c r="F59" s="8">
        <v>5</v>
      </c>
      <c r="G59" s="8">
        <v>732</v>
      </c>
      <c r="H59" s="8">
        <v>1</v>
      </c>
      <c r="I59" s="8">
        <v>0</v>
      </c>
      <c r="J59" s="8">
        <v>0</v>
      </c>
      <c r="K59" s="8">
        <v>0</v>
      </c>
      <c r="L59" s="8">
        <v>1</v>
      </c>
      <c r="M59" s="8">
        <v>1</v>
      </c>
      <c r="N59" s="8">
        <v>0</v>
      </c>
      <c r="O59" s="8">
        <v>0</v>
      </c>
      <c r="P59" s="8">
        <v>0</v>
      </c>
      <c r="Q59" s="8">
        <v>1</v>
      </c>
      <c r="R59" s="8">
        <v>0</v>
      </c>
      <c r="S59" s="8">
        <v>0</v>
      </c>
      <c r="T59" s="8">
        <v>0</v>
      </c>
      <c r="U59" s="8">
        <v>0</v>
      </c>
      <c r="V59" s="8">
        <v>1</v>
      </c>
      <c r="W59" s="8">
        <v>0</v>
      </c>
      <c r="X59" s="8">
        <v>0</v>
      </c>
      <c r="Y59" s="8">
        <v>0</v>
      </c>
      <c r="Z59" s="8">
        <v>0</v>
      </c>
      <c r="AA59" s="8">
        <v>0</v>
      </c>
      <c r="AB59" s="8">
        <v>0</v>
      </c>
      <c r="AC59" s="8">
        <v>1</v>
      </c>
    </row>
    <row r="60" spans="3:29" x14ac:dyDescent="0.25">
      <c r="C60" s="9" t="s">
        <v>412</v>
      </c>
      <c r="D60" s="8">
        <v>19</v>
      </c>
      <c r="E60" s="8">
        <v>8</v>
      </c>
      <c r="F60" s="8">
        <v>4</v>
      </c>
      <c r="G60" s="8">
        <v>2959</v>
      </c>
      <c r="H60" s="8">
        <v>10</v>
      </c>
      <c r="I60" s="8">
        <v>0</v>
      </c>
      <c r="J60" s="8">
        <v>1</v>
      </c>
      <c r="K60" s="8">
        <v>0</v>
      </c>
      <c r="L60" s="8">
        <v>0</v>
      </c>
      <c r="M60" s="8">
        <v>0</v>
      </c>
      <c r="N60" s="8">
        <v>0</v>
      </c>
      <c r="O60" s="8">
        <v>1</v>
      </c>
      <c r="P60" s="8">
        <v>0</v>
      </c>
      <c r="Q60" s="8">
        <v>0</v>
      </c>
      <c r="R60" s="8">
        <v>0</v>
      </c>
      <c r="S60" s="8">
        <v>1</v>
      </c>
      <c r="T60" s="8">
        <v>0</v>
      </c>
      <c r="U60" s="8">
        <v>0</v>
      </c>
      <c r="V60" s="8">
        <v>1</v>
      </c>
      <c r="W60" s="8">
        <v>0</v>
      </c>
      <c r="X60" s="8">
        <v>0</v>
      </c>
      <c r="Y60" s="8">
        <v>0</v>
      </c>
      <c r="Z60" s="8">
        <v>1</v>
      </c>
      <c r="AA60" s="8">
        <v>0</v>
      </c>
      <c r="AB60" s="8">
        <v>0</v>
      </c>
      <c r="AC60" s="8">
        <v>0</v>
      </c>
    </row>
    <row r="61" spans="3:29" x14ac:dyDescent="0.25">
      <c r="C61" s="9" t="s">
        <v>407</v>
      </c>
      <c r="D61" s="8">
        <v>148</v>
      </c>
      <c r="E61" s="8">
        <v>33</v>
      </c>
      <c r="F61" s="8">
        <v>4</v>
      </c>
      <c r="G61" s="8">
        <v>188</v>
      </c>
      <c r="H61" s="8">
        <v>3</v>
      </c>
      <c r="I61" s="8">
        <v>0</v>
      </c>
      <c r="J61" s="8">
        <v>0</v>
      </c>
      <c r="K61" s="8">
        <v>0</v>
      </c>
      <c r="L61" s="8">
        <v>1</v>
      </c>
      <c r="M61" s="8">
        <v>1</v>
      </c>
      <c r="N61" s="8">
        <v>0</v>
      </c>
      <c r="O61" s="8">
        <v>0</v>
      </c>
      <c r="P61" s="8">
        <v>0</v>
      </c>
      <c r="Q61" s="8">
        <v>0</v>
      </c>
      <c r="R61" s="8">
        <v>1</v>
      </c>
      <c r="S61" s="8">
        <v>0</v>
      </c>
      <c r="T61" s="8">
        <v>0</v>
      </c>
      <c r="U61" s="8">
        <v>0</v>
      </c>
      <c r="V61" s="8">
        <v>1</v>
      </c>
      <c r="W61" s="8">
        <v>0</v>
      </c>
      <c r="X61" s="8">
        <v>0</v>
      </c>
      <c r="Y61" s="8">
        <v>0</v>
      </c>
      <c r="Z61" s="8">
        <v>0</v>
      </c>
      <c r="AA61" s="8">
        <v>0</v>
      </c>
      <c r="AB61" s="8">
        <v>0</v>
      </c>
      <c r="AC61" s="8">
        <v>1</v>
      </c>
    </row>
    <row r="62" spans="3:29" x14ac:dyDescent="0.25">
      <c r="C62" s="9" t="s">
        <v>196</v>
      </c>
      <c r="D62" s="8">
        <v>136</v>
      </c>
      <c r="E62" s="8">
        <v>20</v>
      </c>
      <c r="F62" s="8">
        <v>5</v>
      </c>
      <c r="G62" s="8">
        <v>1282</v>
      </c>
      <c r="H62" s="8">
        <v>3</v>
      </c>
      <c r="I62" s="8">
        <v>0</v>
      </c>
      <c r="J62" s="8">
        <v>1</v>
      </c>
      <c r="K62" s="8">
        <v>0</v>
      </c>
      <c r="L62" s="8">
        <v>0</v>
      </c>
      <c r="M62" s="8">
        <v>0</v>
      </c>
      <c r="N62" s="8">
        <v>1</v>
      </c>
      <c r="O62" s="8">
        <v>0</v>
      </c>
      <c r="P62" s="8">
        <v>0</v>
      </c>
      <c r="Q62" s="8">
        <v>0</v>
      </c>
      <c r="R62" s="8">
        <v>0</v>
      </c>
      <c r="S62" s="8">
        <v>1</v>
      </c>
      <c r="T62" s="8">
        <v>0</v>
      </c>
      <c r="U62" s="8">
        <v>0</v>
      </c>
      <c r="V62" s="8">
        <v>1</v>
      </c>
      <c r="W62" s="8">
        <v>0</v>
      </c>
      <c r="X62" s="8">
        <v>0</v>
      </c>
      <c r="Y62" s="8">
        <v>0</v>
      </c>
      <c r="Z62" s="8">
        <v>1</v>
      </c>
      <c r="AA62" s="8">
        <v>0</v>
      </c>
      <c r="AB62" s="8">
        <v>0</v>
      </c>
      <c r="AC62" s="8">
        <v>0</v>
      </c>
    </row>
    <row r="63" spans="3:29" x14ac:dyDescent="0.25">
      <c r="C63" s="9" t="s">
        <v>197</v>
      </c>
      <c r="D63" s="8">
        <v>74</v>
      </c>
      <c r="E63" s="8">
        <v>47</v>
      </c>
      <c r="F63" s="8">
        <v>4</v>
      </c>
      <c r="G63" s="8">
        <v>3981</v>
      </c>
      <c r="H63" s="8">
        <v>7</v>
      </c>
      <c r="I63" s="8">
        <v>1</v>
      </c>
      <c r="J63" s="8">
        <v>0</v>
      </c>
      <c r="K63" s="8">
        <v>0</v>
      </c>
      <c r="L63" s="8">
        <v>0</v>
      </c>
      <c r="M63" s="8">
        <v>0</v>
      </c>
      <c r="N63" s="8">
        <v>0</v>
      </c>
      <c r="O63" s="8">
        <v>1</v>
      </c>
      <c r="P63" s="8">
        <v>0</v>
      </c>
      <c r="Q63" s="8">
        <v>1</v>
      </c>
      <c r="R63" s="8">
        <v>0</v>
      </c>
      <c r="S63" s="8">
        <v>0</v>
      </c>
      <c r="T63" s="8">
        <v>0</v>
      </c>
      <c r="U63" s="8">
        <v>1</v>
      </c>
      <c r="V63" s="8">
        <v>0</v>
      </c>
      <c r="W63" s="8">
        <v>0</v>
      </c>
      <c r="X63" s="8">
        <v>0</v>
      </c>
      <c r="Y63" s="8">
        <v>0</v>
      </c>
      <c r="Z63" s="8">
        <v>0</v>
      </c>
      <c r="AA63" s="8">
        <v>0</v>
      </c>
      <c r="AB63" s="8">
        <v>0</v>
      </c>
      <c r="AC63" s="8">
        <v>1</v>
      </c>
    </row>
    <row r="64" spans="3:29" x14ac:dyDescent="0.25">
      <c r="C64" s="9" t="s">
        <v>198</v>
      </c>
      <c r="D64" s="8">
        <v>116</v>
      </c>
      <c r="E64" s="8">
        <v>44</v>
      </c>
      <c r="F64" s="8">
        <v>4</v>
      </c>
      <c r="G64" s="8">
        <v>315</v>
      </c>
      <c r="H64" s="8">
        <v>5</v>
      </c>
      <c r="I64" s="8">
        <v>0</v>
      </c>
      <c r="J64" s="8">
        <v>0</v>
      </c>
      <c r="K64" s="8">
        <v>0</v>
      </c>
      <c r="L64" s="8">
        <v>1</v>
      </c>
      <c r="M64" s="8">
        <v>0</v>
      </c>
      <c r="N64" s="8">
        <v>0</v>
      </c>
      <c r="O64" s="8">
        <v>1</v>
      </c>
      <c r="P64" s="8">
        <v>0</v>
      </c>
      <c r="Q64" s="8">
        <v>1</v>
      </c>
      <c r="R64" s="8">
        <v>0</v>
      </c>
      <c r="S64" s="8">
        <v>0</v>
      </c>
      <c r="T64" s="8">
        <v>1</v>
      </c>
      <c r="U64" s="8">
        <v>0</v>
      </c>
      <c r="V64" s="8">
        <v>0</v>
      </c>
      <c r="W64" s="8">
        <v>0</v>
      </c>
      <c r="X64" s="8">
        <v>0</v>
      </c>
      <c r="Y64" s="8">
        <v>1</v>
      </c>
      <c r="Z64" s="8">
        <v>0</v>
      </c>
      <c r="AA64" s="8">
        <v>0</v>
      </c>
      <c r="AB64" s="8">
        <v>0</v>
      </c>
      <c r="AC64" s="8">
        <v>0</v>
      </c>
    </row>
    <row r="65" spans="3:29" x14ac:dyDescent="0.25">
      <c r="C65" s="9" t="s">
        <v>199</v>
      </c>
      <c r="D65" s="8">
        <v>44</v>
      </c>
      <c r="E65" s="8">
        <v>35</v>
      </c>
      <c r="F65" s="8">
        <v>5</v>
      </c>
      <c r="G65" s="8">
        <v>3933</v>
      </c>
      <c r="H65" s="8">
        <v>6</v>
      </c>
      <c r="I65" s="8">
        <v>0</v>
      </c>
      <c r="J65" s="8">
        <v>0</v>
      </c>
      <c r="K65" s="8">
        <v>1</v>
      </c>
      <c r="L65" s="8">
        <v>0</v>
      </c>
      <c r="M65" s="8">
        <v>0</v>
      </c>
      <c r="N65" s="8">
        <v>0</v>
      </c>
      <c r="O65" s="8">
        <v>1</v>
      </c>
      <c r="P65" s="8">
        <v>0</v>
      </c>
      <c r="Q65" s="8">
        <v>0</v>
      </c>
      <c r="R65" s="8">
        <v>0</v>
      </c>
      <c r="S65" s="8">
        <v>1</v>
      </c>
      <c r="T65" s="8">
        <v>1</v>
      </c>
      <c r="U65" s="8">
        <v>0</v>
      </c>
      <c r="V65" s="8">
        <v>0</v>
      </c>
      <c r="W65" s="8">
        <v>0</v>
      </c>
      <c r="X65" s="8">
        <v>0</v>
      </c>
      <c r="Y65" s="8">
        <v>0</v>
      </c>
      <c r="Z65" s="8">
        <v>0</v>
      </c>
      <c r="AA65" s="8">
        <v>0</v>
      </c>
      <c r="AB65" s="8">
        <v>1</v>
      </c>
      <c r="AC65" s="8">
        <v>0</v>
      </c>
    </row>
    <row r="66" spans="3:29" x14ac:dyDescent="0.25">
      <c r="C66" s="9" t="s">
        <v>200</v>
      </c>
      <c r="D66" s="8">
        <v>49</v>
      </c>
      <c r="E66" s="8">
        <v>22</v>
      </c>
      <c r="F66" s="8">
        <v>3</v>
      </c>
      <c r="G66" s="8">
        <v>188</v>
      </c>
      <c r="H66" s="8">
        <v>5</v>
      </c>
      <c r="I66" s="8">
        <v>0</v>
      </c>
      <c r="J66" s="8">
        <v>0</v>
      </c>
      <c r="K66" s="8">
        <v>0</v>
      </c>
      <c r="L66" s="8">
        <v>1</v>
      </c>
      <c r="M66" s="8">
        <v>0</v>
      </c>
      <c r="N66" s="8">
        <v>0</v>
      </c>
      <c r="O66" s="8">
        <v>1</v>
      </c>
      <c r="P66" s="8">
        <v>0</v>
      </c>
      <c r="Q66" s="8">
        <v>0</v>
      </c>
      <c r="R66" s="8">
        <v>1</v>
      </c>
      <c r="S66" s="8">
        <v>0</v>
      </c>
      <c r="T66" s="8">
        <v>0</v>
      </c>
      <c r="U66" s="8">
        <v>0</v>
      </c>
      <c r="V66" s="8">
        <v>1</v>
      </c>
      <c r="W66" s="8">
        <v>0</v>
      </c>
      <c r="X66" s="8">
        <v>0</v>
      </c>
      <c r="Y66" s="8">
        <v>0</v>
      </c>
      <c r="Z66" s="8">
        <v>1</v>
      </c>
      <c r="AA66" s="8">
        <v>0</v>
      </c>
      <c r="AB66" s="8">
        <v>0</v>
      </c>
      <c r="AC66" s="8">
        <v>0</v>
      </c>
    </row>
    <row r="67" spans="3:29" x14ac:dyDescent="0.25">
      <c r="C67" s="9" t="s">
        <v>438</v>
      </c>
      <c r="D67" s="8">
        <v>137</v>
      </c>
      <c r="E67" s="8">
        <v>42</v>
      </c>
      <c r="F67" s="8">
        <v>3</v>
      </c>
      <c r="G67" s="8">
        <v>2916</v>
      </c>
      <c r="H67" s="8">
        <v>5</v>
      </c>
      <c r="I67" s="8">
        <v>0</v>
      </c>
      <c r="J67" s="8">
        <v>0</v>
      </c>
      <c r="K67" s="8">
        <v>1</v>
      </c>
      <c r="L67" s="8">
        <v>0</v>
      </c>
      <c r="M67" s="8">
        <v>0</v>
      </c>
      <c r="N67" s="8">
        <v>0</v>
      </c>
      <c r="O67" s="8">
        <v>1</v>
      </c>
      <c r="P67" s="8">
        <v>0</v>
      </c>
      <c r="Q67" s="8">
        <v>0</v>
      </c>
      <c r="R67" s="8">
        <v>1</v>
      </c>
      <c r="S67" s="8">
        <v>0</v>
      </c>
      <c r="T67" s="8">
        <v>0</v>
      </c>
      <c r="U67" s="8">
        <v>0</v>
      </c>
      <c r="V67" s="8">
        <v>1</v>
      </c>
      <c r="W67" s="8">
        <v>0</v>
      </c>
      <c r="X67" s="8">
        <v>0</v>
      </c>
      <c r="Y67" s="8">
        <v>0</v>
      </c>
      <c r="Z67" s="8">
        <v>1</v>
      </c>
      <c r="AA67" s="8">
        <v>0</v>
      </c>
      <c r="AB67" s="8">
        <v>0</v>
      </c>
      <c r="AC67" s="8">
        <v>0</v>
      </c>
    </row>
    <row r="68" spans="3:29" x14ac:dyDescent="0.25">
      <c r="C68" s="9" t="s">
        <v>448</v>
      </c>
      <c r="D68" s="8">
        <v>130</v>
      </c>
      <c r="E68" s="8">
        <v>19</v>
      </c>
      <c r="F68" s="8">
        <v>3</v>
      </c>
      <c r="G68" s="8">
        <v>2916</v>
      </c>
      <c r="H68" s="8">
        <v>6</v>
      </c>
      <c r="I68" s="8">
        <v>0</v>
      </c>
      <c r="J68" s="8">
        <v>1</v>
      </c>
      <c r="K68" s="8">
        <v>0</v>
      </c>
      <c r="L68" s="8">
        <v>0</v>
      </c>
      <c r="M68" s="8">
        <v>0</v>
      </c>
      <c r="N68" s="8">
        <v>0</v>
      </c>
      <c r="O68" s="8">
        <v>1</v>
      </c>
      <c r="P68" s="8">
        <v>0</v>
      </c>
      <c r="Q68" s="8">
        <v>0</v>
      </c>
      <c r="R68" s="8">
        <v>1</v>
      </c>
      <c r="S68" s="8">
        <v>0</v>
      </c>
      <c r="T68" s="8">
        <v>0</v>
      </c>
      <c r="U68" s="8">
        <v>0</v>
      </c>
      <c r="V68" s="8">
        <v>1</v>
      </c>
      <c r="W68" s="8">
        <v>0</v>
      </c>
      <c r="X68" s="8">
        <v>0</v>
      </c>
      <c r="Y68" s="8">
        <v>0</v>
      </c>
      <c r="Z68" s="8">
        <v>1</v>
      </c>
      <c r="AA68" s="8">
        <v>0</v>
      </c>
      <c r="AB68" s="8">
        <v>0</v>
      </c>
      <c r="AC68" s="8">
        <v>0</v>
      </c>
    </row>
    <row r="69" spans="3:29" x14ac:dyDescent="0.25">
      <c r="C69" s="9" t="s">
        <v>201</v>
      </c>
      <c r="D69" s="8">
        <v>50</v>
      </c>
      <c r="E69" s="8">
        <v>39</v>
      </c>
      <c r="F69" s="8">
        <v>2</v>
      </c>
      <c r="G69" s="8">
        <v>1228</v>
      </c>
      <c r="H69" s="8">
        <v>10</v>
      </c>
      <c r="I69" s="8">
        <v>1</v>
      </c>
      <c r="J69" s="8">
        <v>0</v>
      </c>
      <c r="K69" s="8">
        <v>0</v>
      </c>
      <c r="L69" s="8">
        <v>0</v>
      </c>
      <c r="M69" s="8">
        <v>0</v>
      </c>
      <c r="N69" s="8">
        <v>1</v>
      </c>
      <c r="O69" s="8">
        <v>0</v>
      </c>
      <c r="P69" s="8">
        <v>0</v>
      </c>
      <c r="Q69" s="8">
        <v>1</v>
      </c>
      <c r="R69" s="8">
        <v>0</v>
      </c>
      <c r="S69" s="8">
        <v>0</v>
      </c>
      <c r="T69" s="8">
        <v>0</v>
      </c>
      <c r="U69" s="8">
        <v>0</v>
      </c>
      <c r="V69" s="8">
        <v>1</v>
      </c>
      <c r="W69" s="8">
        <v>0</v>
      </c>
      <c r="X69" s="8">
        <v>0</v>
      </c>
      <c r="Y69" s="8">
        <v>0</v>
      </c>
      <c r="Z69" s="8">
        <v>0</v>
      </c>
      <c r="AA69" s="8">
        <v>1</v>
      </c>
      <c r="AB69" s="8">
        <v>0</v>
      </c>
      <c r="AC69" s="8">
        <v>0</v>
      </c>
    </row>
    <row r="70" spans="3:29" x14ac:dyDescent="0.25">
      <c r="C70" s="9" t="s">
        <v>442</v>
      </c>
      <c r="D70" s="8">
        <v>75</v>
      </c>
      <c r="E70" s="8">
        <v>37</v>
      </c>
      <c r="F70" s="8">
        <v>5</v>
      </c>
      <c r="G70" s="8">
        <v>732</v>
      </c>
      <c r="H70" s="8">
        <v>6</v>
      </c>
      <c r="I70" s="8">
        <v>0</v>
      </c>
      <c r="J70" s="8">
        <v>1</v>
      </c>
      <c r="K70" s="8">
        <v>0</v>
      </c>
      <c r="L70" s="8">
        <v>0</v>
      </c>
      <c r="M70" s="8">
        <v>0</v>
      </c>
      <c r="N70" s="8">
        <v>0</v>
      </c>
      <c r="O70" s="8">
        <v>1</v>
      </c>
      <c r="P70" s="8">
        <v>0</v>
      </c>
      <c r="Q70" s="8">
        <v>1</v>
      </c>
      <c r="R70" s="8">
        <v>0</v>
      </c>
      <c r="S70" s="8">
        <v>0</v>
      </c>
      <c r="T70" s="8">
        <v>0</v>
      </c>
      <c r="U70" s="8">
        <v>0</v>
      </c>
      <c r="V70" s="8">
        <v>1</v>
      </c>
      <c r="W70" s="8">
        <v>0</v>
      </c>
      <c r="X70" s="8">
        <v>0</v>
      </c>
      <c r="Y70" s="8">
        <v>1</v>
      </c>
      <c r="Z70" s="8">
        <v>0</v>
      </c>
      <c r="AA70" s="8">
        <v>0</v>
      </c>
      <c r="AB70" s="8">
        <v>0</v>
      </c>
      <c r="AC70" s="8">
        <v>0</v>
      </c>
    </row>
    <row r="71" spans="3:29" x14ac:dyDescent="0.25">
      <c r="C71" s="9" t="s">
        <v>202</v>
      </c>
      <c r="D71" s="8">
        <v>125</v>
      </c>
      <c r="E71" s="8">
        <v>35</v>
      </c>
      <c r="F71" s="8">
        <v>5</v>
      </c>
      <c r="G71" s="8">
        <v>2700</v>
      </c>
      <c r="H71" s="8">
        <v>4</v>
      </c>
      <c r="I71" s="8">
        <v>0</v>
      </c>
      <c r="J71" s="8">
        <v>0</v>
      </c>
      <c r="K71" s="8">
        <v>1</v>
      </c>
      <c r="L71" s="8">
        <v>0</v>
      </c>
      <c r="M71" s="8">
        <v>1</v>
      </c>
      <c r="N71" s="8">
        <v>0</v>
      </c>
      <c r="O71" s="8">
        <v>0</v>
      </c>
      <c r="P71" s="8">
        <v>1</v>
      </c>
      <c r="Q71" s="8">
        <v>0</v>
      </c>
      <c r="R71" s="8">
        <v>0</v>
      </c>
      <c r="S71" s="8">
        <v>1</v>
      </c>
      <c r="T71" s="8">
        <v>0</v>
      </c>
      <c r="U71" s="8">
        <v>0</v>
      </c>
      <c r="V71" s="8">
        <v>1</v>
      </c>
      <c r="W71" s="8">
        <v>0</v>
      </c>
      <c r="X71" s="8">
        <v>0</v>
      </c>
      <c r="Y71" s="8">
        <v>0</v>
      </c>
      <c r="Z71" s="8">
        <v>1</v>
      </c>
      <c r="AA71" s="8">
        <v>0</v>
      </c>
      <c r="AB71" s="8">
        <v>0</v>
      </c>
      <c r="AC71" s="8">
        <v>0</v>
      </c>
    </row>
    <row r="72" spans="3:29" x14ac:dyDescent="0.25">
      <c r="C72" s="9" t="s">
        <v>203</v>
      </c>
      <c r="D72" s="8">
        <v>77</v>
      </c>
      <c r="E72" s="8">
        <v>18</v>
      </c>
      <c r="F72" s="8">
        <v>4</v>
      </c>
      <c r="G72" s="8">
        <v>3933</v>
      </c>
      <c r="H72" s="8">
        <v>10</v>
      </c>
      <c r="I72" s="8">
        <v>0</v>
      </c>
      <c r="J72" s="8">
        <v>1</v>
      </c>
      <c r="K72" s="8">
        <v>0</v>
      </c>
      <c r="L72" s="8">
        <v>0</v>
      </c>
      <c r="M72" s="8">
        <v>0</v>
      </c>
      <c r="N72" s="8">
        <v>1</v>
      </c>
      <c r="O72" s="8">
        <v>0</v>
      </c>
      <c r="P72" s="8">
        <v>0</v>
      </c>
      <c r="Q72" s="8">
        <v>0</v>
      </c>
      <c r="R72" s="8">
        <v>0</v>
      </c>
      <c r="S72" s="8">
        <v>1</v>
      </c>
      <c r="T72" s="8">
        <v>1</v>
      </c>
      <c r="U72" s="8">
        <v>0</v>
      </c>
      <c r="V72" s="8">
        <v>0</v>
      </c>
      <c r="W72" s="8">
        <v>0</v>
      </c>
      <c r="X72" s="8">
        <v>0</v>
      </c>
      <c r="Y72" s="8">
        <v>1</v>
      </c>
      <c r="Z72" s="8">
        <v>0</v>
      </c>
      <c r="AA72" s="8">
        <v>0</v>
      </c>
      <c r="AB72" s="8">
        <v>0</v>
      </c>
      <c r="AC72" s="8">
        <v>0</v>
      </c>
    </row>
    <row r="73" spans="3:29" x14ac:dyDescent="0.25">
      <c r="C73" s="9" t="s">
        <v>204</v>
      </c>
      <c r="D73" s="8">
        <v>38</v>
      </c>
      <c r="E73" s="8">
        <v>22</v>
      </c>
      <c r="F73" s="8">
        <v>4</v>
      </c>
      <c r="G73" s="8">
        <v>826</v>
      </c>
      <c r="H73" s="8">
        <v>4</v>
      </c>
      <c r="I73" s="8">
        <v>0</v>
      </c>
      <c r="J73" s="8">
        <v>0</v>
      </c>
      <c r="K73" s="8">
        <v>1</v>
      </c>
      <c r="L73" s="8">
        <v>0</v>
      </c>
      <c r="M73" s="8">
        <v>1</v>
      </c>
      <c r="N73" s="8">
        <v>0</v>
      </c>
      <c r="O73" s="8">
        <v>0</v>
      </c>
      <c r="P73" s="8">
        <v>0</v>
      </c>
      <c r="Q73" s="8">
        <v>0</v>
      </c>
      <c r="R73" s="8">
        <v>1</v>
      </c>
      <c r="S73" s="8">
        <v>0</v>
      </c>
      <c r="T73" s="8">
        <v>0</v>
      </c>
      <c r="U73" s="8">
        <v>0</v>
      </c>
      <c r="V73" s="8">
        <v>1</v>
      </c>
      <c r="W73" s="8">
        <v>0</v>
      </c>
      <c r="X73" s="8">
        <v>1</v>
      </c>
      <c r="Y73" s="8">
        <v>0</v>
      </c>
      <c r="Z73" s="8">
        <v>0</v>
      </c>
      <c r="AA73" s="8">
        <v>0</v>
      </c>
      <c r="AB73" s="8">
        <v>0</v>
      </c>
      <c r="AC73" s="8">
        <v>0</v>
      </c>
    </row>
    <row r="74" spans="3:29" x14ac:dyDescent="0.25">
      <c r="C74" s="9" t="s">
        <v>205</v>
      </c>
      <c r="D74" s="8">
        <v>101</v>
      </c>
      <c r="E74" s="8">
        <v>35</v>
      </c>
      <c r="F74" s="8">
        <v>5</v>
      </c>
      <c r="G74" s="8">
        <v>787</v>
      </c>
      <c r="H74" s="8">
        <v>5</v>
      </c>
      <c r="I74" s="8">
        <v>1</v>
      </c>
      <c r="J74" s="8">
        <v>0</v>
      </c>
      <c r="K74" s="8">
        <v>0</v>
      </c>
      <c r="L74" s="8">
        <v>0</v>
      </c>
      <c r="M74" s="8">
        <v>1</v>
      </c>
      <c r="N74" s="8">
        <v>0</v>
      </c>
      <c r="O74" s="8">
        <v>0</v>
      </c>
      <c r="P74" s="8">
        <v>1</v>
      </c>
      <c r="Q74" s="8">
        <v>1</v>
      </c>
      <c r="R74" s="8">
        <v>0</v>
      </c>
      <c r="S74" s="8">
        <v>0</v>
      </c>
      <c r="T74" s="8">
        <v>0</v>
      </c>
      <c r="U74" s="8">
        <v>0</v>
      </c>
      <c r="V74" s="8">
        <v>1</v>
      </c>
      <c r="W74" s="8">
        <v>0</v>
      </c>
      <c r="X74" s="8">
        <v>0</v>
      </c>
      <c r="Y74" s="8">
        <v>1</v>
      </c>
      <c r="Z74" s="8">
        <v>0</v>
      </c>
      <c r="AA74" s="8">
        <v>0</v>
      </c>
      <c r="AB74" s="8">
        <v>0</v>
      </c>
      <c r="AC74" s="8">
        <v>0</v>
      </c>
    </row>
    <row r="75" spans="3:29" x14ac:dyDescent="0.25">
      <c r="C75" s="9" t="s">
        <v>206</v>
      </c>
      <c r="D75" s="8">
        <v>95</v>
      </c>
      <c r="E75" s="8">
        <v>34</v>
      </c>
      <c r="F75" s="8">
        <v>5</v>
      </c>
      <c r="G75" s="8">
        <v>4027</v>
      </c>
      <c r="H75" s="8">
        <v>6</v>
      </c>
      <c r="I75" s="8">
        <v>0</v>
      </c>
      <c r="J75" s="8">
        <v>1</v>
      </c>
      <c r="K75" s="8">
        <v>0</v>
      </c>
      <c r="L75" s="8">
        <v>0</v>
      </c>
      <c r="M75" s="8">
        <v>1</v>
      </c>
      <c r="N75" s="8">
        <v>0</v>
      </c>
      <c r="O75" s="8">
        <v>0</v>
      </c>
      <c r="P75" s="8">
        <v>0</v>
      </c>
      <c r="Q75" s="8">
        <v>0</v>
      </c>
      <c r="R75" s="8">
        <v>0</v>
      </c>
      <c r="S75" s="8">
        <v>1</v>
      </c>
      <c r="T75" s="8">
        <v>0</v>
      </c>
      <c r="U75" s="8">
        <v>0</v>
      </c>
      <c r="V75" s="8">
        <v>1</v>
      </c>
      <c r="W75" s="8">
        <v>0</v>
      </c>
      <c r="X75" s="8">
        <v>0</v>
      </c>
      <c r="Y75" s="8">
        <v>0</v>
      </c>
      <c r="Z75" s="8">
        <v>1</v>
      </c>
      <c r="AA75" s="8">
        <v>0</v>
      </c>
      <c r="AB75" s="8">
        <v>0</v>
      </c>
      <c r="AC75" s="8">
        <v>0</v>
      </c>
    </row>
    <row r="76" spans="3:29" x14ac:dyDescent="0.25">
      <c r="C76" s="9" t="s">
        <v>207</v>
      </c>
      <c r="D76" s="8">
        <v>119</v>
      </c>
      <c r="E76" s="8">
        <v>20</v>
      </c>
      <c r="F76" s="8">
        <v>5</v>
      </c>
      <c r="G76" s="8">
        <v>716</v>
      </c>
      <c r="H76" s="8">
        <v>1</v>
      </c>
      <c r="I76" s="8">
        <v>0</v>
      </c>
      <c r="J76" s="8">
        <v>1</v>
      </c>
      <c r="K76" s="8">
        <v>0</v>
      </c>
      <c r="L76" s="8">
        <v>0</v>
      </c>
      <c r="M76" s="8">
        <v>1</v>
      </c>
      <c r="N76" s="8">
        <v>0</v>
      </c>
      <c r="O76" s="8">
        <v>0</v>
      </c>
      <c r="P76" s="8">
        <v>1</v>
      </c>
      <c r="Q76" s="8">
        <v>1</v>
      </c>
      <c r="R76" s="8">
        <v>0</v>
      </c>
      <c r="S76" s="8">
        <v>0</v>
      </c>
      <c r="T76" s="8">
        <v>1</v>
      </c>
      <c r="U76" s="8">
        <v>0</v>
      </c>
      <c r="V76" s="8">
        <v>0</v>
      </c>
      <c r="W76" s="8">
        <v>0</v>
      </c>
      <c r="X76" s="8">
        <v>0</v>
      </c>
      <c r="Y76" s="8">
        <v>0</v>
      </c>
      <c r="Z76" s="8">
        <v>1</v>
      </c>
      <c r="AA76" s="8">
        <v>0</v>
      </c>
      <c r="AB76" s="8">
        <v>0</v>
      </c>
      <c r="AC76" s="8">
        <v>0</v>
      </c>
    </row>
    <row r="77" spans="3:29" x14ac:dyDescent="0.25">
      <c r="C77" s="9" t="s">
        <v>208</v>
      </c>
      <c r="D77" s="8">
        <v>50</v>
      </c>
      <c r="E77" s="8">
        <v>19</v>
      </c>
      <c r="F77" s="8">
        <v>5</v>
      </c>
      <c r="G77" s="8">
        <v>2959</v>
      </c>
      <c r="H77" s="8">
        <v>0</v>
      </c>
      <c r="I77" s="8">
        <v>0</v>
      </c>
      <c r="J77" s="8">
        <v>0</v>
      </c>
      <c r="K77" s="8">
        <v>0</v>
      </c>
      <c r="L77" s="8">
        <v>1</v>
      </c>
      <c r="M77" s="8">
        <v>1</v>
      </c>
      <c r="N77" s="8">
        <v>0</v>
      </c>
      <c r="O77" s="8">
        <v>0</v>
      </c>
      <c r="P77" s="8">
        <v>0</v>
      </c>
      <c r="Q77" s="8">
        <v>0</v>
      </c>
      <c r="R77" s="8">
        <v>0</v>
      </c>
      <c r="S77" s="8">
        <v>1</v>
      </c>
      <c r="T77" s="8">
        <v>0</v>
      </c>
      <c r="U77" s="8">
        <v>0</v>
      </c>
      <c r="V77" s="8">
        <v>1</v>
      </c>
      <c r="W77" s="8">
        <v>1</v>
      </c>
      <c r="X77" s="8">
        <v>0</v>
      </c>
      <c r="Y77" s="8">
        <v>0</v>
      </c>
      <c r="Z77" s="8">
        <v>0</v>
      </c>
      <c r="AA77" s="8">
        <v>0</v>
      </c>
      <c r="AB77" s="8">
        <v>0</v>
      </c>
      <c r="AC77" s="8">
        <v>0</v>
      </c>
    </row>
    <row r="78" spans="3:29" x14ac:dyDescent="0.25">
      <c r="C78" s="9" t="s">
        <v>209</v>
      </c>
      <c r="D78" s="8">
        <v>102</v>
      </c>
      <c r="E78" s="8">
        <v>17</v>
      </c>
      <c r="F78" s="8">
        <v>5</v>
      </c>
      <c r="G78" s="8">
        <v>2959</v>
      </c>
      <c r="H78" s="8">
        <v>2</v>
      </c>
      <c r="I78" s="8">
        <v>0</v>
      </c>
      <c r="J78" s="8">
        <v>0</v>
      </c>
      <c r="K78" s="8">
        <v>1</v>
      </c>
      <c r="L78" s="8">
        <v>0</v>
      </c>
      <c r="M78" s="8">
        <v>1</v>
      </c>
      <c r="N78" s="8">
        <v>0</v>
      </c>
      <c r="O78" s="8">
        <v>0</v>
      </c>
      <c r="P78" s="8">
        <v>0</v>
      </c>
      <c r="Q78" s="8">
        <v>0</v>
      </c>
      <c r="R78" s="8">
        <v>0</v>
      </c>
      <c r="S78" s="8">
        <v>1</v>
      </c>
      <c r="T78" s="8">
        <v>0</v>
      </c>
      <c r="U78" s="8">
        <v>0</v>
      </c>
      <c r="V78" s="8">
        <v>1</v>
      </c>
      <c r="W78" s="8">
        <v>0</v>
      </c>
      <c r="X78" s="8">
        <v>1</v>
      </c>
      <c r="Y78" s="8">
        <v>0</v>
      </c>
      <c r="Z78" s="8">
        <v>0</v>
      </c>
      <c r="AA78" s="8">
        <v>0</v>
      </c>
      <c r="AB78" s="8">
        <v>0</v>
      </c>
      <c r="AC78" s="8">
        <v>0</v>
      </c>
    </row>
    <row r="79" spans="3:29" x14ac:dyDescent="0.25">
      <c r="C79" s="9" t="s">
        <v>210</v>
      </c>
      <c r="D79" s="8">
        <v>35</v>
      </c>
      <c r="E79" s="8">
        <v>24</v>
      </c>
      <c r="F79" s="8">
        <v>5</v>
      </c>
      <c r="G79" s="8">
        <v>3348</v>
      </c>
      <c r="H79" s="8">
        <v>4</v>
      </c>
      <c r="I79" s="8">
        <v>0</v>
      </c>
      <c r="J79" s="8">
        <v>0</v>
      </c>
      <c r="K79" s="8">
        <v>0</v>
      </c>
      <c r="L79" s="8">
        <v>1</v>
      </c>
      <c r="M79" s="8">
        <v>0</v>
      </c>
      <c r="N79" s="8">
        <v>0</v>
      </c>
      <c r="O79" s="8">
        <v>1</v>
      </c>
      <c r="P79" s="8">
        <v>0</v>
      </c>
      <c r="Q79" s="8">
        <v>0</v>
      </c>
      <c r="R79" s="8">
        <v>0</v>
      </c>
      <c r="S79" s="8">
        <v>1</v>
      </c>
      <c r="T79" s="8">
        <v>1</v>
      </c>
      <c r="U79" s="8">
        <v>0</v>
      </c>
      <c r="V79" s="8">
        <v>0</v>
      </c>
      <c r="W79" s="8">
        <v>0</v>
      </c>
      <c r="X79" s="8">
        <v>0</v>
      </c>
      <c r="Y79" s="8">
        <v>0</v>
      </c>
      <c r="Z79" s="8">
        <v>1</v>
      </c>
      <c r="AA79" s="8">
        <v>0</v>
      </c>
      <c r="AB79" s="8">
        <v>0</v>
      </c>
      <c r="AC79" s="8">
        <v>0</v>
      </c>
    </row>
    <row r="80" spans="3:29" x14ac:dyDescent="0.25">
      <c r="C80" s="9" t="s">
        <v>434</v>
      </c>
      <c r="D80" s="8">
        <v>116</v>
      </c>
      <c r="E80" s="8">
        <v>12</v>
      </c>
      <c r="F80" s="8">
        <v>4</v>
      </c>
      <c r="G80" s="8">
        <v>2916</v>
      </c>
      <c r="H80" s="8">
        <v>4</v>
      </c>
      <c r="I80" s="8">
        <v>1</v>
      </c>
      <c r="J80" s="8">
        <v>0</v>
      </c>
      <c r="K80" s="8">
        <v>0</v>
      </c>
      <c r="L80" s="8">
        <v>0</v>
      </c>
      <c r="M80" s="8">
        <v>1</v>
      </c>
      <c r="N80" s="8">
        <v>0</v>
      </c>
      <c r="O80" s="8">
        <v>0</v>
      </c>
      <c r="P80" s="8">
        <v>0</v>
      </c>
      <c r="Q80" s="8">
        <v>0</v>
      </c>
      <c r="R80" s="8">
        <v>1</v>
      </c>
      <c r="S80" s="8">
        <v>0</v>
      </c>
      <c r="T80" s="8">
        <v>0</v>
      </c>
      <c r="U80" s="8">
        <v>0</v>
      </c>
      <c r="V80" s="8">
        <v>1</v>
      </c>
      <c r="W80" s="8">
        <v>0</v>
      </c>
      <c r="X80" s="8">
        <v>0</v>
      </c>
      <c r="Y80" s="8">
        <v>0</v>
      </c>
      <c r="Z80" s="8">
        <v>0</v>
      </c>
      <c r="AA80" s="8">
        <v>0</v>
      </c>
      <c r="AB80" s="8">
        <v>1</v>
      </c>
      <c r="AC80" s="8">
        <v>0</v>
      </c>
    </row>
    <row r="81" spans="3:29" x14ac:dyDescent="0.25">
      <c r="C81" s="9" t="s">
        <v>408</v>
      </c>
      <c r="D81" s="8">
        <v>46</v>
      </c>
      <c r="E81" s="8">
        <v>39</v>
      </c>
      <c r="F81" s="8">
        <v>4</v>
      </c>
      <c r="G81" s="8">
        <v>732</v>
      </c>
      <c r="H81" s="8">
        <v>6</v>
      </c>
      <c r="I81" s="8">
        <v>0</v>
      </c>
      <c r="J81" s="8">
        <v>0</v>
      </c>
      <c r="K81" s="8">
        <v>1</v>
      </c>
      <c r="L81" s="8">
        <v>0</v>
      </c>
      <c r="M81" s="8">
        <v>1</v>
      </c>
      <c r="N81" s="8">
        <v>0</v>
      </c>
      <c r="O81" s="8">
        <v>0</v>
      </c>
      <c r="P81" s="8">
        <v>0</v>
      </c>
      <c r="Q81" s="8">
        <v>1</v>
      </c>
      <c r="R81" s="8">
        <v>0</v>
      </c>
      <c r="S81" s="8">
        <v>0</v>
      </c>
      <c r="T81" s="8">
        <v>0</v>
      </c>
      <c r="U81" s="8">
        <v>0</v>
      </c>
      <c r="V81" s="8">
        <v>1</v>
      </c>
      <c r="W81" s="8">
        <v>0</v>
      </c>
      <c r="X81" s="8">
        <v>0</v>
      </c>
      <c r="Y81" s="8">
        <v>0</v>
      </c>
      <c r="Z81" s="8">
        <v>0</v>
      </c>
      <c r="AA81" s="8">
        <v>0</v>
      </c>
      <c r="AB81" s="8">
        <v>0</v>
      </c>
      <c r="AC81" s="8">
        <v>1</v>
      </c>
    </row>
    <row r="82" spans="3:29" x14ac:dyDescent="0.25">
      <c r="C82" s="9" t="s">
        <v>211</v>
      </c>
      <c r="D82" s="8">
        <v>60</v>
      </c>
      <c r="E82" s="8">
        <v>7</v>
      </c>
      <c r="F82" s="8">
        <v>5</v>
      </c>
      <c r="G82" s="8">
        <v>1228</v>
      </c>
      <c r="H82" s="8">
        <v>8</v>
      </c>
      <c r="I82" s="8">
        <v>0</v>
      </c>
      <c r="J82" s="8">
        <v>0</v>
      </c>
      <c r="K82" s="8">
        <v>1</v>
      </c>
      <c r="L82" s="8">
        <v>0</v>
      </c>
      <c r="M82" s="8">
        <v>0</v>
      </c>
      <c r="N82" s="8">
        <v>0</v>
      </c>
      <c r="O82" s="8">
        <v>1</v>
      </c>
      <c r="P82" s="8">
        <v>0</v>
      </c>
      <c r="Q82" s="8">
        <v>1</v>
      </c>
      <c r="R82" s="8">
        <v>0</v>
      </c>
      <c r="S82" s="8">
        <v>0</v>
      </c>
      <c r="T82" s="8">
        <v>0</v>
      </c>
      <c r="U82" s="8">
        <v>1</v>
      </c>
      <c r="V82" s="8">
        <v>0</v>
      </c>
      <c r="W82" s="8">
        <v>0</v>
      </c>
      <c r="X82" s="8">
        <v>0</v>
      </c>
      <c r="Y82" s="8">
        <v>0</v>
      </c>
      <c r="Z82" s="8">
        <v>0</v>
      </c>
      <c r="AA82" s="8">
        <v>0</v>
      </c>
      <c r="AB82" s="8">
        <v>1</v>
      </c>
      <c r="AC82" s="8">
        <v>0</v>
      </c>
    </row>
    <row r="83" spans="3:29" x14ac:dyDescent="0.25">
      <c r="C83" s="9" t="s">
        <v>212</v>
      </c>
      <c r="D83" s="8">
        <v>169</v>
      </c>
      <c r="E83" s="8">
        <v>25</v>
      </c>
      <c r="F83" s="8">
        <v>5</v>
      </c>
      <c r="G83" s="8">
        <v>2034</v>
      </c>
      <c r="H83" s="8">
        <v>8</v>
      </c>
      <c r="I83" s="8">
        <v>1</v>
      </c>
      <c r="J83" s="8">
        <v>0</v>
      </c>
      <c r="K83" s="8">
        <v>0</v>
      </c>
      <c r="L83" s="8">
        <v>0</v>
      </c>
      <c r="M83" s="8">
        <v>1</v>
      </c>
      <c r="N83" s="8">
        <v>0</v>
      </c>
      <c r="O83" s="8">
        <v>0</v>
      </c>
      <c r="P83" s="8">
        <v>0</v>
      </c>
      <c r="Q83" s="8">
        <v>0</v>
      </c>
      <c r="R83" s="8">
        <v>0</v>
      </c>
      <c r="S83" s="8">
        <v>1</v>
      </c>
      <c r="T83" s="8">
        <v>0</v>
      </c>
      <c r="U83" s="8">
        <v>0</v>
      </c>
      <c r="V83" s="8">
        <v>1</v>
      </c>
      <c r="W83" s="8">
        <v>0</v>
      </c>
      <c r="X83" s="8">
        <v>0</v>
      </c>
      <c r="Y83" s="8">
        <v>0</v>
      </c>
      <c r="Z83" s="8">
        <v>0</v>
      </c>
      <c r="AA83" s="8">
        <v>0</v>
      </c>
      <c r="AB83" s="8">
        <v>1</v>
      </c>
      <c r="AC83" s="8">
        <v>0</v>
      </c>
    </row>
    <row r="84" spans="3:29" x14ac:dyDescent="0.25">
      <c r="C84" s="9" t="s">
        <v>447</v>
      </c>
      <c r="D84" s="8">
        <v>17</v>
      </c>
      <c r="E84" s="8">
        <v>10</v>
      </c>
      <c r="F84" s="8">
        <v>5</v>
      </c>
      <c r="G84" s="8">
        <v>3933</v>
      </c>
      <c r="H84" s="8">
        <v>3</v>
      </c>
      <c r="I84" s="8">
        <v>0</v>
      </c>
      <c r="J84" s="8">
        <v>0</v>
      </c>
      <c r="K84" s="8">
        <v>0</v>
      </c>
      <c r="L84" s="8">
        <v>1</v>
      </c>
      <c r="M84" s="8">
        <v>1</v>
      </c>
      <c r="N84" s="8">
        <v>0</v>
      </c>
      <c r="O84" s="8">
        <v>0</v>
      </c>
      <c r="P84" s="8">
        <v>0</v>
      </c>
      <c r="Q84" s="8">
        <v>0</v>
      </c>
      <c r="R84" s="8">
        <v>0</v>
      </c>
      <c r="S84" s="8">
        <v>1</v>
      </c>
      <c r="T84" s="8">
        <v>0</v>
      </c>
      <c r="U84" s="8">
        <v>0</v>
      </c>
      <c r="V84" s="8">
        <v>1</v>
      </c>
      <c r="W84" s="8">
        <v>0</v>
      </c>
      <c r="X84" s="8">
        <v>0</v>
      </c>
      <c r="Y84" s="8">
        <v>1</v>
      </c>
      <c r="Z84" s="8">
        <v>0</v>
      </c>
      <c r="AA84" s="8">
        <v>0</v>
      </c>
      <c r="AB84" s="8">
        <v>0</v>
      </c>
      <c r="AC84" s="8">
        <v>0</v>
      </c>
    </row>
    <row r="85" spans="3:29" x14ac:dyDescent="0.25">
      <c r="C85" s="9" t="s">
        <v>213</v>
      </c>
      <c r="D85" s="8">
        <v>15</v>
      </c>
      <c r="E85" s="8">
        <v>6</v>
      </c>
      <c r="F85" s="8">
        <v>1</v>
      </c>
      <c r="G85" s="8">
        <v>3348</v>
      </c>
      <c r="H85" s="8">
        <v>4</v>
      </c>
      <c r="I85" s="8">
        <v>0</v>
      </c>
      <c r="J85" s="8">
        <v>0</v>
      </c>
      <c r="K85" s="8">
        <v>1</v>
      </c>
      <c r="L85" s="8">
        <v>0</v>
      </c>
      <c r="M85" s="8">
        <v>0</v>
      </c>
      <c r="N85" s="8">
        <v>0</v>
      </c>
      <c r="O85" s="8">
        <v>1</v>
      </c>
      <c r="P85" s="8">
        <v>0</v>
      </c>
      <c r="Q85" s="8">
        <v>0</v>
      </c>
      <c r="R85" s="8">
        <v>0</v>
      </c>
      <c r="S85" s="8">
        <v>1</v>
      </c>
      <c r="T85" s="8">
        <v>0</v>
      </c>
      <c r="U85" s="8">
        <v>1</v>
      </c>
      <c r="V85" s="8">
        <v>0</v>
      </c>
      <c r="W85" s="8">
        <v>0</v>
      </c>
      <c r="X85" s="8">
        <v>0</v>
      </c>
      <c r="Y85" s="8">
        <v>0</v>
      </c>
      <c r="Z85" s="8">
        <v>1</v>
      </c>
      <c r="AA85" s="8">
        <v>0</v>
      </c>
      <c r="AB85" s="8">
        <v>0</v>
      </c>
      <c r="AC85" s="8">
        <v>0</v>
      </c>
    </row>
    <row r="86" spans="3:29" x14ac:dyDescent="0.25">
      <c r="C86" s="9" t="s">
        <v>214</v>
      </c>
      <c r="D86" s="8">
        <v>37</v>
      </c>
      <c r="E86" s="8">
        <v>31</v>
      </c>
      <c r="F86" s="8">
        <v>5</v>
      </c>
      <c r="G86" s="8">
        <v>1228</v>
      </c>
      <c r="H86" s="8">
        <v>9</v>
      </c>
      <c r="I86" s="8">
        <v>0</v>
      </c>
      <c r="J86" s="8">
        <v>0</v>
      </c>
      <c r="K86" s="8">
        <v>1</v>
      </c>
      <c r="L86" s="8">
        <v>0</v>
      </c>
      <c r="M86" s="8">
        <v>0</v>
      </c>
      <c r="N86" s="8">
        <v>1</v>
      </c>
      <c r="O86" s="8">
        <v>0</v>
      </c>
      <c r="P86" s="8">
        <v>0</v>
      </c>
      <c r="Q86" s="8">
        <v>1</v>
      </c>
      <c r="R86" s="8">
        <v>0</v>
      </c>
      <c r="S86" s="8">
        <v>0</v>
      </c>
      <c r="T86" s="8">
        <v>1</v>
      </c>
      <c r="U86" s="8">
        <v>0</v>
      </c>
      <c r="V86" s="8">
        <v>0</v>
      </c>
      <c r="W86" s="8">
        <v>1</v>
      </c>
      <c r="X86" s="8">
        <v>0</v>
      </c>
      <c r="Y86" s="8">
        <v>0</v>
      </c>
      <c r="Z86" s="8">
        <v>0</v>
      </c>
      <c r="AA86" s="8">
        <v>0</v>
      </c>
      <c r="AB86" s="8">
        <v>0</v>
      </c>
      <c r="AC86" s="8">
        <v>0</v>
      </c>
    </row>
    <row r="87" spans="3:29" x14ac:dyDescent="0.25">
      <c r="C87" s="9" t="s">
        <v>215</v>
      </c>
      <c r="D87" s="8">
        <v>69</v>
      </c>
      <c r="E87" s="8">
        <v>22</v>
      </c>
      <c r="F87" s="8">
        <v>5</v>
      </c>
      <c r="G87" s="8">
        <v>787</v>
      </c>
      <c r="H87" s="8">
        <v>6</v>
      </c>
      <c r="I87" s="8">
        <v>0</v>
      </c>
      <c r="J87" s="8">
        <v>0</v>
      </c>
      <c r="K87" s="8">
        <v>1</v>
      </c>
      <c r="L87" s="8">
        <v>0</v>
      </c>
      <c r="M87" s="8">
        <v>0</v>
      </c>
      <c r="N87" s="8">
        <v>1</v>
      </c>
      <c r="O87" s="8">
        <v>0</v>
      </c>
      <c r="P87" s="8">
        <v>1</v>
      </c>
      <c r="Q87" s="8">
        <v>1</v>
      </c>
      <c r="R87" s="8">
        <v>0</v>
      </c>
      <c r="S87" s="8">
        <v>0</v>
      </c>
      <c r="T87" s="8">
        <v>0</v>
      </c>
      <c r="U87" s="8">
        <v>0</v>
      </c>
      <c r="V87" s="8">
        <v>1</v>
      </c>
      <c r="W87" s="8">
        <v>0</v>
      </c>
      <c r="X87" s="8">
        <v>0</v>
      </c>
      <c r="Y87" s="8">
        <v>0</v>
      </c>
      <c r="Z87" s="8">
        <v>0</v>
      </c>
      <c r="AA87" s="8">
        <v>1</v>
      </c>
      <c r="AB87" s="8">
        <v>0</v>
      </c>
      <c r="AC87" s="8">
        <v>0</v>
      </c>
    </row>
    <row r="88" spans="3:29" x14ac:dyDescent="0.25">
      <c r="C88" s="9" t="s">
        <v>216</v>
      </c>
      <c r="D88" s="8">
        <v>30</v>
      </c>
      <c r="E88" s="8">
        <v>12</v>
      </c>
      <c r="F88" s="8">
        <v>5</v>
      </c>
      <c r="G88" s="8">
        <v>2916</v>
      </c>
      <c r="H88" s="8">
        <v>4</v>
      </c>
      <c r="I88" s="8">
        <v>0</v>
      </c>
      <c r="J88" s="8">
        <v>1</v>
      </c>
      <c r="K88" s="8">
        <v>0</v>
      </c>
      <c r="L88" s="8">
        <v>0</v>
      </c>
      <c r="M88" s="8">
        <v>0</v>
      </c>
      <c r="N88" s="8">
        <v>0</v>
      </c>
      <c r="O88" s="8">
        <v>1</v>
      </c>
      <c r="P88" s="8">
        <v>0</v>
      </c>
      <c r="Q88" s="8">
        <v>0</v>
      </c>
      <c r="R88" s="8">
        <v>1</v>
      </c>
      <c r="S88" s="8">
        <v>0</v>
      </c>
      <c r="T88" s="8">
        <v>1</v>
      </c>
      <c r="U88" s="8">
        <v>0</v>
      </c>
      <c r="V88" s="8">
        <v>0</v>
      </c>
      <c r="W88" s="8">
        <v>0</v>
      </c>
      <c r="X88" s="8">
        <v>0</v>
      </c>
      <c r="Y88" s="8">
        <v>1</v>
      </c>
      <c r="Z88" s="8">
        <v>0</v>
      </c>
      <c r="AA88" s="8">
        <v>0</v>
      </c>
      <c r="AB88" s="8">
        <v>0</v>
      </c>
      <c r="AC88" s="8">
        <v>0</v>
      </c>
    </row>
    <row r="89" spans="3:29" x14ac:dyDescent="0.25">
      <c r="C89" s="9" t="s">
        <v>217</v>
      </c>
      <c r="D89" s="8">
        <v>59</v>
      </c>
      <c r="E89" s="8">
        <v>56</v>
      </c>
      <c r="F89" s="8">
        <v>3</v>
      </c>
      <c r="G89" s="8">
        <v>3348</v>
      </c>
      <c r="H89" s="8">
        <v>6</v>
      </c>
      <c r="I89" s="8">
        <v>0</v>
      </c>
      <c r="J89" s="8">
        <v>1</v>
      </c>
      <c r="K89" s="8">
        <v>0</v>
      </c>
      <c r="L89" s="8">
        <v>0</v>
      </c>
      <c r="M89" s="8">
        <v>0</v>
      </c>
      <c r="N89" s="8">
        <v>1</v>
      </c>
      <c r="O89" s="8">
        <v>0</v>
      </c>
      <c r="P89" s="8">
        <v>0</v>
      </c>
      <c r="Q89" s="8">
        <v>0</v>
      </c>
      <c r="R89" s="8">
        <v>0</v>
      </c>
      <c r="S89" s="8">
        <v>1</v>
      </c>
      <c r="T89" s="8">
        <v>0</v>
      </c>
      <c r="U89" s="8">
        <v>1</v>
      </c>
      <c r="V89" s="8">
        <v>0</v>
      </c>
      <c r="W89" s="8">
        <v>0</v>
      </c>
      <c r="X89" s="8">
        <v>0</v>
      </c>
      <c r="Y89" s="8">
        <v>0</v>
      </c>
      <c r="Z89" s="8">
        <v>0</v>
      </c>
      <c r="AA89" s="8">
        <v>0</v>
      </c>
      <c r="AB89" s="8">
        <v>1</v>
      </c>
      <c r="AC89" s="8">
        <v>0</v>
      </c>
    </row>
    <row r="90" spans="3:29" x14ac:dyDescent="0.25">
      <c r="C90" s="9" t="s">
        <v>218</v>
      </c>
      <c r="D90" s="8">
        <v>97</v>
      </c>
      <c r="E90" s="8">
        <v>31</v>
      </c>
      <c r="F90" s="8">
        <v>4</v>
      </c>
      <c r="G90" s="8">
        <v>2884</v>
      </c>
      <c r="H90" s="8">
        <v>8</v>
      </c>
      <c r="I90" s="8">
        <v>0</v>
      </c>
      <c r="J90" s="8">
        <v>1</v>
      </c>
      <c r="K90" s="8">
        <v>0</v>
      </c>
      <c r="L90" s="8">
        <v>0</v>
      </c>
      <c r="M90" s="8">
        <v>0</v>
      </c>
      <c r="N90" s="8">
        <v>0</v>
      </c>
      <c r="O90" s="8">
        <v>1</v>
      </c>
      <c r="P90" s="8">
        <v>1</v>
      </c>
      <c r="Q90" s="8">
        <v>0</v>
      </c>
      <c r="R90" s="8">
        <v>1</v>
      </c>
      <c r="S90" s="8">
        <v>0</v>
      </c>
      <c r="T90" s="8">
        <v>1</v>
      </c>
      <c r="U90" s="8">
        <v>0</v>
      </c>
      <c r="V90" s="8">
        <v>0</v>
      </c>
      <c r="W90" s="8">
        <v>0</v>
      </c>
      <c r="X90" s="8">
        <v>0</v>
      </c>
      <c r="Y90" s="8">
        <v>1</v>
      </c>
      <c r="Z90" s="8">
        <v>0</v>
      </c>
      <c r="AA90" s="8">
        <v>0</v>
      </c>
      <c r="AB90" s="8">
        <v>0</v>
      </c>
      <c r="AC90" s="8">
        <v>0</v>
      </c>
    </row>
    <row r="91" spans="3:29" x14ac:dyDescent="0.25">
      <c r="C91" s="9" t="s">
        <v>219</v>
      </c>
      <c r="D91" s="8">
        <v>87</v>
      </c>
      <c r="E91" s="8">
        <v>18</v>
      </c>
      <c r="F91" s="8">
        <v>3</v>
      </c>
      <c r="G91" s="8">
        <v>3981</v>
      </c>
      <c r="H91" s="8">
        <v>3</v>
      </c>
      <c r="I91" s="8">
        <v>1</v>
      </c>
      <c r="J91" s="8">
        <v>0</v>
      </c>
      <c r="K91" s="8">
        <v>0</v>
      </c>
      <c r="L91" s="8">
        <v>0</v>
      </c>
      <c r="M91" s="8">
        <v>1</v>
      </c>
      <c r="N91" s="8">
        <v>0</v>
      </c>
      <c r="O91" s="8">
        <v>0</v>
      </c>
      <c r="P91" s="8">
        <v>0</v>
      </c>
      <c r="Q91" s="8">
        <v>1</v>
      </c>
      <c r="R91" s="8">
        <v>0</v>
      </c>
      <c r="S91" s="8">
        <v>0</v>
      </c>
      <c r="T91" s="8">
        <v>0</v>
      </c>
      <c r="U91" s="8">
        <v>1</v>
      </c>
      <c r="V91" s="8">
        <v>0</v>
      </c>
      <c r="W91" s="8">
        <v>0</v>
      </c>
      <c r="X91" s="8">
        <v>0</v>
      </c>
      <c r="Y91" s="8">
        <v>0</v>
      </c>
      <c r="Z91" s="8">
        <v>0</v>
      </c>
      <c r="AA91" s="8">
        <v>1</v>
      </c>
      <c r="AB91" s="8">
        <v>0</v>
      </c>
      <c r="AC91" s="8">
        <v>0</v>
      </c>
    </row>
    <row r="92" spans="3:29" x14ac:dyDescent="0.25">
      <c r="C92" s="9" t="s">
        <v>220</v>
      </c>
      <c r="D92" s="8">
        <v>84</v>
      </c>
      <c r="E92" s="8">
        <v>18</v>
      </c>
      <c r="F92" s="8">
        <v>5</v>
      </c>
      <c r="G92" s="8">
        <v>732</v>
      </c>
      <c r="H92" s="8">
        <v>4</v>
      </c>
      <c r="I92" s="8">
        <v>1</v>
      </c>
      <c r="J92" s="8">
        <v>0</v>
      </c>
      <c r="K92" s="8">
        <v>0</v>
      </c>
      <c r="L92" s="8">
        <v>0</v>
      </c>
      <c r="M92" s="8">
        <v>0</v>
      </c>
      <c r="N92" s="8">
        <v>1</v>
      </c>
      <c r="O92" s="8">
        <v>0</v>
      </c>
      <c r="P92" s="8">
        <v>0</v>
      </c>
      <c r="Q92" s="8">
        <v>1</v>
      </c>
      <c r="R92" s="8">
        <v>0</v>
      </c>
      <c r="S92" s="8">
        <v>0</v>
      </c>
      <c r="T92" s="8">
        <v>0</v>
      </c>
      <c r="U92" s="8">
        <v>0</v>
      </c>
      <c r="V92" s="8">
        <v>1</v>
      </c>
      <c r="W92" s="8">
        <v>0</v>
      </c>
      <c r="X92" s="8">
        <v>0</v>
      </c>
      <c r="Y92" s="8">
        <v>0</v>
      </c>
      <c r="Z92" s="8">
        <v>0</v>
      </c>
      <c r="AA92" s="8">
        <v>0</v>
      </c>
      <c r="AB92" s="8">
        <v>0</v>
      </c>
      <c r="AC92" s="8">
        <v>1</v>
      </c>
    </row>
    <row r="93" spans="3:29" x14ac:dyDescent="0.25">
      <c r="C93" s="9" t="s">
        <v>221</v>
      </c>
      <c r="D93" s="8">
        <v>42</v>
      </c>
      <c r="E93" s="8">
        <v>11</v>
      </c>
      <c r="F93" s="8">
        <v>5</v>
      </c>
      <c r="G93" s="8">
        <v>1228</v>
      </c>
      <c r="H93" s="8">
        <v>7</v>
      </c>
      <c r="I93" s="8">
        <v>1</v>
      </c>
      <c r="J93" s="8">
        <v>0</v>
      </c>
      <c r="K93" s="8">
        <v>0</v>
      </c>
      <c r="L93" s="8">
        <v>0</v>
      </c>
      <c r="M93" s="8">
        <v>0</v>
      </c>
      <c r="N93" s="8">
        <v>0</v>
      </c>
      <c r="O93" s="8">
        <v>1</v>
      </c>
      <c r="P93" s="8">
        <v>0</v>
      </c>
      <c r="Q93" s="8">
        <v>1</v>
      </c>
      <c r="R93" s="8">
        <v>0</v>
      </c>
      <c r="S93" s="8">
        <v>0</v>
      </c>
      <c r="T93" s="8">
        <v>0</v>
      </c>
      <c r="U93" s="8">
        <v>0</v>
      </c>
      <c r="V93" s="8">
        <v>1</v>
      </c>
      <c r="W93" s="8">
        <v>0</v>
      </c>
      <c r="X93" s="8">
        <v>1</v>
      </c>
      <c r="Y93" s="8">
        <v>0</v>
      </c>
      <c r="Z93" s="8">
        <v>0</v>
      </c>
      <c r="AA93" s="8">
        <v>0</v>
      </c>
      <c r="AB93" s="8">
        <v>0</v>
      </c>
      <c r="AC93" s="8">
        <v>0</v>
      </c>
    </row>
    <row r="94" spans="3:29" x14ac:dyDescent="0.25">
      <c r="C94" s="9" t="s">
        <v>222</v>
      </c>
      <c r="D94" s="8">
        <v>63</v>
      </c>
      <c r="E94" s="8">
        <v>27</v>
      </c>
      <c r="F94" s="8">
        <v>4</v>
      </c>
      <c r="G94" s="8">
        <v>3348</v>
      </c>
      <c r="H94" s="8">
        <v>5</v>
      </c>
      <c r="I94" s="8">
        <v>0</v>
      </c>
      <c r="J94" s="8">
        <v>0</v>
      </c>
      <c r="K94" s="8">
        <v>1</v>
      </c>
      <c r="L94" s="8">
        <v>0</v>
      </c>
      <c r="M94" s="8">
        <v>0</v>
      </c>
      <c r="N94" s="8">
        <v>0</v>
      </c>
      <c r="O94" s="8">
        <v>1</v>
      </c>
      <c r="P94" s="8">
        <v>0</v>
      </c>
      <c r="Q94" s="8">
        <v>0</v>
      </c>
      <c r="R94" s="8">
        <v>0</v>
      </c>
      <c r="S94" s="8">
        <v>1</v>
      </c>
      <c r="T94" s="8">
        <v>0</v>
      </c>
      <c r="U94" s="8">
        <v>1</v>
      </c>
      <c r="V94" s="8">
        <v>0</v>
      </c>
      <c r="W94" s="8">
        <v>0</v>
      </c>
      <c r="X94" s="8">
        <v>0</v>
      </c>
      <c r="Y94" s="8">
        <v>0</v>
      </c>
      <c r="Z94" s="8">
        <v>0</v>
      </c>
      <c r="AA94" s="8">
        <v>0</v>
      </c>
      <c r="AB94" s="8">
        <v>0</v>
      </c>
      <c r="AC94" s="8">
        <v>1</v>
      </c>
    </row>
    <row r="95" spans="3:29" x14ac:dyDescent="0.25">
      <c r="C95" s="9" t="s">
        <v>223</v>
      </c>
      <c r="D95" s="8">
        <v>26</v>
      </c>
      <c r="E95" s="8">
        <v>17</v>
      </c>
      <c r="F95" s="8">
        <v>5</v>
      </c>
      <c r="G95" s="8">
        <v>716</v>
      </c>
      <c r="H95" s="8">
        <v>7</v>
      </c>
      <c r="I95" s="8">
        <v>0</v>
      </c>
      <c r="J95" s="8">
        <v>0</v>
      </c>
      <c r="K95" s="8">
        <v>1</v>
      </c>
      <c r="L95" s="8">
        <v>0</v>
      </c>
      <c r="M95" s="8">
        <v>0</v>
      </c>
      <c r="N95" s="8">
        <v>0</v>
      </c>
      <c r="O95" s="8">
        <v>1</v>
      </c>
      <c r="P95" s="8">
        <v>1</v>
      </c>
      <c r="Q95" s="8">
        <v>1</v>
      </c>
      <c r="R95" s="8">
        <v>0</v>
      </c>
      <c r="S95" s="8">
        <v>0</v>
      </c>
      <c r="T95" s="8">
        <v>0</v>
      </c>
      <c r="U95" s="8">
        <v>0</v>
      </c>
      <c r="V95" s="8">
        <v>1</v>
      </c>
      <c r="W95" s="8">
        <v>0</v>
      </c>
      <c r="X95" s="8">
        <v>0</v>
      </c>
      <c r="Y95" s="8">
        <v>0</v>
      </c>
      <c r="Z95" s="8">
        <v>0</v>
      </c>
      <c r="AA95" s="8">
        <v>1</v>
      </c>
      <c r="AB95" s="8">
        <v>0</v>
      </c>
      <c r="AC95" s="8">
        <v>0</v>
      </c>
    </row>
    <row r="96" spans="3:29" x14ac:dyDescent="0.25">
      <c r="C96" s="9" t="s">
        <v>224</v>
      </c>
      <c r="D96" s="8">
        <v>146</v>
      </c>
      <c r="E96" s="8">
        <v>17</v>
      </c>
      <c r="F96" s="8">
        <v>4</v>
      </c>
      <c r="G96" s="8">
        <v>3773</v>
      </c>
      <c r="H96" s="8">
        <v>2</v>
      </c>
      <c r="I96" s="8">
        <v>0</v>
      </c>
      <c r="J96" s="8">
        <v>1</v>
      </c>
      <c r="K96" s="8">
        <v>0</v>
      </c>
      <c r="L96" s="8">
        <v>0</v>
      </c>
      <c r="M96" s="8">
        <v>0</v>
      </c>
      <c r="N96" s="8">
        <v>1</v>
      </c>
      <c r="O96" s="8">
        <v>0</v>
      </c>
      <c r="P96" s="8">
        <v>0</v>
      </c>
      <c r="Q96" s="8">
        <v>1</v>
      </c>
      <c r="R96" s="8">
        <v>0</v>
      </c>
      <c r="S96" s="8">
        <v>0</v>
      </c>
      <c r="T96" s="8">
        <v>1</v>
      </c>
      <c r="U96" s="8">
        <v>0</v>
      </c>
      <c r="V96" s="8">
        <v>0</v>
      </c>
      <c r="W96" s="8">
        <v>0</v>
      </c>
      <c r="X96" s="8">
        <v>0</v>
      </c>
      <c r="Y96" s="8">
        <v>1</v>
      </c>
      <c r="Z96" s="8">
        <v>0</v>
      </c>
      <c r="AA96" s="8">
        <v>0</v>
      </c>
      <c r="AB96" s="8">
        <v>0</v>
      </c>
      <c r="AC96" s="8">
        <v>0</v>
      </c>
    </row>
    <row r="97" spans="3:29" x14ac:dyDescent="0.25">
      <c r="C97" s="9" t="s">
        <v>225</v>
      </c>
      <c r="D97" s="8">
        <v>60</v>
      </c>
      <c r="E97" s="8">
        <v>11</v>
      </c>
      <c r="F97" s="8">
        <v>5</v>
      </c>
      <c r="G97" s="8">
        <v>787</v>
      </c>
      <c r="H97" s="8">
        <v>3</v>
      </c>
      <c r="I97" s="8">
        <v>1</v>
      </c>
      <c r="J97" s="8">
        <v>0</v>
      </c>
      <c r="K97" s="8">
        <v>0</v>
      </c>
      <c r="L97" s="8">
        <v>0</v>
      </c>
      <c r="M97" s="8">
        <v>0</v>
      </c>
      <c r="N97" s="8">
        <v>0</v>
      </c>
      <c r="O97" s="8">
        <v>1</v>
      </c>
      <c r="P97" s="8">
        <v>1</v>
      </c>
      <c r="Q97" s="8">
        <v>1</v>
      </c>
      <c r="R97" s="8">
        <v>0</v>
      </c>
      <c r="S97" s="8">
        <v>0</v>
      </c>
      <c r="T97" s="8">
        <v>0</v>
      </c>
      <c r="U97" s="8">
        <v>0</v>
      </c>
      <c r="V97" s="8">
        <v>1</v>
      </c>
      <c r="W97" s="8">
        <v>0</v>
      </c>
      <c r="X97" s="8">
        <v>0</v>
      </c>
      <c r="Y97" s="8">
        <v>0</v>
      </c>
      <c r="Z97" s="8">
        <v>0</v>
      </c>
      <c r="AA97" s="8">
        <v>1</v>
      </c>
      <c r="AB97" s="8">
        <v>0</v>
      </c>
      <c r="AC97" s="8">
        <v>0</v>
      </c>
    </row>
    <row r="98" spans="3:29" x14ac:dyDescent="0.25">
      <c r="C98" s="9" t="s">
        <v>226</v>
      </c>
      <c r="D98" s="8">
        <v>30</v>
      </c>
      <c r="E98" s="8">
        <v>10</v>
      </c>
      <c r="F98" s="8">
        <v>3</v>
      </c>
      <c r="G98" s="8">
        <v>3003</v>
      </c>
      <c r="H98" s="8">
        <v>2</v>
      </c>
      <c r="I98" s="8">
        <v>0</v>
      </c>
      <c r="J98" s="8">
        <v>0</v>
      </c>
      <c r="K98" s="8">
        <v>1</v>
      </c>
      <c r="L98" s="8">
        <v>0</v>
      </c>
      <c r="M98" s="8">
        <v>0</v>
      </c>
      <c r="N98" s="8">
        <v>0</v>
      </c>
      <c r="O98" s="8">
        <v>1</v>
      </c>
      <c r="P98" s="8">
        <v>0</v>
      </c>
      <c r="Q98" s="8">
        <v>0</v>
      </c>
      <c r="R98" s="8">
        <v>1</v>
      </c>
      <c r="S98" s="8">
        <v>0</v>
      </c>
      <c r="T98" s="8">
        <v>0</v>
      </c>
      <c r="U98" s="8">
        <v>0</v>
      </c>
      <c r="V98" s="8">
        <v>1</v>
      </c>
      <c r="W98" s="8">
        <v>0</v>
      </c>
      <c r="X98" s="8">
        <v>0</v>
      </c>
      <c r="Y98" s="8">
        <v>0</v>
      </c>
      <c r="Z98" s="8">
        <v>0</v>
      </c>
      <c r="AA98" s="8">
        <v>0</v>
      </c>
      <c r="AB98" s="8">
        <v>0</v>
      </c>
      <c r="AC98" s="8">
        <v>1</v>
      </c>
    </row>
    <row r="99" spans="3:29" x14ac:dyDescent="0.25">
      <c r="C99" s="9" t="s">
        <v>458</v>
      </c>
      <c r="D99" s="8">
        <v>54</v>
      </c>
      <c r="E99" s="8">
        <v>18</v>
      </c>
      <c r="F99" s="8">
        <v>4</v>
      </c>
      <c r="G99" s="8">
        <v>3348</v>
      </c>
      <c r="H99" s="8">
        <v>5</v>
      </c>
      <c r="I99" s="8">
        <v>0</v>
      </c>
      <c r="J99" s="8">
        <v>1</v>
      </c>
      <c r="K99" s="8">
        <v>0</v>
      </c>
      <c r="L99" s="8">
        <v>0</v>
      </c>
      <c r="M99" s="8">
        <v>1</v>
      </c>
      <c r="N99" s="8">
        <v>0</v>
      </c>
      <c r="O99" s="8">
        <v>0</v>
      </c>
      <c r="P99" s="8">
        <v>0</v>
      </c>
      <c r="Q99" s="8">
        <v>0</v>
      </c>
      <c r="R99" s="8">
        <v>0</v>
      </c>
      <c r="S99" s="8">
        <v>1</v>
      </c>
      <c r="T99" s="8">
        <v>0</v>
      </c>
      <c r="U99" s="8">
        <v>0</v>
      </c>
      <c r="V99" s="8">
        <v>1</v>
      </c>
      <c r="W99" s="8">
        <v>0</v>
      </c>
      <c r="X99" s="8">
        <v>0</v>
      </c>
      <c r="Y99" s="8">
        <v>0</v>
      </c>
      <c r="Z99" s="8">
        <v>0</v>
      </c>
      <c r="AA99" s="8">
        <v>0</v>
      </c>
      <c r="AB99" s="8">
        <v>0</v>
      </c>
      <c r="AC99" s="8">
        <v>1</v>
      </c>
    </row>
    <row r="100" spans="3:29" x14ac:dyDescent="0.25">
      <c r="C100" s="9" t="s">
        <v>427</v>
      </c>
      <c r="D100" s="8">
        <v>142</v>
      </c>
      <c r="E100" s="8">
        <v>17</v>
      </c>
      <c r="F100" s="8">
        <v>4</v>
      </c>
      <c r="G100" s="8">
        <v>2700</v>
      </c>
      <c r="H100" s="8">
        <v>3</v>
      </c>
      <c r="I100" s="8">
        <v>0</v>
      </c>
      <c r="J100" s="8">
        <v>0</v>
      </c>
      <c r="K100" s="8">
        <v>0</v>
      </c>
      <c r="L100" s="8">
        <v>1</v>
      </c>
      <c r="M100" s="8">
        <v>0</v>
      </c>
      <c r="N100" s="8">
        <v>0</v>
      </c>
      <c r="O100" s="8">
        <v>1</v>
      </c>
      <c r="P100" s="8">
        <v>1</v>
      </c>
      <c r="Q100" s="8">
        <v>0</v>
      </c>
      <c r="R100" s="8">
        <v>0</v>
      </c>
      <c r="S100" s="8">
        <v>1</v>
      </c>
      <c r="T100" s="8">
        <v>0</v>
      </c>
      <c r="U100" s="8">
        <v>0</v>
      </c>
      <c r="V100" s="8">
        <v>1</v>
      </c>
      <c r="W100" s="8">
        <v>0</v>
      </c>
      <c r="X100" s="8">
        <v>1</v>
      </c>
      <c r="Y100" s="8">
        <v>0</v>
      </c>
      <c r="Z100" s="8">
        <v>0</v>
      </c>
      <c r="AA100" s="8">
        <v>0</v>
      </c>
      <c r="AB100" s="8">
        <v>0</v>
      </c>
      <c r="AC100" s="8">
        <v>0</v>
      </c>
    </row>
    <row r="101" spans="3:29" x14ac:dyDescent="0.25">
      <c r="C101" s="9" t="s">
        <v>227</v>
      </c>
      <c r="D101" s="8">
        <v>39</v>
      </c>
      <c r="E101" s="8">
        <v>15</v>
      </c>
      <c r="F101" s="8">
        <v>3</v>
      </c>
      <c r="G101" s="8">
        <v>1467</v>
      </c>
      <c r="H101" s="8">
        <v>1</v>
      </c>
      <c r="I101" s="8">
        <v>0</v>
      </c>
      <c r="J101" s="8">
        <v>0</v>
      </c>
      <c r="K101" s="8">
        <v>1</v>
      </c>
      <c r="L101" s="8">
        <v>0</v>
      </c>
      <c r="M101" s="8">
        <v>1</v>
      </c>
      <c r="N101" s="8">
        <v>0</v>
      </c>
      <c r="O101" s="8">
        <v>0</v>
      </c>
      <c r="P101" s="8">
        <v>1</v>
      </c>
      <c r="Q101" s="8">
        <v>0</v>
      </c>
      <c r="R101" s="8">
        <v>1</v>
      </c>
      <c r="S101" s="8">
        <v>0</v>
      </c>
      <c r="T101" s="8">
        <v>0</v>
      </c>
      <c r="U101" s="8">
        <v>1</v>
      </c>
      <c r="V101" s="8">
        <v>0</v>
      </c>
      <c r="W101" s="8">
        <v>0</v>
      </c>
      <c r="X101" s="8">
        <v>0</v>
      </c>
      <c r="Y101" s="8">
        <v>0</v>
      </c>
      <c r="Z101" s="8">
        <v>1</v>
      </c>
      <c r="AA101" s="8">
        <v>0</v>
      </c>
      <c r="AB101" s="8">
        <v>0</v>
      </c>
      <c r="AC101" s="8">
        <v>0</v>
      </c>
    </row>
    <row r="102" spans="3:29" x14ac:dyDescent="0.25">
      <c r="C102" s="9" t="s">
        <v>420</v>
      </c>
      <c r="D102" s="8">
        <v>62</v>
      </c>
      <c r="E102" s="8">
        <v>13</v>
      </c>
      <c r="F102" s="8">
        <v>4</v>
      </c>
      <c r="G102" s="8">
        <v>3933</v>
      </c>
      <c r="H102" s="8">
        <v>2</v>
      </c>
      <c r="I102" s="8">
        <v>0</v>
      </c>
      <c r="J102" s="8">
        <v>0</v>
      </c>
      <c r="K102" s="8">
        <v>0</v>
      </c>
      <c r="L102" s="8">
        <v>1</v>
      </c>
      <c r="M102" s="8">
        <v>1</v>
      </c>
      <c r="N102" s="8">
        <v>0</v>
      </c>
      <c r="O102" s="8">
        <v>0</v>
      </c>
      <c r="P102" s="8">
        <v>0</v>
      </c>
      <c r="Q102" s="8">
        <v>0</v>
      </c>
      <c r="R102" s="8">
        <v>0</v>
      </c>
      <c r="S102" s="8">
        <v>1</v>
      </c>
      <c r="T102" s="8">
        <v>0</v>
      </c>
      <c r="U102" s="8">
        <v>0</v>
      </c>
      <c r="V102" s="8">
        <v>1</v>
      </c>
      <c r="W102" s="8">
        <v>0</v>
      </c>
      <c r="X102" s="8">
        <v>0</v>
      </c>
      <c r="Y102" s="8">
        <v>0</v>
      </c>
      <c r="Z102" s="8">
        <v>0</v>
      </c>
      <c r="AA102" s="8">
        <v>0</v>
      </c>
      <c r="AB102" s="8">
        <v>1</v>
      </c>
      <c r="AC102" s="8">
        <v>0</v>
      </c>
    </row>
    <row r="103" spans="3:29" x14ac:dyDescent="0.25">
      <c r="C103" s="9" t="s">
        <v>228</v>
      </c>
      <c r="D103" s="8">
        <v>60</v>
      </c>
      <c r="E103" s="8">
        <v>4</v>
      </c>
      <c r="F103" s="8">
        <v>4</v>
      </c>
      <c r="G103" s="8">
        <v>732</v>
      </c>
      <c r="H103" s="8">
        <v>2</v>
      </c>
      <c r="I103" s="8">
        <v>0</v>
      </c>
      <c r="J103" s="8">
        <v>0</v>
      </c>
      <c r="K103" s="8">
        <v>1</v>
      </c>
      <c r="L103" s="8">
        <v>0</v>
      </c>
      <c r="M103" s="8">
        <v>0</v>
      </c>
      <c r="N103" s="8">
        <v>0</v>
      </c>
      <c r="O103" s="8">
        <v>1</v>
      </c>
      <c r="P103" s="8">
        <v>0</v>
      </c>
      <c r="Q103" s="8">
        <v>1</v>
      </c>
      <c r="R103" s="8">
        <v>0</v>
      </c>
      <c r="S103" s="8">
        <v>0</v>
      </c>
      <c r="T103" s="8">
        <v>0</v>
      </c>
      <c r="U103" s="8">
        <v>0</v>
      </c>
      <c r="V103" s="8">
        <v>1</v>
      </c>
      <c r="W103" s="8">
        <v>0</v>
      </c>
      <c r="X103" s="8">
        <v>0</v>
      </c>
      <c r="Y103" s="8">
        <v>0</v>
      </c>
      <c r="Z103" s="8">
        <v>0</v>
      </c>
      <c r="AA103" s="8">
        <v>0</v>
      </c>
      <c r="AB103" s="8">
        <v>1</v>
      </c>
      <c r="AC103" s="8">
        <v>0</v>
      </c>
    </row>
    <row r="104" spans="3:29" x14ac:dyDescent="0.25">
      <c r="C104" s="9" t="s">
        <v>229</v>
      </c>
      <c r="D104" s="8">
        <v>34</v>
      </c>
      <c r="E104" s="8">
        <v>17</v>
      </c>
      <c r="F104" s="8">
        <v>4</v>
      </c>
      <c r="G104" s="8">
        <v>1467</v>
      </c>
      <c r="H104" s="8">
        <v>8</v>
      </c>
      <c r="I104" s="8">
        <v>1</v>
      </c>
      <c r="J104" s="8">
        <v>0</v>
      </c>
      <c r="K104" s="8">
        <v>0</v>
      </c>
      <c r="L104" s="8">
        <v>0</v>
      </c>
      <c r="M104" s="8">
        <v>0</v>
      </c>
      <c r="N104" s="8">
        <v>1</v>
      </c>
      <c r="O104" s="8">
        <v>0</v>
      </c>
      <c r="P104" s="8">
        <v>1</v>
      </c>
      <c r="Q104" s="8">
        <v>0</v>
      </c>
      <c r="R104" s="8">
        <v>1</v>
      </c>
      <c r="S104" s="8">
        <v>0</v>
      </c>
      <c r="T104" s="8">
        <v>0</v>
      </c>
      <c r="U104" s="8">
        <v>1</v>
      </c>
      <c r="V104" s="8">
        <v>0</v>
      </c>
      <c r="W104" s="8">
        <v>0</v>
      </c>
      <c r="X104" s="8">
        <v>0</v>
      </c>
      <c r="Y104" s="8">
        <v>0</v>
      </c>
      <c r="Z104" s="8">
        <v>1</v>
      </c>
      <c r="AA104" s="8">
        <v>0</v>
      </c>
      <c r="AB104" s="8">
        <v>0</v>
      </c>
      <c r="AC104" s="8">
        <v>0</v>
      </c>
    </row>
    <row r="105" spans="3:29" x14ac:dyDescent="0.25">
      <c r="C105" s="9" t="s">
        <v>230</v>
      </c>
      <c r="D105" s="8">
        <v>48</v>
      </c>
      <c r="E105" s="8">
        <v>14</v>
      </c>
      <c r="F105" s="8">
        <v>5</v>
      </c>
      <c r="G105" s="8">
        <v>1282</v>
      </c>
      <c r="H105" s="8">
        <v>9</v>
      </c>
      <c r="I105" s="8">
        <v>0</v>
      </c>
      <c r="J105" s="8">
        <v>1</v>
      </c>
      <c r="K105" s="8">
        <v>0</v>
      </c>
      <c r="L105" s="8">
        <v>0</v>
      </c>
      <c r="M105" s="8">
        <v>1</v>
      </c>
      <c r="N105" s="8">
        <v>0</v>
      </c>
      <c r="O105" s="8">
        <v>0</v>
      </c>
      <c r="P105" s="8">
        <v>0</v>
      </c>
      <c r="Q105" s="8">
        <v>0</v>
      </c>
      <c r="R105" s="8">
        <v>0</v>
      </c>
      <c r="S105" s="8">
        <v>1</v>
      </c>
      <c r="T105" s="8">
        <v>0</v>
      </c>
      <c r="U105" s="8">
        <v>0</v>
      </c>
      <c r="V105" s="8">
        <v>1</v>
      </c>
      <c r="W105" s="8">
        <v>0</v>
      </c>
      <c r="X105" s="8">
        <v>0</v>
      </c>
      <c r="Y105" s="8">
        <v>0</v>
      </c>
      <c r="Z105" s="8">
        <v>0</v>
      </c>
      <c r="AA105" s="8">
        <v>0</v>
      </c>
      <c r="AB105" s="8">
        <v>0</v>
      </c>
      <c r="AC105" s="8">
        <v>1</v>
      </c>
    </row>
    <row r="106" spans="3:29" x14ac:dyDescent="0.25">
      <c r="C106" s="9" t="s">
        <v>231</v>
      </c>
      <c r="D106" s="8">
        <v>24</v>
      </c>
      <c r="E106" s="8">
        <v>12</v>
      </c>
      <c r="F106" s="8">
        <v>4</v>
      </c>
      <c r="G106" s="8">
        <v>787</v>
      </c>
      <c r="H106" s="8">
        <v>4</v>
      </c>
      <c r="I106" s="8">
        <v>0</v>
      </c>
      <c r="J106" s="8">
        <v>0</v>
      </c>
      <c r="K106" s="8">
        <v>0</v>
      </c>
      <c r="L106" s="8">
        <v>1</v>
      </c>
      <c r="M106" s="8">
        <v>0</v>
      </c>
      <c r="N106" s="8">
        <v>0</v>
      </c>
      <c r="O106" s="8">
        <v>1</v>
      </c>
      <c r="P106" s="8">
        <v>1</v>
      </c>
      <c r="Q106" s="8">
        <v>1</v>
      </c>
      <c r="R106" s="8">
        <v>0</v>
      </c>
      <c r="S106" s="8">
        <v>0</v>
      </c>
      <c r="T106" s="8">
        <v>0</v>
      </c>
      <c r="U106" s="8">
        <v>1</v>
      </c>
      <c r="V106" s="8">
        <v>0</v>
      </c>
      <c r="W106" s="8">
        <v>0</v>
      </c>
      <c r="X106" s="8">
        <v>1</v>
      </c>
      <c r="Y106" s="8">
        <v>0</v>
      </c>
      <c r="Z106" s="8">
        <v>0</v>
      </c>
      <c r="AA106" s="8">
        <v>0</v>
      </c>
      <c r="AB106" s="8">
        <v>0</v>
      </c>
      <c r="AC106" s="8">
        <v>0</v>
      </c>
    </row>
    <row r="107" spans="3:29" x14ac:dyDescent="0.25">
      <c r="C107" s="9" t="s">
        <v>232</v>
      </c>
      <c r="D107" s="8">
        <v>78</v>
      </c>
      <c r="E107" s="8">
        <v>11</v>
      </c>
      <c r="F107" s="8">
        <v>4</v>
      </c>
      <c r="G107" s="8">
        <v>2884</v>
      </c>
      <c r="H107" s="8">
        <v>2</v>
      </c>
      <c r="I107" s="8">
        <v>0</v>
      </c>
      <c r="J107" s="8">
        <v>0</v>
      </c>
      <c r="K107" s="8">
        <v>0</v>
      </c>
      <c r="L107" s="8">
        <v>1</v>
      </c>
      <c r="M107" s="8">
        <v>1</v>
      </c>
      <c r="N107" s="8">
        <v>0</v>
      </c>
      <c r="O107" s="8">
        <v>0</v>
      </c>
      <c r="P107" s="8">
        <v>1</v>
      </c>
      <c r="Q107" s="8">
        <v>0</v>
      </c>
      <c r="R107" s="8">
        <v>1</v>
      </c>
      <c r="S107" s="8">
        <v>0</v>
      </c>
      <c r="T107" s="8">
        <v>0</v>
      </c>
      <c r="U107" s="8">
        <v>0</v>
      </c>
      <c r="V107" s="8">
        <v>1</v>
      </c>
      <c r="W107" s="8">
        <v>0</v>
      </c>
      <c r="X107" s="8">
        <v>0</v>
      </c>
      <c r="Y107" s="8">
        <v>0</v>
      </c>
      <c r="Z107" s="8">
        <v>0</v>
      </c>
      <c r="AA107" s="8">
        <v>0</v>
      </c>
      <c r="AB107" s="8">
        <v>1</v>
      </c>
      <c r="AC107" s="8">
        <v>0</v>
      </c>
    </row>
    <row r="108" spans="3:29" x14ac:dyDescent="0.25">
      <c r="C108" s="9" t="s">
        <v>233</v>
      </c>
      <c r="D108" s="8">
        <v>34</v>
      </c>
      <c r="E108" s="8">
        <v>8</v>
      </c>
      <c r="F108" s="8">
        <v>3</v>
      </c>
      <c r="G108" s="8">
        <v>3981</v>
      </c>
      <c r="H108" s="8">
        <v>4</v>
      </c>
      <c r="I108" s="8">
        <v>1</v>
      </c>
      <c r="J108" s="8">
        <v>0</v>
      </c>
      <c r="K108" s="8">
        <v>0</v>
      </c>
      <c r="L108" s="8">
        <v>0</v>
      </c>
      <c r="M108" s="8">
        <v>1</v>
      </c>
      <c r="N108" s="8">
        <v>0</v>
      </c>
      <c r="O108" s="8">
        <v>0</v>
      </c>
      <c r="P108" s="8">
        <v>0</v>
      </c>
      <c r="Q108" s="8">
        <v>1</v>
      </c>
      <c r="R108" s="8">
        <v>0</v>
      </c>
      <c r="S108" s="8">
        <v>0</v>
      </c>
      <c r="T108" s="8">
        <v>1</v>
      </c>
      <c r="U108" s="8">
        <v>0</v>
      </c>
      <c r="V108" s="8">
        <v>0</v>
      </c>
      <c r="W108" s="8">
        <v>0</v>
      </c>
      <c r="X108" s="8">
        <v>0</v>
      </c>
      <c r="Y108" s="8">
        <v>0</v>
      </c>
      <c r="Z108" s="8">
        <v>0</v>
      </c>
      <c r="AA108" s="8">
        <v>0</v>
      </c>
      <c r="AB108" s="8">
        <v>1</v>
      </c>
      <c r="AC108" s="8">
        <v>0</v>
      </c>
    </row>
    <row r="109" spans="3:29" x14ac:dyDescent="0.25">
      <c r="C109" s="9" t="s">
        <v>234</v>
      </c>
      <c r="D109" s="8">
        <v>43</v>
      </c>
      <c r="E109" s="8">
        <v>38</v>
      </c>
      <c r="F109" s="8">
        <v>5</v>
      </c>
      <c r="G109" s="8">
        <v>4027</v>
      </c>
      <c r="H109" s="8">
        <v>4</v>
      </c>
      <c r="I109" s="8">
        <v>0</v>
      </c>
      <c r="J109" s="8">
        <v>0</v>
      </c>
      <c r="K109" s="8">
        <v>0</v>
      </c>
      <c r="L109" s="8">
        <v>1</v>
      </c>
      <c r="M109" s="8">
        <v>0</v>
      </c>
      <c r="N109" s="8">
        <v>0</v>
      </c>
      <c r="O109" s="8">
        <v>1</v>
      </c>
      <c r="P109" s="8">
        <v>0</v>
      </c>
      <c r="Q109" s="8">
        <v>0</v>
      </c>
      <c r="R109" s="8">
        <v>0</v>
      </c>
      <c r="S109" s="8">
        <v>1</v>
      </c>
      <c r="T109" s="8">
        <v>1</v>
      </c>
      <c r="U109" s="8">
        <v>0</v>
      </c>
      <c r="V109" s="8">
        <v>0</v>
      </c>
      <c r="W109" s="8">
        <v>0</v>
      </c>
      <c r="X109" s="8">
        <v>0</v>
      </c>
      <c r="Y109" s="8">
        <v>1</v>
      </c>
      <c r="Z109" s="8">
        <v>0</v>
      </c>
      <c r="AA109" s="8">
        <v>0</v>
      </c>
      <c r="AB109" s="8">
        <v>0</v>
      </c>
      <c r="AC109" s="8">
        <v>0</v>
      </c>
    </row>
    <row r="110" spans="3:29" x14ac:dyDescent="0.25">
      <c r="C110" s="9" t="s">
        <v>441</v>
      </c>
      <c r="D110" s="8">
        <v>15</v>
      </c>
      <c r="E110" s="8">
        <v>10</v>
      </c>
      <c r="F110" s="8">
        <v>3</v>
      </c>
      <c r="G110" s="8">
        <v>3348</v>
      </c>
      <c r="H110" s="8">
        <v>9</v>
      </c>
      <c r="I110" s="8">
        <v>0</v>
      </c>
      <c r="J110" s="8">
        <v>0</v>
      </c>
      <c r="K110" s="8">
        <v>1</v>
      </c>
      <c r="L110" s="8">
        <v>0</v>
      </c>
      <c r="M110" s="8">
        <v>0</v>
      </c>
      <c r="N110" s="8">
        <v>1</v>
      </c>
      <c r="O110" s="8">
        <v>0</v>
      </c>
      <c r="P110" s="8">
        <v>0</v>
      </c>
      <c r="Q110" s="8">
        <v>0</v>
      </c>
      <c r="R110" s="8">
        <v>0</v>
      </c>
      <c r="S110" s="8">
        <v>1</v>
      </c>
      <c r="T110" s="8">
        <v>0</v>
      </c>
      <c r="U110" s="8">
        <v>0</v>
      </c>
      <c r="V110" s="8">
        <v>1</v>
      </c>
      <c r="W110" s="8">
        <v>1</v>
      </c>
      <c r="X110" s="8">
        <v>0</v>
      </c>
      <c r="Y110" s="8">
        <v>0</v>
      </c>
      <c r="Z110" s="8">
        <v>0</v>
      </c>
      <c r="AA110" s="8">
        <v>0</v>
      </c>
      <c r="AB110" s="8">
        <v>0</v>
      </c>
      <c r="AC110" s="8">
        <v>0</v>
      </c>
    </row>
    <row r="111" spans="3:29" x14ac:dyDescent="0.25">
      <c r="C111" s="9" t="s">
        <v>235</v>
      </c>
      <c r="D111" s="8">
        <v>26</v>
      </c>
      <c r="E111" s="8">
        <v>10</v>
      </c>
      <c r="F111" s="8">
        <v>5</v>
      </c>
      <c r="G111" s="8">
        <v>3981</v>
      </c>
      <c r="H111" s="8">
        <v>1</v>
      </c>
      <c r="I111" s="8">
        <v>0</v>
      </c>
      <c r="J111" s="8">
        <v>0</v>
      </c>
      <c r="K111" s="8">
        <v>1</v>
      </c>
      <c r="L111" s="8">
        <v>0</v>
      </c>
      <c r="M111" s="8">
        <v>1</v>
      </c>
      <c r="N111" s="8">
        <v>0</v>
      </c>
      <c r="O111" s="8">
        <v>0</v>
      </c>
      <c r="P111" s="8">
        <v>0</v>
      </c>
      <c r="Q111" s="8">
        <v>1</v>
      </c>
      <c r="R111" s="8">
        <v>0</v>
      </c>
      <c r="S111" s="8">
        <v>0</v>
      </c>
      <c r="T111" s="8">
        <v>0</v>
      </c>
      <c r="U111" s="8">
        <v>0</v>
      </c>
      <c r="V111" s="8">
        <v>1</v>
      </c>
      <c r="W111" s="8">
        <v>0</v>
      </c>
      <c r="X111" s="8">
        <v>0</v>
      </c>
      <c r="Y111" s="8">
        <v>0</v>
      </c>
      <c r="Z111" s="8">
        <v>0</v>
      </c>
      <c r="AA111" s="8">
        <v>0</v>
      </c>
      <c r="AB111" s="8">
        <v>0</v>
      </c>
      <c r="AC111" s="8">
        <v>1</v>
      </c>
    </row>
    <row r="112" spans="3:29" x14ac:dyDescent="0.25">
      <c r="C112" s="9" t="s">
        <v>236</v>
      </c>
      <c r="D112" s="8">
        <v>19</v>
      </c>
      <c r="E112" s="8">
        <v>9</v>
      </c>
      <c r="F112" s="8">
        <v>5</v>
      </c>
      <c r="G112" s="8">
        <v>1467</v>
      </c>
      <c r="H112" s="8">
        <v>3</v>
      </c>
      <c r="I112" s="8">
        <v>0</v>
      </c>
      <c r="J112" s="8">
        <v>0</v>
      </c>
      <c r="K112" s="8">
        <v>1</v>
      </c>
      <c r="L112" s="8">
        <v>0</v>
      </c>
      <c r="M112" s="8">
        <v>0</v>
      </c>
      <c r="N112" s="8">
        <v>0</v>
      </c>
      <c r="O112" s="8">
        <v>1</v>
      </c>
      <c r="P112" s="8">
        <v>1</v>
      </c>
      <c r="Q112" s="8">
        <v>0</v>
      </c>
      <c r="R112" s="8">
        <v>1</v>
      </c>
      <c r="S112" s="8">
        <v>0</v>
      </c>
      <c r="T112" s="8">
        <v>0</v>
      </c>
      <c r="U112" s="8">
        <v>1</v>
      </c>
      <c r="V112" s="8">
        <v>0</v>
      </c>
      <c r="W112" s="8">
        <v>1</v>
      </c>
      <c r="X112" s="8">
        <v>0</v>
      </c>
      <c r="Y112" s="8">
        <v>0</v>
      </c>
      <c r="Z112" s="8">
        <v>0</v>
      </c>
      <c r="AA112" s="8">
        <v>0</v>
      </c>
      <c r="AB112" s="8">
        <v>0</v>
      </c>
      <c r="AC112" s="8">
        <v>0</v>
      </c>
    </row>
    <row r="113" spans="3:29" x14ac:dyDescent="0.25">
      <c r="C113" s="9" t="s">
        <v>237</v>
      </c>
      <c r="D113" s="8">
        <v>113</v>
      </c>
      <c r="E113" s="8">
        <v>38</v>
      </c>
      <c r="F113" s="8">
        <v>4</v>
      </c>
      <c r="G113" s="8">
        <v>2034</v>
      </c>
      <c r="H113" s="8">
        <v>1</v>
      </c>
      <c r="I113" s="8">
        <v>0</v>
      </c>
      <c r="J113" s="8">
        <v>0</v>
      </c>
      <c r="K113" s="8">
        <v>1</v>
      </c>
      <c r="L113" s="8">
        <v>0</v>
      </c>
      <c r="M113" s="8">
        <v>1</v>
      </c>
      <c r="N113" s="8">
        <v>0</v>
      </c>
      <c r="O113" s="8">
        <v>0</v>
      </c>
      <c r="P113" s="8">
        <v>0</v>
      </c>
      <c r="Q113" s="8">
        <v>0</v>
      </c>
      <c r="R113" s="8">
        <v>0</v>
      </c>
      <c r="S113" s="8">
        <v>1</v>
      </c>
      <c r="T113" s="8">
        <v>0</v>
      </c>
      <c r="U113" s="8">
        <v>0</v>
      </c>
      <c r="V113" s="8">
        <v>1</v>
      </c>
      <c r="W113" s="8">
        <v>0</v>
      </c>
      <c r="X113" s="8">
        <v>0</v>
      </c>
      <c r="Y113" s="8">
        <v>0</v>
      </c>
      <c r="Z113" s="8">
        <v>0</v>
      </c>
      <c r="AA113" s="8">
        <v>0</v>
      </c>
      <c r="AB113" s="8">
        <v>1</v>
      </c>
      <c r="AC113" s="8">
        <v>0</v>
      </c>
    </row>
    <row r="114" spans="3:29" x14ac:dyDescent="0.25">
      <c r="C114" s="9" t="s">
        <v>238</v>
      </c>
      <c r="D114" s="8">
        <v>35</v>
      </c>
      <c r="E114" s="8">
        <v>17</v>
      </c>
      <c r="F114" s="8">
        <v>5</v>
      </c>
      <c r="G114" s="8">
        <v>787</v>
      </c>
      <c r="H114" s="8">
        <v>6</v>
      </c>
      <c r="I114" s="8">
        <v>0</v>
      </c>
      <c r="J114" s="8">
        <v>1</v>
      </c>
      <c r="K114" s="8">
        <v>0</v>
      </c>
      <c r="L114" s="8">
        <v>0</v>
      </c>
      <c r="M114" s="8">
        <v>0</v>
      </c>
      <c r="N114" s="8">
        <v>0</v>
      </c>
      <c r="O114" s="8">
        <v>1</v>
      </c>
      <c r="P114" s="8">
        <v>1</v>
      </c>
      <c r="Q114" s="8">
        <v>1</v>
      </c>
      <c r="R114" s="8">
        <v>0</v>
      </c>
      <c r="S114" s="8">
        <v>0</v>
      </c>
      <c r="T114" s="8">
        <v>0</v>
      </c>
      <c r="U114" s="8">
        <v>1</v>
      </c>
      <c r="V114" s="8">
        <v>0</v>
      </c>
      <c r="W114" s="8">
        <v>0</v>
      </c>
      <c r="X114" s="8">
        <v>0</v>
      </c>
      <c r="Y114" s="8">
        <v>0</v>
      </c>
      <c r="Z114" s="8">
        <v>0</v>
      </c>
      <c r="AA114" s="8">
        <v>0</v>
      </c>
      <c r="AB114" s="8">
        <v>1</v>
      </c>
      <c r="AC114" s="8">
        <v>0</v>
      </c>
    </row>
    <row r="115" spans="3:29" x14ac:dyDescent="0.25">
      <c r="C115" s="9" t="s">
        <v>239</v>
      </c>
      <c r="D115" s="8">
        <v>43</v>
      </c>
      <c r="E115" s="8">
        <v>14</v>
      </c>
      <c r="F115" s="8">
        <v>4</v>
      </c>
      <c r="G115" s="8">
        <v>2884</v>
      </c>
      <c r="H115" s="8">
        <v>5</v>
      </c>
      <c r="I115" s="8">
        <v>0</v>
      </c>
      <c r="J115" s="8">
        <v>1</v>
      </c>
      <c r="K115" s="8">
        <v>0</v>
      </c>
      <c r="L115" s="8">
        <v>0</v>
      </c>
      <c r="M115" s="8">
        <v>1</v>
      </c>
      <c r="N115" s="8">
        <v>0</v>
      </c>
      <c r="O115" s="8">
        <v>0</v>
      </c>
      <c r="P115" s="8">
        <v>1</v>
      </c>
      <c r="Q115" s="8">
        <v>0</v>
      </c>
      <c r="R115" s="8">
        <v>1</v>
      </c>
      <c r="S115" s="8">
        <v>0</v>
      </c>
      <c r="T115" s="8">
        <v>1</v>
      </c>
      <c r="U115" s="8">
        <v>0</v>
      </c>
      <c r="V115" s="8">
        <v>0</v>
      </c>
      <c r="W115" s="8">
        <v>0</v>
      </c>
      <c r="X115" s="8">
        <v>0</v>
      </c>
      <c r="Y115" s="8">
        <v>0</v>
      </c>
      <c r="Z115" s="8">
        <v>0</v>
      </c>
      <c r="AA115" s="8">
        <v>1</v>
      </c>
      <c r="AB115" s="8">
        <v>0</v>
      </c>
      <c r="AC115" s="8">
        <v>0</v>
      </c>
    </row>
    <row r="116" spans="3:29" x14ac:dyDescent="0.25">
      <c r="C116" s="9" t="s">
        <v>449</v>
      </c>
      <c r="D116" s="8">
        <v>20</v>
      </c>
      <c r="E116" s="8">
        <v>10</v>
      </c>
      <c r="F116" s="8">
        <v>4</v>
      </c>
      <c r="G116" s="8">
        <v>2916</v>
      </c>
      <c r="H116" s="8">
        <v>2</v>
      </c>
      <c r="I116" s="8">
        <v>0</v>
      </c>
      <c r="J116" s="8">
        <v>0</v>
      </c>
      <c r="K116" s="8">
        <v>0</v>
      </c>
      <c r="L116" s="8">
        <v>1</v>
      </c>
      <c r="M116" s="8">
        <v>0</v>
      </c>
      <c r="N116" s="8">
        <v>0</v>
      </c>
      <c r="O116" s="8">
        <v>1</v>
      </c>
      <c r="P116" s="8">
        <v>0</v>
      </c>
      <c r="Q116" s="8">
        <v>0</v>
      </c>
      <c r="R116" s="8">
        <v>1</v>
      </c>
      <c r="S116" s="8">
        <v>0</v>
      </c>
      <c r="T116" s="8">
        <v>0</v>
      </c>
      <c r="U116" s="8">
        <v>0</v>
      </c>
      <c r="V116" s="8">
        <v>1</v>
      </c>
      <c r="W116" s="8">
        <v>0</v>
      </c>
      <c r="X116" s="8">
        <v>0</v>
      </c>
      <c r="Y116" s="8">
        <v>0</v>
      </c>
      <c r="Z116" s="8">
        <v>0</v>
      </c>
      <c r="AA116" s="8">
        <v>1</v>
      </c>
      <c r="AB116" s="8">
        <v>0</v>
      </c>
      <c r="AC116" s="8">
        <v>0</v>
      </c>
    </row>
    <row r="117" spans="3:29" x14ac:dyDescent="0.25">
      <c r="C117" s="9" t="s">
        <v>467</v>
      </c>
      <c r="D117" s="8">
        <v>31</v>
      </c>
      <c r="E117" s="8">
        <v>8</v>
      </c>
      <c r="F117" s="8">
        <v>3</v>
      </c>
      <c r="G117" s="8">
        <v>3773</v>
      </c>
      <c r="H117" s="8">
        <v>2</v>
      </c>
      <c r="I117" s="8">
        <v>0</v>
      </c>
      <c r="J117" s="8">
        <v>0</v>
      </c>
      <c r="K117" s="8">
        <v>1</v>
      </c>
      <c r="L117" s="8">
        <v>0</v>
      </c>
      <c r="M117" s="8">
        <v>0</v>
      </c>
      <c r="N117" s="8">
        <v>0</v>
      </c>
      <c r="O117" s="8">
        <v>1</v>
      </c>
      <c r="P117" s="8">
        <v>0</v>
      </c>
      <c r="Q117" s="8">
        <v>1</v>
      </c>
      <c r="R117" s="8">
        <v>0</v>
      </c>
      <c r="S117" s="8">
        <v>0</v>
      </c>
      <c r="T117" s="8">
        <v>0</v>
      </c>
      <c r="U117" s="8">
        <v>0</v>
      </c>
      <c r="V117" s="8">
        <v>1</v>
      </c>
      <c r="W117" s="8">
        <v>0</v>
      </c>
      <c r="X117" s="8">
        <v>0</v>
      </c>
      <c r="Y117" s="8">
        <v>0</v>
      </c>
      <c r="Z117" s="8">
        <v>0</v>
      </c>
      <c r="AA117" s="8">
        <v>0</v>
      </c>
      <c r="AB117" s="8">
        <v>1</v>
      </c>
      <c r="AC117" s="8">
        <v>0</v>
      </c>
    </row>
    <row r="118" spans="3:29" x14ac:dyDescent="0.25">
      <c r="C118" s="9" t="s">
        <v>240</v>
      </c>
      <c r="D118" s="8">
        <v>91</v>
      </c>
      <c r="E118" s="8">
        <v>16</v>
      </c>
      <c r="F118" s="8">
        <v>4</v>
      </c>
      <c r="G118" s="8">
        <v>3025</v>
      </c>
      <c r="H118" s="8">
        <v>3</v>
      </c>
      <c r="I118" s="8">
        <v>0</v>
      </c>
      <c r="J118" s="8">
        <v>1</v>
      </c>
      <c r="K118" s="8">
        <v>0</v>
      </c>
      <c r="L118" s="8">
        <v>0</v>
      </c>
      <c r="M118" s="8">
        <v>1</v>
      </c>
      <c r="N118" s="8">
        <v>0</v>
      </c>
      <c r="O118" s="8">
        <v>0</v>
      </c>
      <c r="P118" s="8">
        <v>0</v>
      </c>
      <c r="Q118" s="8">
        <v>0</v>
      </c>
      <c r="R118" s="8">
        <v>0</v>
      </c>
      <c r="S118" s="8">
        <v>1</v>
      </c>
      <c r="T118" s="8">
        <v>0</v>
      </c>
      <c r="U118" s="8">
        <v>0</v>
      </c>
      <c r="V118" s="8">
        <v>1</v>
      </c>
      <c r="W118" s="8">
        <v>0</v>
      </c>
      <c r="X118" s="8">
        <v>0</v>
      </c>
      <c r="Y118" s="8">
        <v>0</v>
      </c>
      <c r="Z118" s="8">
        <v>0</v>
      </c>
      <c r="AA118" s="8">
        <v>0</v>
      </c>
      <c r="AB118" s="8">
        <v>0</v>
      </c>
      <c r="AC118" s="8">
        <v>1</v>
      </c>
    </row>
    <row r="119" spans="3:29" x14ac:dyDescent="0.25">
      <c r="C119" s="9" t="s">
        <v>241</v>
      </c>
      <c r="D119" s="8">
        <v>61</v>
      </c>
      <c r="E119" s="8">
        <v>13</v>
      </c>
      <c r="F119" s="8">
        <v>2</v>
      </c>
      <c r="G119" s="8">
        <v>315</v>
      </c>
      <c r="H119" s="8">
        <v>4</v>
      </c>
      <c r="I119" s="8">
        <v>1</v>
      </c>
      <c r="J119" s="8">
        <v>0</v>
      </c>
      <c r="K119" s="8">
        <v>0</v>
      </c>
      <c r="L119" s="8">
        <v>0</v>
      </c>
      <c r="M119" s="8">
        <v>0</v>
      </c>
      <c r="N119" s="8">
        <v>0</v>
      </c>
      <c r="O119" s="8">
        <v>1</v>
      </c>
      <c r="P119" s="8">
        <v>0</v>
      </c>
      <c r="Q119" s="8">
        <v>1</v>
      </c>
      <c r="R119" s="8">
        <v>0</v>
      </c>
      <c r="S119" s="8">
        <v>0</v>
      </c>
      <c r="T119" s="8">
        <v>0</v>
      </c>
      <c r="U119" s="8">
        <v>1</v>
      </c>
      <c r="V119" s="8">
        <v>0</v>
      </c>
      <c r="W119" s="8">
        <v>0</v>
      </c>
      <c r="X119" s="8">
        <v>0</v>
      </c>
      <c r="Y119" s="8">
        <v>0</v>
      </c>
      <c r="Z119" s="8">
        <v>1</v>
      </c>
      <c r="AA119" s="8">
        <v>0</v>
      </c>
      <c r="AB119" s="8">
        <v>0</v>
      </c>
      <c r="AC119" s="8">
        <v>0</v>
      </c>
    </row>
    <row r="120" spans="3:29" x14ac:dyDescent="0.25">
      <c r="C120" s="9" t="s">
        <v>417</v>
      </c>
      <c r="D120" s="8">
        <v>22</v>
      </c>
      <c r="E120" s="8">
        <v>13</v>
      </c>
      <c r="F120" s="8">
        <v>4</v>
      </c>
      <c r="G120" s="8">
        <v>4027</v>
      </c>
      <c r="H120" s="8">
        <v>2</v>
      </c>
      <c r="I120" s="8">
        <v>0</v>
      </c>
      <c r="J120" s="8">
        <v>0</v>
      </c>
      <c r="K120" s="8">
        <v>1</v>
      </c>
      <c r="L120" s="8">
        <v>0</v>
      </c>
      <c r="M120" s="8">
        <v>0</v>
      </c>
      <c r="N120" s="8">
        <v>0</v>
      </c>
      <c r="O120" s="8">
        <v>1</v>
      </c>
      <c r="P120" s="8">
        <v>0</v>
      </c>
      <c r="Q120" s="8">
        <v>0</v>
      </c>
      <c r="R120" s="8">
        <v>0</v>
      </c>
      <c r="S120" s="8">
        <v>1</v>
      </c>
      <c r="T120" s="8">
        <v>1</v>
      </c>
      <c r="U120" s="8">
        <v>0</v>
      </c>
      <c r="V120" s="8">
        <v>0</v>
      </c>
      <c r="W120" s="8">
        <v>1</v>
      </c>
      <c r="X120" s="8">
        <v>0</v>
      </c>
      <c r="Y120" s="8">
        <v>0</v>
      </c>
      <c r="Z120" s="8">
        <v>0</v>
      </c>
      <c r="AA120" s="8">
        <v>0</v>
      </c>
      <c r="AB120" s="8">
        <v>0</v>
      </c>
      <c r="AC120" s="8">
        <v>0</v>
      </c>
    </row>
    <row r="121" spans="3:29" x14ac:dyDescent="0.25">
      <c r="C121" s="9" t="s">
        <v>242</v>
      </c>
      <c r="D121" s="8">
        <v>83</v>
      </c>
      <c r="E121" s="8">
        <v>10</v>
      </c>
      <c r="F121" s="8">
        <v>4</v>
      </c>
      <c r="G121" s="8">
        <v>4027</v>
      </c>
      <c r="H121" s="8">
        <v>1</v>
      </c>
      <c r="I121" s="8">
        <v>0</v>
      </c>
      <c r="J121" s="8">
        <v>0</v>
      </c>
      <c r="K121" s="8">
        <v>1</v>
      </c>
      <c r="L121" s="8">
        <v>0</v>
      </c>
      <c r="M121" s="8">
        <v>0</v>
      </c>
      <c r="N121" s="8">
        <v>1</v>
      </c>
      <c r="O121" s="8">
        <v>0</v>
      </c>
      <c r="P121" s="8">
        <v>0</v>
      </c>
      <c r="Q121" s="8">
        <v>0</v>
      </c>
      <c r="R121" s="8">
        <v>0</v>
      </c>
      <c r="S121" s="8">
        <v>1</v>
      </c>
      <c r="T121" s="8">
        <v>1</v>
      </c>
      <c r="U121" s="8">
        <v>0</v>
      </c>
      <c r="V121" s="8">
        <v>0</v>
      </c>
      <c r="W121" s="8">
        <v>0</v>
      </c>
      <c r="X121" s="8">
        <v>0</v>
      </c>
      <c r="Y121" s="8">
        <v>0</v>
      </c>
      <c r="Z121" s="8">
        <v>0</v>
      </c>
      <c r="AA121" s="8">
        <v>0</v>
      </c>
      <c r="AB121" s="8">
        <v>1</v>
      </c>
      <c r="AC121" s="8">
        <v>0</v>
      </c>
    </row>
    <row r="122" spans="3:29" x14ac:dyDescent="0.25">
      <c r="C122" s="9" t="s">
        <v>243</v>
      </c>
      <c r="D122" s="8">
        <v>34</v>
      </c>
      <c r="E122" s="8">
        <v>8</v>
      </c>
      <c r="F122" s="8">
        <v>4</v>
      </c>
      <c r="G122" s="8">
        <v>2034</v>
      </c>
      <c r="H122" s="8">
        <v>4</v>
      </c>
      <c r="I122" s="8">
        <v>0</v>
      </c>
      <c r="J122" s="8">
        <v>1</v>
      </c>
      <c r="K122" s="8">
        <v>0</v>
      </c>
      <c r="L122" s="8">
        <v>0</v>
      </c>
      <c r="M122" s="8">
        <v>1</v>
      </c>
      <c r="N122" s="8">
        <v>0</v>
      </c>
      <c r="O122" s="8">
        <v>0</v>
      </c>
      <c r="P122" s="8">
        <v>0</v>
      </c>
      <c r="Q122" s="8">
        <v>0</v>
      </c>
      <c r="R122" s="8">
        <v>0</v>
      </c>
      <c r="S122" s="8">
        <v>1</v>
      </c>
      <c r="T122" s="8">
        <v>0</v>
      </c>
      <c r="U122" s="8">
        <v>0</v>
      </c>
      <c r="V122" s="8">
        <v>1</v>
      </c>
      <c r="W122" s="8">
        <v>0</v>
      </c>
      <c r="X122" s="8">
        <v>0</v>
      </c>
      <c r="Y122" s="8">
        <v>0</v>
      </c>
      <c r="Z122" s="8">
        <v>0</v>
      </c>
      <c r="AA122" s="8">
        <v>0</v>
      </c>
      <c r="AB122" s="8">
        <v>1</v>
      </c>
      <c r="AC122" s="8">
        <v>0</v>
      </c>
    </row>
    <row r="123" spans="3:29" x14ac:dyDescent="0.25">
      <c r="C123" s="9" t="s">
        <v>244</v>
      </c>
      <c r="D123" s="8">
        <v>73</v>
      </c>
      <c r="E123" s="8">
        <v>7</v>
      </c>
      <c r="F123" s="8">
        <v>5</v>
      </c>
      <c r="G123" s="8">
        <v>2916</v>
      </c>
      <c r="H123" s="8">
        <v>3</v>
      </c>
      <c r="I123" s="8">
        <v>0</v>
      </c>
      <c r="J123" s="8">
        <v>1</v>
      </c>
      <c r="K123" s="8">
        <v>0</v>
      </c>
      <c r="L123" s="8">
        <v>0</v>
      </c>
      <c r="M123" s="8">
        <v>0</v>
      </c>
      <c r="N123" s="8">
        <v>0</v>
      </c>
      <c r="O123" s="8">
        <v>1</v>
      </c>
      <c r="P123" s="8">
        <v>0</v>
      </c>
      <c r="Q123" s="8">
        <v>0</v>
      </c>
      <c r="R123" s="8">
        <v>1</v>
      </c>
      <c r="S123" s="8">
        <v>0</v>
      </c>
      <c r="T123" s="8">
        <v>0</v>
      </c>
      <c r="U123" s="8">
        <v>0</v>
      </c>
      <c r="V123" s="8">
        <v>1</v>
      </c>
      <c r="W123" s="8">
        <v>0</v>
      </c>
      <c r="X123" s="8">
        <v>0</v>
      </c>
      <c r="Y123" s="8">
        <v>0</v>
      </c>
      <c r="Z123" s="8">
        <v>0</v>
      </c>
      <c r="AA123" s="8">
        <v>1</v>
      </c>
      <c r="AB123" s="8">
        <v>0</v>
      </c>
      <c r="AC123" s="8">
        <v>0</v>
      </c>
    </row>
    <row r="124" spans="3:29" x14ac:dyDescent="0.25">
      <c r="C124" s="9" t="s">
        <v>245</v>
      </c>
      <c r="D124" s="8">
        <v>30</v>
      </c>
      <c r="E124" s="8">
        <v>6</v>
      </c>
      <c r="F124" s="8">
        <v>4</v>
      </c>
      <c r="G124" s="8">
        <v>3933</v>
      </c>
      <c r="H124" s="8">
        <v>3</v>
      </c>
      <c r="I124" s="8">
        <v>1</v>
      </c>
      <c r="J124" s="8">
        <v>0</v>
      </c>
      <c r="K124" s="8">
        <v>0</v>
      </c>
      <c r="L124" s="8">
        <v>0</v>
      </c>
      <c r="M124" s="8">
        <v>0</v>
      </c>
      <c r="N124" s="8">
        <v>0</v>
      </c>
      <c r="O124" s="8">
        <v>1</v>
      </c>
      <c r="P124" s="8">
        <v>0</v>
      </c>
      <c r="Q124" s="8">
        <v>0</v>
      </c>
      <c r="R124" s="8">
        <v>0</v>
      </c>
      <c r="S124" s="8">
        <v>1</v>
      </c>
      <c r="T124" s="8">
        <v>0</v>
      </c>
      <c r="U124" s="8">
        <v>0</v>
      </c>
      <c r="V124" s="8">
        <v>1</v>
      </c>
      <c r="W124" s="8">
        <v>0</v>
      </c>
      <c r="X124" s="8">
        <v>0</v>
      </c>
      <c r="Y124" s="8">
        <v>0</v>
      </c>
      <c r="Z124" s="8">
        <v>0</v>
      </c>
      <c r="AA124" s="8">
        <v>0</v>
      </c>
      <c r="AB124" s="8">
        <v>1</v>
      </c>
      <c r="AC124" s="8">
        <v>0</v>
      </c>
    </row>
    <row r="125" spans="3:29" x14ac:dyDescent="0.25">
      <c r="C125" s="9" t="s">
        <v>246</v>
      </c>
      <c r="D125" s="8">
        <v>20</v>
      </c>
      <c r="E125" s="8">
        <v>9</v>
      </c>
      <c r="F125" s="8">
        <v>4</v>
      </c>
      <c r="G125" s="8">
        <v>315</v>
      </c>
      <c r="H125" s="8">
        <v>8</v>
      </c>
      <c r="I125" s="8">
        <v>1</v>
      </c>
      <c r="J125" s="8">
        <v>0</v>
      </c>
      <c r="K125" s="8">
        <v>0</v>
      </c>
      <c r="L125" s="8">
        <v>0</v>
      </c>
      <c r="M125" s="8">
        <v>0</v>
      </c>
      <c r="N125" s="8">
        <v>0</v>
      </c>
      <c r="O125" s="8">
        <v>1</v>
      </c>
      <c r="P125" s="8">
        <v>0</v>
      </c>
      <c r="Q125" s="8">
        <v>1</v>
      </c>
      <c r="R125" s="8">
        <v>0</v>
      </c>
      <c r="S125" s="8">
        <v>0</v>
      </c>
      <c r="T125" s="8">
        <v>0</v>
      </c>
      <c r="U125" s="8">
        <v>0</v>
      </c>
      <c r="V125" s="8">
        <v>1</v>
      </c>
      <c r="W125" s="8">
        <v>0</v>
      </c>
      <c r="X125" s="8">
        <v>0</v>
      </c>
      <c r="Y125" s="8">
        <v>0</v>
      </c>
      <c r="Z125" s="8">
        <v>0</v>
      </c>
      <c r="AA125" s="8">
        <v>0</v>
      </c>
      <c r="AB125" s="8">
        <v>1</v>
      </c>
      <c r="AC125" s="8">
        <v>0</v>
      </c>
    </row>
    <row r="126" spans="3:29" x14ac:dyDescent="0.25">
      <c r="C126" s="9" t="s">
        <v>247</v>
      </c>
      <c r="D126" s="8">
        <v>48</v>
      </c>
      <c r="E126" s="8">
        <v>8</v>
      </c>
      <c r="F126" s="8">
        <v>4</v>
      </c>
      <c r="G126" s="8">
        <v>2916</v>
      </c>
      <c r="H126" s="8">
        <v>6</v>
      </c>
      <c r="I126" s="8">
        <v>0</v>
      </c>
      <c r="J126" s="8">
        <v>0</v>
      </c>
      <c r="K126" s="8">
        <v>0</v>
      </c>
      <c r="L126" s="8">
        <v>1</v>
      </c>
      <c r="M126" s="8">
        <v>0</v>
      </c>
      <c r="N126" s="8">
        <v>0</v>
      </c>
      <c r="O126" s="8">
        <v>1</v>
      </c>
      <c r="P126" s="8">
        <v>0</v>
      </c>
      <c r="Q126" s="8">
        <v>0</v>
      </c>
      <c r="R126" s="8">
        <v>1</v>
      </c>
      <c r="S126" s="8">
        <v>0</v>
      </c>
      <c r="T126" s="8">
        <v>0</v>
      </c>
      <c r="U126" s="8">
        <v>0</v>
      </c>
      <c r="V126" s="8">
        <v>1</v>
      </c>
      <c r="W126" s="8">
        <v>0</v>
      </c>
      <c r="X126" s="8">
        <v>1</v>
      </c>
      <c r="Y126" s="8">
        <v>0</v>
      </c>
      <c r="Z126" s="8">
        <v>0</v>
      </c>
      <c r="AA126" s="8">
        <v>0</v>
      </c>
      <c r="AB126" s="8">
        <v>0</v>
      </c>
      <c r="AC126" s="8">
        <v>0</v>
      </c>
    </row>
    <row r="127" spans="3:29" x14ac:dyDescent="0.25">
      <c r="C127" s="9" t="s">
        <v>248</v>
      </c>
      <c r="D127" s="8">
        <v>56</v>
      </c>
      <c r="E127" s="8">
        <v>7</v>
      </c>
      <c r="F127" s="8">
        <v>3</v>
      </c>
      <c r="G127" s="8">
        <v>315</v>
      </c>
      <c r="H127" s="8">
        <v>7</v>
      </c>
      <c r="I127" s="8">
        <v>0</v>
      </c>
      <c r="J127" s="8">
        <v>1</v>
      </c>
      <c r="K127" s="8">
        <v>0</v>
      </c>
      <c r="L127" s="8">
        <v>0</v>
      </c>
      <c r="M127" s="8">
        <v>0</v>
      </c>
      <c r="N127" s="8">
        <v>1</v>
      </c>
      <c r="O127" s="8">
        <v>0</v>
      </c>
      <c r="P127" s="8">
        <v>0</v>
      </c>
      <c r="Q127" s="8">
        <v>1</v>
      </c>
      <c r="R127" s="8">
        <v>0</v>
      </c>
      <c r="S127" s="8">
        <v>0</v>
      </c>
      <c r="T127" s="8">
        <v>0</v>
      </c>
      <c r="U127" s="8">
        <v>0</v>
      </c>
      <c r="V127" s="8">
        <v>1</v>
      </c>
      <c r="W127" s="8">
        <v>0</v>
      </c>
      <c r="X127" s="8">
        <v>0</v>
      </c>
      <c r="Y127" s="8">
        <v>0</v>
      </c>
      <c r="Z127" s="8">
        <v>1</v>
      </c>
      <c r="AA127" s="8">
        <v>0</v>
      </c>
      <c r="AB127" s="8">
        <v>0</v>
      </c>
      <c r="AC127" s="8">
        <v>0</v>
      </c>
    </row>
    <row r="128" spans="3:29" x14ac:dyDescent="0.25">
      <c r="C128" s="9" t="s">
        <v>410</v>
      </c>
      <c r="D128" s="8">
        <v>35</v>
      </c>
      <c r="E128" s="8">
        <v>3</v>
      </c>
      <c r="F128" s="8">
        <v>5</v>
      </c>
      <c r="G128" s="8">
        <v>826</v>
      </c>
      <c r="H128" s="8">
        <v>1</v>
      </c>
      <c r="I128" s="8">
        <v>0</v>
      </c>
      <c r="J128" s="8">
        <v>0</v>
      </c>
      <c r="K128" s="8">
        <v>0</v>
      </c>
      <c r="L128" s="8">
        <v>1</v>
      </c>
      <c r="M128" s="8">
        <v>0</v>
      </c>
      <c r="N128" s="8">
        <v>0</v>
      </c>
      <c r="O128" s="8">
        <v>1</v>
      </c>
      <c r="P128" s="8">
        <v>0</v>
      </c>
      <c r="Q128" s="8">
        <v>0</v>
      </c>
      <c r="R128" s="8">
        <v>1</v>
      </c>
      <c r="S128" s="8">
        <v>0</v>
      </c>
      <c r="T128" s="8">
        <v>0</v>
      </c>
      <c r="U128" s="8">
        <v>1</v>
      </c>
      <c r="V128" s="8">
        <v>0</v>
      </c>
      <c r="W128" s="8">
        <v>0</v>
      </c>
      <c r="X128" s="8">
        <v>1</v>
      </c>
      <c r="Y128" s="8">
        <v>0</v>
      </c>
      <c r="Z128" s="8">
        <v>0</v>
      </c>
      <c r="AA128" s="8">
        <v>0</v>
      </c>
      <c r="AB128" s="8">
        <v>0</v>
      </c>
      <c r="AC128" s="8">
        <v>0</v>
      </c>
    </row>
    <row r="129" spans="3:29" x14ac:dyDescent="0.25">
      <c r="C129" s="9" t="s">
        <v>249</v>
      </c>
      <c r="D129" s="8">
        <v>70</v>
      </c>
      <c r="E129" s="8">
        <v>27</v>
      </c>
      <c r="F129" s="8">
        <v>4</v>
      </c>
      <c r="G129" s="8">
        <v>3981</v>
      </c>
      <c r="H129" s="8">
        <v>6</v>
      </c>
      <c r="I129" s="8">
        <v>0</v>
      </c>
      <c r="J129" s="8">
        <v>1</v>
      </c>
      <c r="K129" s="8">
        <v>0</v>
      </c>
      <c r="L129" s="8">
        <v>0</v>
      </c>
      <c r="M129" s="8">
        <v>1</v>
      </c>
      <c r="N129" s="8">
        <v>0</v>
      </c>
      <c r="O129" s="8">
        <v>0</v>
      </c>
      <c r="P129" s="8">
        <v>0</v>
      </c>
      <c r="Q129" s="8">
        <v>1</v>
      </c>
      <c r="R129" s="8">
        <v>0</v>
      </c>
      <c r="S129" s="8">
        <v>0</v>
      </c>
      <c r="T129" s="8">
        <v>0</v>
      </c>
      <c r="U129" s="8">
        <v>0</v>
      </c>
      <c r="V129" s="8">
        <v>1</v>
      </c>
      <c r="W129" s="8">
        <v>1</v>
      </c>
      <c r="X129" s="8">
        <v>0</v>
      </c>
      <c r="Y129" s="8">
        <v>0</v>
      </c>
      <c r="Z129" s="8">
        <v>0</v>
      </c>
      <c r="AA129" s="8">
        <v>0</v>
      </c>
      <c r="AB129" s="8">
        <v>0</v>
      </c>
      <c r="AC129" s="8">
        <v>0</v>
      </c>
    </row>
    <row r="130" spans="3:29" x14ac:dyDescent="0.25">
      <c r="C130" s="9" t="s">
        <v>250</v>
      </c>
      <c r="D130" s="8">
        <v>24</v>
      </c>
      <c r="E130" s="8">
        <v>24</v>
      </c>
      <c r="F130" s="8">
        <v>2</v>
      </c>
      <c r="G130" s="8">
        <v>2959</v>
      </c>
      <c r="H130" s="8">
        <v>7</v>
      </c>
      <c r="I130" s="8">
        <v>0</v>
      </c>
      <c r="J130" s="8">
        <v>1</v>
      </c>
      <c r="K130" s="8">
        <v>0</v>
      </c>
      <c r="L130" s="8">
        <v>0</v>
      </c>
      <c r="M130" s="8">
        <v>0</v>
      </c>
      <c r="N130" s="8">
        <v>0</v>
      </c>
      <c r="O130" s="8">
        <v>1</v>
      </c>
      <c r="P130" s="8">
        <v>0</v>
      </c>
      <c r="Q130" s="8">
        <v>0</v>
      </c>
      <c r="R130" s="8">
        <v>0</v>
      </c>
      <c r="S130" s="8">
        <v>1</v>
      </c>
      <c r="T130" s="8">
        <v>0</v>
      </c>
      <c r="U130" s="8">
        <v>1</v>
      </c>
      <c r="V130" s="8">
        <v>0</v>
      </c>
      <c r="W130" s="8">
        <v>0</v>
      </c>
      <c r="X130" s="8">
        <v>0</v>
      </c>
      <c r="Y130" s="8">
        <v>0</v>
      </c>
      <c r="Z130" s="8">
        <v>0</v>
      </c>
      <c r="AA130" s="8">
        <v>0</v>
      </c>
      <c r="AB130" s="8">
        <v>0</v>
      </c>
      <c r="AC130" s="8">
        <v>1</v>
      </c>
    </row>
    <row r="131" spans="3:29" x14ac:dyDescent="0.25">
      <c r="C131" s="9" t="s">
        <v>251</v>
      </c>
      <c r="D131" s="8">
        <v>78</v>
      </c>
      <c r="E131" s="8">
        <v>17</v>
      </c>
      <c r="F131" s="8">
        <v>4</v>
      </c>
      <c r="G131" s="8">
        <v>1228</v>
      </c>
      <c r="H131" s="8">
        <v>5</v>
      </c>
      <c r="I131" s="8">
        <v>0</v>
      </c>
      <c r="J131" s="8">
        <v>1</v>
      </c>
      <c r="K131" s="8">
        <v>0</v>
      </c>
      <c r="L131" s="8">
        <v>0</v>
      </c>
      <c r="M131" s="8">
        <v>0</v>
      </c>
      <c r="N131" s="8">
        <v>0</v>
      </c>
      <c r="O131" s="8">
        <v>1</v>
      </c>
      <c r="P131" s="8">
        <v>0</v>
      </c>
      <c r="Q131" s="8">
        <v>1</v>
      </c>
      <c r="R131" s="8">
        <v>0</v>
      </c>
      <c r="S131" s="8">
        <v>0</v>
      </c>
      <c r="T131" s="8">
        <v>0</v>
      </c>
      <c r="U131" s="8">
        <v>0</v>
      </c>
      <c r="V131" s="8">
        <v>1</v>
      </c>
      <c r="W131" s="8">
        <v>0</v>
      </c>
      <c r="X131" s="8">
        <v>1</v>
      </c>
      <c r="Y131" s="8">
        <v>0</v>
      </c>
      <c r="Z131" s="8">
        <v>0</v>
      </c>
      <c r="AA131" s="8">
        <v>0</v>
      </c>
      <c r="AB131" s="8">
        <v>0</v>
      </c>
      <c r="AC131" s="8">
        <v>0</v>
      </c>
    </row>
    <row r="132" spans="3:29" x14ac:dyDescent="0.25">
      <c r="C132" s="9" t="s">
        <v>252</v>
      </c>
      <c r="D132" s="8">
        <v>31</v>
      </c>
      <c r="E132" s="8">
        <v>11</v>
      </c>
      <c r="F132" s="8">
        <v>5</v>
      </c>
      <c r="G132" s="8">
        <v>315</v>
      </c>
      <c r="H132" s="8">
        <v>2</v>
      </c>
      <c r="I132" s="8">
        <v>0</v>
      </c>
      <c r="J132" s="8">
        <v>1</v>
      </c>
      <c r="K132" s="8">
        <v>0</v>
      </c>
      <c r="L132" s="8">
        <v>0</v>
      </c>
      <c r="M132" s="8">
        <v>0</v>
      </c>
      <c r="N132" s="8">
        <v>0</v>
      </c>
      <c r="O132" s="8">
        <v>1</v>
      </c>
      <c r="P132" s="8">
        <v>0</v>
      </c>
      <c r="Q132" s="8">
        <v>1</v>
      </c>
      <c r="R132" s="8">
        <v>0</v>
      </c>
      <c r="S132" s="8">
        <v>0</v>
      </c>
      <c r="T132" s="8">
        <v>0</v>
      </c>
      <c r="U132" s="8">
        <v>0</v>
      </c>
      <c r="V132" s="8">
        <v>1</v>
      </c>
      <c r="W132" s="8">
        <v>0</v>
      </c>
      <c r="X132" s="8">
        <v>0</v>
      </c>
      <c r="Y132" s="8">
        <v>0</v>
      </c>
      <c r="Z132" s="8">
        <v>0</v>
      </c>
      <c r="AA132" s="8">
        <v>0</v>
      </c>
      <c r="AB132" s="8">
        <v>0</v>
      </c>
      <c r="AC132" s="8">
        <v>1</v>
      </c>
    </row>
    <row r="133" spans="3:29" x14ac:dyDescent="0.25">
      <c r="C133" s="9" t="s">
        <v>451</v>
      </c>
      <c r="D133" s="8">
        <v>20</v>
      </c>
      <c r="E133" s="8">
        <v>9</v>
      </c>
      <c r="F133" s="8">
        <v>3</v>
      </c>
      <c r="G133" s="8">
        <v>3773</v>
      </c>
      <c r="H133" s="8">
        <v>4</v>
      </c>
      <c r="I133" s="8">
        <v>0</v>
      </c>
      <c r="J133" s="8">
        <v>1</v>
      </c>
      <c r="K133" s="8">
        <v>0</v>
      </c>
      <c r="L133" s="8">
        <v>0</v>
      </c>
      <c r="M133" s="8">
        <v>1</v>
      </c>
      <c r="N133" s="8">
        <v>0</v>
      </c>
      <c r="O133" s="8">
        <v>0</v>
      </c>
      <c r="P133" s="8">
        <v>0</v>
      </c>
      <c r="Q133" s="8">
        <v>1</v>
      </c>
      <c r="R133" s="8">
        <v>0</v>
      </c>
      <c r="S133" s="8">
        <v>0</v>
      </c>
      <c r="T133" s="8">
        <v>1</v>
      </c>
      <c r="U133" s="8">
        <v>0</v>
      </c>
      <c r="V133" s="8">
        <v>0</v>
      </c>
      <c r="W133" s="8">
        <v>0</v>
      </c>
      <c r="X133" s="8">
        <v>0</v>
      </c>
      <c r="Y133" s="8">
        <v>1</v>
      </c>
      <c r="Z133" s="8">
        <v>0</v>
      </c>
      <c r="AA133" s="8">
        <v>0</v>
      </c>
      <c r="AB133" s="8">
        <v>0</v>
      </c>
      <c r="AC133" s="8">
        <v>0</v>
      </c>
    </row>
    <row r="134" spans="3:29" x14ac:dyDescent="0.25">
      <c r="C134" s="9" t="s">
        <v>253</v>
      </c>
      <c r="D134" s="8">
        <v>41</v>
      </c>
      <c r="E134" s="8">
        <v>7</v>
      </c>
      <c r="F134" s="8">
        <v>4</v>
      </c>
      <c r="G134" s="8">
        <v>3003</v>
      </c>
      <c r="H134" s="8">
        <v>3</v>
      </c>
      <c r="I134" s="8">
        <v>0</v>
      </c>
      <c r="J134" s="8">
        <v>0</v>
      </c>
      <c r="K134" s="8">
        <v>1</v>
      </c>
      <c r="L134" s="8">
        <v>0</v>
      </c>
      <c r="M134" s="8">
        <v>0</v>
      </c>
      <c r="N134" s="8">
        <v>0</v>
      </c>
      <c r="O134" s="8">
        <v>1</v>
      </c>
      <c r="P134" s="8">
        <v>0</v>
      </c>
      <c r="Q134" s="8">
        <v>0</v>
      </c>
      <c r="R134" s="8">
        <v>1</v>
      </c>
      <c r="S134" s="8">
        <v>0</v>
      </c>
      <c r="T134" s="8">
        <v>0</v>
      </c>
      <c r="U134" s="8">
        <v>1</v>
      </c>
      <c r="V134" s="8">
        <v>0</v>
      </c>
      <c r="W134" s="8">
        <v>0</v>
      </c>
      <c r="X134" s="8">
        <v>1</v>
      </c>
      <c r="Y134" s="8">
        <v>0</v>
      </c>
      <c r="Z134" s="8">
        <v>0</v>
      </c>
      <c r="AA134" s="8">
        <v>0</v>
      </c>
      <c r="AB134" s="8">
        <v>0</v>
      </c>
      <c r="AC134" s="8">
        <v>0</v>
      </c>
    </row>
    <row r="135" spans="3:29" x14ac:dyDescent="0.25">
      <c r="C135" s="9" t="s">
        <v>254</v>
      </c>
      <c r="D135" s="8">
        <v>64</v>
      </c>
      <c r="E135" s="8">
        <v>33</v>
      </c>
      <c r="F135" s="8">
        <v>4</v>
      </c>
      <c r="G135" s="8">
        <v>732</v>
      </c>
      <c r="H135" s="8">
        <v>7</v>
      </c>
      <c r="I135" s="8">
        <v>1</v>
      </c>
      <c r="J135" s="8">
        <v>0</v>
      </c>
      <c r="K135" s="8">
        <v>0</v>
      </c>
      <c r="L135" s="8">
        <v>0</v>
      </c>
      <c r="M135" s="8">
        <v>0</v>
      </c>
      <c r="N135" s="8">
        <v>1</v>
      </c>
      <c r="O135" s="8">
        <v>0</v>
      </c>
      <c r="P135" s="8">
        <v>0</v>
      </c>
      <c r="Q135" s="8">
        <v>1</v>
      </c>
      <c r="R135" s="8">
        <v>0</v>
      </c>
      <c r="S135" s="8">
        <v>0</v>
      </c>
      <c r="T135" s="8">
        <v>0</v>
      </c>
      <c r="U135" s="8">
        <v>1</v>
      </c>
      <c r="V135" s="8">
        <v>0</v>
      </c>
      <c r="W135" s="8">
        <v>0</v>
      </c>
      <c r="X135" s="8">
        <v>0</v>
      </c>
      <c r="Y135" s="8">
        <v>0</v>
      </c>
      <c r="Z135" s="8">
        <v>0</v>
      </c>
      <c r="AA135" s="8">
        <v>1</v>
      </c>
      <c r="AB135" s="8">
        <v>0</v>
      </c>
      <c r="AC135" s="8">
        <v>0</v>
      </c>
    </row>
    <row r="136" spans="3:29" x14ac:dyDescent="0.25">
      <c r="C136" s="9" t="s">
        <v>424</v>
      </c>
      <c r="D136" s="8">
        <v>50</v>
      </c>
      <c r="E136" s="8">
        <v>15</v>
      </c>
      <c r="F136" s="8">
        <v>4</v>
      </c>
      <c r="G136" s="8">
        <v>2916</v>
      </c>
      <c r="H136" s="8">
        <v>3</v>
      </c>
      <c r="I136" s="8">
        <v>0</v>
      </c>
      <c r="J136" s="8">
        <v>1</v>
      </c>
      <c r="K136" s="8">
        <v>0</v>
      </c>
      <c r="L136" s="8">
        <v>0</v>
      </c>
      <c r="M136" s="8">
        <v>0</v>
      </c>
      <c r="N136" s="8">
        <v>0</v>
      </c>
      <c r="O136" s="8">
        <v>1</v>
      </c>
      <c r="P136" s="8">
        <v>0</v>
      </c>
      <c r="Q136" s="8">
        <v>0</v>
      </c>
      <c r="R136" s="8">
        <v>1</v>
      </c>
      <c r="S136" s="8">
        <v>0</v>
      </c>
      <c r="T136" s="8">
        <v>0</v>
      </c>
      <c r="U136" s="8">
        <v>0</v>
      </c>
      <c r="V136" s="8">
        <v>1</v>
      </c>
      <c r="W136" s="8">
        <v>1</v>
      </c>
      <c r="X136" s="8">
        <v>0</v>
      </c>
      <c r="Y136" s="8">
        <v>0</v>
      </c>
      <c r="Z136" s="8">
        <v>0</v>
      </c>
      <c r="AA136" s="8">
        <v>0</v>
      </c>
      <c r="AB136" s="8">
        <v>0</v>
      </c>
      <c r="AC136" s="8">
        <v>0</v>
      </c>
    </row>
    <row r="137" spans="3:29" x14ac:dyDescent="0.25">
      <c r="C137" s="9" t="s">
        <v>255</v>
      </c>
      <c r="D137" s="8">
        <v>16</v>
      </c>
      <c r="E137" s="8">
        <v>14</v>
      </c>
      <c r="F137" s="8">
        <v>5</v>
      </c>
      <c r="G137" s="8">
        <v>2034</v>
      </c>
      <c r="H137" s="8">
        <v>7</v>
      </c>
      <c r="I137" s="8">
        <v>0</v>
      </c>
      <c r="J137" s="8">
        <v>0</v>
      </c>
      <c r="K137" s="8">
        <v>1</v>
      </c>
      <c r="L137" s="8">
        <v>0</v>
      </c>
      <c r="M137" s="8">
        <v>0</v>
      </c>
      <c r="N137" s="8">
        <v>0</v>
      </c>
      <c r="O137" s="8">
        <v>1</v>
      </c>
      <c r="P137" s="8">
        <v>0</v>
      </c>
      <c r="Q137" s="8">
        <v>0</v>
      </c>
      <c r="R137" s="8">
        <v>0</v>
      </c>
      <c r="S137" s="8">
        <v>1</v>
      </c>
      <c r="T137" s="8">
        <v>0</v>
      </c>
      <c r="U137" s="8">
        <v>0</v>
      </c>
      <c r="V137" s="8">
        <v>1</v>
      </c>
      <c r="W137" s="8">
        <v>1</v>
      </c>
      <c r="X137" s="8">
        <v>0</v>
      </c>
      <c r="Y137" s="8">
        <v>0</v>
      </c>
      <c r="Z137" s="8">
        <v>0</v>
      </c>
      <c r="AA137" s="8">
        <v>0</v>
      </c>
      <c r="AB137" s="8">
        <v>0</v>
      </c>
      <c r="AC137" s="8">
        <v>0</v>
      </c>
    </row>
    <row r="138" spans="3:29" x14ac:dyDescent="0.25">
      <c r="C138" s="9" t="s">
        <v>256</v>
      </c>
      <c r="D138" s="8">
        <v>49</v>
      </c>
      <c r="E138" s="8">
        <v>8</v>
      </c>
      <c r="F138" s="8">
        <v>5</v>
      </c>
      <c r="G138" s="8">
        <v>1282</v>
      </c>
      <c r="H138" s="8">
        <v>5</v>
      </c>
      <c r="I138" s="8">
        <v>0</v>
      </c>
      <c r="J138" s="8">
        <v>0</v>
      </c>
      <c r="K138" s="8">
        <v>1</v>
      </c>
      <c r="L138" s="8">
        <v>0</v>
      </c>
      <c r="M138" s="8">
        <v>0</v>
      </c>
      <c r="N138" s="8">
        <v>0</v>
      </c>
      <c r="O138" s="8">
        <v>1</v>
      </c>
      <c r="P138" s="8">
        <v>0</v>
      </c>
      <c r="Q138" s="8">
        <v>0</v>
      </c>
      <c r="R138" s="8">
        <v>0</v>
      </c>
      <c r="S138" s="8">
        <v>1</v>
      </c>
      <c r="T138" s="8">
        <v>0</v>
      </c>
      <c r="U138" s="8">
        <v>0</v>
      </c>
      <c r="V138" s="8">
        <v>1</v>
      </c>
      <c r="W138" s="8">
        <v>0</v>
      </c>
      <c r="X138" s="8">
        <v>1</v>
      </c>
      <c r="Y138" s="8">
        <v>0</v>
      </c>
      <c r="Z138" s="8">
        <v>0</v>
      </c>
      <c r="AA138" s="8">
        <v>0</v>
      </c>
      <c r="AB138" s="8">
        <v>0</v>
      </c>
      <c r="AC138" s="8">
        <v>0</v>
      </c>
    </row>
    <row r="139" spans="3:29" x14ac:dyDescent="0.25">
      <c r="C139" s="9" t="s">
        <v>459</v>
      </c>
      <c r="D139" s="8">
        <v>23</v>
      </c>
      <c r="E139" s="8">
        <v>21</v>
      </c>
      <c r="F139" s="8">
        <v>3</v>
      </c>
      <c r="G139" s="8">
        <v>826</v>
      </c>
      <c r="H139" s="8">
        <v>7</v>
      </c>
      <c r="I139" s="8">
        <v>0</v>
      </c>
      <c r="J139" s="8">
        <v>1</v>
      </c>
      <c r="K139" s="8">
        <v>0</v>
      </c>
      <c r="L139" s="8">
        <v>0</v>
      </c>
      <c r="M139" s="8">
        <v>0</v>
      </c>
      <c r="N139" s="8">
        <v>1</v>
      </c>
      <c r="O139" s="8">
        <v>0</v>
      </c>
      <c r="P139" s="8">
        <v>0</v>
      </c>
      <c r="Q139" s="8">
        <v>0</v>
      </c>
      <c r="R139" s="8">
        <v>1</v>
      </c>
      <c r="S139" s="8">
        <v>0</v>
      </c>
      <c r="T139" s="8">
        <v>0</v>
      </c>
      <c r="U139" s="8">
        <v>0</v>
      </c>
      <c r="V139" s="8">
        <v>1</v>
      </c>
      <c r="W139" s="8">
        <v>0</v>
      </c>
      <c r="X139" s="8">
        <v>0</v>
      </c>
      <c r="Y139" s="8">
        <v>0</v>
      </c>
      <c r="Z139" s="8">
        <v>0</v>
      </c>
      <c r="AA139" s="8">
        <v>0</v>
      </c>
      <c r="AB139" s="8">
        <v>0</v>
      </c>
      <c r="AC139" s="8">
        <v>1</v>
      </c>
    </row>
    <row r="140" spans="3:29" x14ac:dyDescent="0.25">
      <c r="C140" s="9" t="s">
        <v>257</v>
      </c>
      <c r="D140" s="8">
        <v>108</v>
      </c>
      <c r="E140" s="8">
        <v>20</v>
      </c>
      <c r="F140" s="8">
        <v>3</v>
      </c>
      <c r="G140" s="8">
        <v>716</v>
      </c>
      <c r="H140" s="8">
        <v>5</v>
      </c>
      <c r="I140" s="8">
        <v>0</v>
      </c>
      <c r="J140" s="8">
        <v>0</v>
      </c>
      <c r="K140" s="8">
        <v>1</v>
      </c>
      <c r="L140" s="8">
        <v>0</v>
      </c>
      <c r="M140" s="8">
        <v>1</v>
      </c>
      <c r="N140" s="8">
        <v>0</v>
      </c>
      <c r="O140" s="8">
        <v>0</v>
      </c>
      <c r="P140" s="8">
        <v>1</v>
      </c>
      <c r="Q140" s="8">
        <v>1</v>
      </c>
      <c r="R140" s="8">
        <v>0</v>
      </c>
      <c r="S140" s="8">
        <v>0</v>
      </c>
      <c r="T140" s="8">
        <v>0</v>
      </c>
      <c r="U140" s="8">
        <v>0</v>
      </c>
      <c r="V140" s="8">
        <v>1</v>
      </c>
      <c r="W140" s="8">
        <v>0</v>
      </c>
      <c r="X140" s="8">
        <v>0</v>
      </c>
      <c r="Y140" s="8">
        <v>0</v>
      </c>
      <c r="Z140" s="8">
        <v>0</v>
      </c>
      <c r="AA140" s="8">
        <v>1</v>
      </c>
      <c r="AB140" s="8">
        <v>0</v>
      </c>
      <c r="AC140" s="8">
        <v>0</v>
      </c>
    </row>
    <row r="141" spans="3:29" x14ac:dyDescent="0.25">
      <c r="C141" s="9" t="s">
        <v>258</v>
      </c>
      <c r="D141" s="8">
        <v>32</v>
      </c>
      <c r="E141" s="8">
        <v>12</v>
      </c>
      <c r="F141" s="8">
        <v>4</v>
      </c>
      <c r="G141" s="8">
        <v>315</v>
      </c>
      <c r="H141" s="8">
        <v>5</v>
      </c>
      <c r="I141" s="8">
        <v>0</v>
      </c>
      <c r="J141" s="8">
        <v>1</v>
      </c>
      <c r="K141" s="8">
        <v>0</v>
      </c>
      <c r="L141" s="8">
        <v>0</v>
      </c>
      <c r="M141" s="8">
        <v>0</v>
      </c>
      <c r="N141" s="8">
        <v>0</v>
      </c>
      <c r="O141" s="8">
        <v>1</v>
      </c>
      <c r="P141" s="8">
        <v>0</v>
      </c>
      <c r="Q141" s="8">
        <v>1</v>
      </c>
      <c r="R141" s="8">
        <v>0</v>
      </c>
      <c r="S141" s="8">
        <v>0</v>
      </c>
      <c r="T141" s="8">
        <v>1</v>
      </c>
      <c r="U141" s="8">
        <v>0</v>
      </c>
      <c r="V141" s="8">
        <v>0</v>
      </c>
      <c r="W141" s="8">
        <v>0</v>
      </c>
      <c r="X141" s="8">
        <v>0</v>
      </c>
      <c r="Y141" s="8">
        <v>0</v>
      </c>
      <c r="Z141" s="8">
        <v>0</v>
      </c>
      <c r="AA141" s="8">
        <v>0</v>
      </c>
      <c r="AB141" s="8">
        <v>0</v>
      </c>
      <c r="AC141" s="8">
        <v>1</v>
      </c>
    </row>
    <row r="142" spans="3:29" x14ac:dyDescent="0.25">
      <c r="C142" s="9" t="s">
        <v>259</v>
      </c>
      <c r="D142" s="8">
        <v>42</v>
      </c>
      <c r="E142" s="8">
        <v>8</v>
      </c>
      <c r="F142" s="8">
        <v>4</v>
      </c>
      <c r="G142" s="8">
        <v>3025</v>
      </c>
      <c r="H142" s="8">
        <v>6</v>
      </c>
      <c r="I142" s="8">
        <v>0</v>
      </c>
      <c r="J142" s="8">
        <v>1</v>
      </c>
      <c r="K142" s="8">
        <v>0</v>
      </c>
      <c r="L142" s="8">
        <v>0</v>
      </c>
      <c r="M142" s="8">
        <v>1</v>
      </c>
      <c r="N142" s="8">
        <v>0</v>
      </c>
      <c r="O142" s="8">
        <v>0</v>
      </c>
      <c r="P142" s="8">
        <v>0</v>
      </c>
      <c r="Q142" s="8">
        <v>0</v>
      </c>
      <c r="R142" s="8">
        <v>0</v>
      </c>
      <c r="S142" s="8">
        <v>1</v>
      </c>
      <c r="T142" s="8">
        <v>0</v>
      </c>
      <c r="U142" s="8">
        <v>0</v>
      </c>
      <c r="V142" s="8">
        <v>1</v>
      </c>
      <c r="W142" s="8">
        <v>0</v>
      </c>
      <c r="X142" s="8">
        <v>1</v>
      </c>
      <c r="Y142" s="8">
        <v>0</v>
      </c>
      <c r="Z142" s="8">
        <v>0</v>
      </c>
      <c r="AA142" s="8">
        <v>0</v>
      </c>
      <c r="AB142" s="8">
        <v>0</v>
      </c>
      <c r="AC142" s="8">
        <v>0</v>
      </c>
    </row>
    <row r="143" spans="3:29" x14ac:dyDescent="0.25">
      <c r="C143" s="9" t="s">
        <v>415</v>
      </c>
      <c r="D143" s="8">
        <v>26</v>
      </c>
      <c r="E143" s="8">
        <v>7</v>
      </c>
      <c r="F143" s="8">
        <v>4</v>
      </c>
      <c r="G143" s="8">
        <v>188</v>
      </c>
      <c r="H143" s="8">
        <v>4</v>
      </c>
      <c r="I143" s="8">
        <v>1</v>
      </c>
      <c r="J143" s="8">
        <v>0</v>
      </c>
      <c r="K143" s="8">
        <v>0</v>
      </c>
      <c r="L143" s="8">
        <v>0</v>
      </c>
      <c r="M143" s="8">
        <v>0</v>
      </c>
      <c r="N143" s="8">
        <v>0</v>
      </c>
      <c r="O143" s="8">
        <v>1</v>
      </c>
      <c r="P143" s="8">
        <v>0</v>
      </c>
      <c r="Q143" s="8">
        <v>0</v>
      </c>
      <c r="R143" s="8">
        <v>1</v>
      </c>
      <c r="S143" s="8">
        <v>0</v>
      </c>
      <c r="T143" s="8">
        <v>0</v>
      </c>
      <c r="U143" s="8">
        <v>0</v>
      </c>
      <c r="V143" s="8">
        <v>1</v>
      </c>
      <c r="W143" s="8">
        <v>0</v>
      </c>
      <c r="X143" s="8">
        <v>0</v>
      </c>
      <c r="Y143" s="8">
        <v>0</v>
      </c>
      <c r="Z143" s="8">
        <v>0</v>
      </c>
      <c r="AA143" s="8">
        <v>0</v>
      </c>
      <c r="AB143" s="8">
        <v>0</v>
      </c>
      <c r="AC143" s="8">
        <v>1</v>
      </c>
    </row>
    <row r="144" spans="3:29" x14ac:dyDescent="0.25">
      <c r="C144" s="9" t="s">
        <v>260</v>
      </c>
      <c r="D144" s="8">
        <v>45</v>
      </c>
      <c r="E144" s="8">
        <v>6</v>
      </c>
      <c r="F144" s="8">
        <v>5</v>
      </c>
      <c r="G144" s="8">
        <v>315</v>
      </c>
      <c r="H144" s="8">
        <v>3</v>
      </c>
      <c r="I144" s="8">
        <v>0</v>
      </c>
      <c r="J144" s="8">
        <v>1</v>
      </c>
      <c r="K144" s="8">
        <v>0</v>
      </c>
      <c r="L144" s="8">
        <v>0</v>
      </c>
      <c r="M144" s="8">
        <v>0</v>
      </c>
      <c r="N144" s="8">
        <v>0</v>
      </c>
      <c r="O144" s="8">
        <v>1</v>
      </c>
      <c r="P144" s="8">
        <v>0</v>
      </c>
      <c r="Q144" s="8">
        <v>1</v>
      </c>
      <c r="R144" s="8">
        <v>0</v>
      </c>
      <c r="S144" s="8">
        <v>0</v>
      </c>
      <c r="T144" s="8">
        <v>0</v>
      </c>
      <c r="U144" s="8">
        <v>0</v>
      </c>
      <c r="V144" s="8">
        <v>1</v>
      </c>
      <c r="W144" s="8">
        <v>0</v>
      </c>
      <c r="X144" s="8">
        <v>0</v>
      </c>
      <c r="Y144" s="8">
        <v>0</v>
      </c>
      <c r="Z144" s="8">
        <v>0</v>
      </c>
      <c r="AA144" s="8">
        <v>1</v>
      </c>
      <c r="AB144" s="8">
        <v>0</v>
      </c>
      <c r="AC144" s="8">
        <v>0</v>
      </c>
    </row>
    <row r="145" spans="3:29" x14ac:dyDescent="0.25">
      <c r="C145" s="9" t="s">
        <v>473</v>
      </c>
      <c r="D145" s="8">
        <v>20</v>
      </c>
      <c r="E145" s="8">
        <v>17</v>
      </c>
      <c r="F145" s="8">
        <v>3</v>
      </c>
      <c r="G145" s="8">
        <v>826</v>
      </c>
      <c r="H145" s="8">
        <v>4</v>
      </c>
      <c r="I145" s="8">
        <v>0</v>
      </c>
      <c r="J145" s="8">
        <v>0</v>
      </c>
      <c r="K145" s="8">
        <v>1</v>
      </c>
      <c r="L145" s="8">
        <v>0</v>
      </c>
      <c r="M145" s="8">
        <v>1</v>
      </c>
      <c r="N145" s="8">
        <v>0</v>
      </c>
      <c r="O145" s="8">
        <v>0</v>
      </c>
      <c r="P145" s="8">
        <v>0</v>
      </c>
      <c r="Q145" s="8">
        <v>0</v>
      </c>
      <c r="R145" s="8">
        <v>1</v>
      </c>
      <c r="S145" s="8">
        <v>0</v>
      </c>
      <c r="T145" s="8">
        <v>0</v>
      </c>
      <c r="U145" s="8">
        <v>0</v>
      </c>
      <c r="V145" s="8">
        <v>1</v>
      </c>
      <c r="W145" s="8">
        <v>0</v>
      </c>
      <c r="X145" s="8">
        <v>0</v>
      </c>
      <c r="Y145" s="8">
        <v>0</v>
      </c>
      <c r="Z145" s="8">
        <v>1</v>
      </c>
      <c r="AA145" s="8">
        <v>0</v>
      </c>
      <c r="AB145" s="8">
        <v>0</v>
      </c>
      <c r="AC145" s="8">
        <v>0</v>
      </c>
    </row>
    <row r="146" spans="3:29" x14ac:dyDescent="0.25">
      <c r="C146" s="9" t="s">
        <v>261</v>
      </c>
      <c r="D146" s="8">
        <v>66</v>
      </c>
      <c r="E146" s="8">
        <v>13</v>
      </c>
      <c r="F146" s="8">
        <v>5</v>
      </c>
      <c r="G146" s="8">
        <v>315</v>
      </c>
      <c r="H146" s="8">
        <v>9</v>
      </c>
      <c r="I146" s="8">
        <v>0</v>
      </c>
      <c r="J146" s="8">
        <v>0</v>
      </c>
      <c r="K146" s="8">
        <v>1</v>
      </c>
      <c r="L146" s="8">
        <v>0</v>
      </c>
      <c r="M146" s="8">
        <v>1</v>
      </c>
      <c r="N146" s="8">
        <v>0</v>
      </c>
      <c r="O146" s="8">
        <v>0</v>
      </c>
      <c r="P146" s="8">
        <v>0</v>
      </c>
      <c r="Q146" s="8">
        <v>1</v>
      </c>
      <c r="R146" s="8">
        <v>0</v>
      </c>
      <c r="S146" s="8">
        <v>0</v>
      </c>
      <c r="T146" s="8">
        <v>0</v>
      </c>
      <c r="U146" s="8">
        <v>0</v>
      </c>
      <c r="V146" s="8">
        <v>1</v>
      </c>
      <c r="W146" s="8">
        <v>1</v>
      </c>
      <c r="X146" s="8">
        <v>0</v>
      </c>
      <c r="Y146" s="8">
        <v>0</v>
      </c>
      <c r="Z146" s="8">
        <v>0</v>
      </c>
      <c r="AA146" s="8">
        <v>0</v>
      </c>
      <c r="AB146" s="8">
        <v>0</v>
      </c>
      <c r="AC146" s="8">
        <v>0</v>
      </c>
    </row>
    <row r="147" spans="3:29" x14ac:dyDescent="0.25">
      <c r="C147" s="9" t="s">
        <v>262</v>
      </c>
      <c r="D147" s="8">
        <v>29</v>
      </c>
      <c r="E147" s="8">
        <v>8</v>
      </c>
      <c r="F147" s="8">
        <v>3</v>
      </c>
      <c r="G147" s="8">
        <v>3981</v>
      </c>
      <c r="H147" s="8">
        <v>2</v>
      </c>
      <c r="I147" s="8">
        <v>0</v>
      </c>
      <c r="J147" s="8">
        <v>0</v>
      </c>
      <c r="K147" s="8">
        <v>0</v>
      </c>
      <c r="L147" s="8">
        <v>1</v>
      </c>
      <c r="M147" s="8">
        <v>1</v>
      </c>
      <c r="N147" s="8">
        <v>0</v>
      </c>
      <c r="O147" s="8">
        <v>0</v>
      </c>
      <c r="P147" s="8">
        <v>0</v>
      </c>
      <c r="Q147" s="8">
        <v>1</v>
      </c>
      <c r="R147" s="8">
        <v>0</v>
      </c>
      <c r="S147" s="8">
        <v>0</v>
      </c>
      <c r="T147" s="8">
        <v>0</v>
      </c>
      <c r="U147" s="8">
        <v>1</v>
      </c>
      <c r="V147" s="8">
        <v>0</v>
      </c>
      <c r="W147" s="8">
        <v>0</v>
      </c>
      <c r="X147" s="8">
        <v>0</v>
      </c>
      <c r="Y147" s="8">
        <v>0</v>
      </c>
      <c r="Z147" s="8">
        <v>0</v>
      </c>
      <c r="AA147" s="8">
        <v>0</v>
      </c>
      <c r="AB147" s="8">
        <v>0</v>
      </c>
      <c r="AC147" s="8">
        <v>1</v>
      </c>
    </row>
    <row r="148" spans="3:29" x14ac:dyDescent="0.25">
      <c r="C148" s="9" t="s">
        <v>263</v>
      </c>
      <c r="D148" s="8">
        <v>31</v>
      </c>
      <c r="E148" s="8">
        <v>11</v>
      </c>
      <c r="F148" s="8">
        <v>4</v>
      </c>
      <c r="G148" s="8">
        <v>4027</v>
      </c>
      <c r="H148" s="8">
        <v>2</v>
      </c>
      <c r="I148" s="8">
        <v>1</v>
      </c>
      <c r="J148" s="8">
        <v>0</v>
      </c>
      <c r="K148" s="8">
        <v>0</v>
      </c>
      <c r="L148" s="8">
        <v>0</v>
      </c>
      <c r="M148" s="8">
        <v>1</v>
      </c>
      <c r="N148" s="8">
        <v>0</v>
      </c>
      <c r="O148" s="8">
        <v>0</v>
      </c>
      <c r="P148" s="8">
        <v>0</v>
      </c>
      <c r="Q148" s="8">
        <v>0</v>
      </c>
      <c r="R148" s="8">
        <v>0</v>
      </c>
      <c r="S148" s="8">
        <v>1</v>
      </c>
      <c r="T148" s="8">
        <v>0</v>
      </c>
      <c r="U148" s="8">
        <v>1</v>
      </c>
      <c r="V148" s="8">
        <v>0</v>
      </c>
      <c r="W148" s="8">
        <v>1</v>
      </c>
      <c r="X148" s="8">
        <v>0</v>
      </c>
      <c r="Y148" s="8">
        <v>0</v>
      </c>
      <c r="Z148" s="8">
        <v>0</v>
      </c>
      <c r="AA148" s="8">
        <v>0</v>
      </c>
      <c r="AB148" s="8">
        <v>0</v>
      </c>
      <c r="AC148" s="8">
        <v>0</v>
      </c>
    </row>
    <row r="149" spans="3:29" x14ac:dyDescent="0.25">
      <c r="C149" s="9" t="s">
        <v>264</v>
      </c>
      <c r="D149" s="8">
        <v>7</v>
      </c>
      <c r="E149" s="8">
        <v>5</v>
      </c>
      <c r="F149" s="8">
        <v>4</v>
      </c>
      <c r="G149" s="8">
        <v>2700</v>
      </c>
      <c r="H149" s="8">
        <v>3</v>
      </c>
      <c r="I149" s="8">
        <v>1</v>
      </c>
      <c r="J149" s="8">
        <v>0</v>
      </c>
      <c r="K149" s="8">
        <v>0</v>
      </c>
      <c r="L149" s="8">
        <v>0</v>
      </c>
      <c r="M149" s="8">
        <v>0</v>
      </c>
      <c r="N149" s="8">
        <v>0</v>
      </c>
      <c r="O149" s="8">
        <v>1</v>
      </c>
      <c r="P149" s="8">
        <v>1</v>
      </c>
      <c r="Q149" s="8">
        <v>0</v>
      </c>
      <c r="R149" s="8">
        <v>0</v>
      </c>
      <c r="S149" s="8">
        <v>1</v>
      </c>
      <c r="T149" s="8">
        <v>0</v>
      </c>
      <c r="U149" s="8">
        <v>0</v>
      </c>
      <c r="V149" s="8">
        <v>1</v>
      </c>
      <c r="W149" s="8">
        <v>0</v>
      </c>
      <c r="X149" s="8">
        <v>0</v>
      </c>
      <c r="Y149" s="8">
        <v>1</v>
      </c>
      <c r="Z149" s="8">
        <v>0</v>
      </c>
      <c r="AA149" s="8">
        <v>0</v>
      </c>
      <c r="AB149" s="8">
        <v>0</v>
      </c>
      <c r="AC149" s="8">
        <v>0</v>
      </c>
    </row>
    <row r="150" spans="3:29" x14ac:dyDescent="0.25">
      <c r="C150" s="9" t="s">
        <v>265</v>
      </c>
      <c r="D150" s="8">
        <v>3</v>
      </c>
      <c r="E150" s="8">
        <v>3</v>
      </c>
      <c r="F150" s="8">
        <v>1</v>
      </c>
      <c r="G150" s="8">
        <v>2034</v>
      </c>
      <c r="H150" s="8">
        <v>5</v>
      </c>
      <c r="I150" s="8">
        <v>1</v>
      </c>
      <c r="J150" s="8">
        <v>0</v>
      </c>
      <c r="K150" s="8">
        <v>0</v>
      </c>
      <c r="L150" s="8">
        <v>0</v>
      </c>
      <c r="M150" s="8">
        <v>1</v>
      </c>
      <c r="N150" s="8">
        <v>0</v>
      </c>
      <c r="O150" s="8">
        <v>0</v>
      </c>
      <c r="P150" s="8">
        <v>0</v>
      </c>
      <c r="Q150" s="8">
        <v>0</v>
      </c>
      <c r="R150" s="8">
        <v>0</v>
      </c>
      <c r="S150" s="8">
        <v>1</v>
      </c>
      <c r="T150" s="8">
        <v>1</v>
      </c>
      <c r="U150" s="8">
        <v>0</v>
      </c>
      <c r="V150" s="8">
        <v>0</v>
      </c>
      <c r="W150" s="8">
        <v>0</v>
      </c>
      <c r="X150" s="8">
        <v>0</v>
      </c>
      <c r="Y150" s="8">
        <v>0</v>
      </c>
      <c r="Z150" s="8">
        <v>0</v>
      </c>
      <c r="AA150" s="8">
        <v>0</v>
      </c>
      <c r="AB150" s="8">
        <v>1</v>
      </c>
      <c r="AC150" s="8">
        <v>0</v>
      </c>
    </row>
    <row r="151" spans="3:29" x14ac:dyDescent="0.25">
      <c r="C151" s="9" t="s">
        <v>455</v>
      </c>
      <c r="D151" s="8">
        <v>70</v>
      </c>
      <c r="E151" s="8">
        <v>25</v>
      </c>
      <c r="F151" s="8">
        <v>1</v>
      </c>
      <c r="G151" s="8">
        <v>1228</v>
      </c>
      <c r="H151" s="8">
        <v>3</v>
      </c>
      <c r="I151" s="8">
        <v>0</v>
      </c>
      <c r="J151" s="8">
        <v>0</v>
      </c>
      <c r="K151" s="8">
        <v>1</v>
      </c>
      <c r="L151" s="8">
        <v>0</v>
      </c>
      <c r="M151" s="8">
        <v>0</v>
      </c>
      <c r="N151" s="8">
        <v>0</v>
      </c>
      <c r="O151" s="8">
        <v>1</v>
      </c>
      <c r="P151" s="8">
        <v>0</v>
      </c>
      <c r="Q151" s="8">
        <v>1</v>
      </c>
      <c r="R151" s="8">
        <v>0</v>
      </c>
      <c r="S151" s="8">
        <v>0</v>
      </c>
      <c r="T151" s="8">
        <v>0</v>
      </c>
      <c r="U151" s="8">
        <v>0</v>
      </c>
      <c r="V151" s="8">
        <v>1</v>
      </c>
      <c r="W151" s="8">
        <v>1</v>
      </c>
      <c r="X151" s="8">
        <v>0</v>
      </c>
      <c r="Y151" s="8">
        <v>0</v>
      </c>
      <c r="Z151" s="8">
        <v>0</v>
      </c>
      <c r="AA151" s="8">
        <v>0</v>
      </c>
      <c r="AB151" s="8">
        <v>0</v>
      </c>
      <c r="AC151" s="8">
        <v>0</v>
      </c>
    </row>
    <row r="152" spans="3:29" x14ac:dyDescent="0.25">
      <c r="C152" s="9" t="s">
        <v>266</v>
      </c>
      <c r="D152" s="8">
        <v>48</v>
      </c>
      <c r="E152" s="8">
        <v>21</v>
      </c>
      <c r="F152" s="8">
        <v>5</v>
      </c>
      <c r="G152" s="8">
        <v>1228</v>
      </c>
      <c r="H152" s="8">
        <v>4</v>
      </c>
      <c r="I152" s="8">
        <v>0</v>
      </c>
      <c r="J152" s="8">
        <v>1</v>
      </c>
      <c r="K152" s="8">
        <v>0</v>
      </c>
      <c r="L152" s="8">
        <v>0</v>
      </c>
      <c r="M152" s="8">
        <v>0</v>
      </c>
      <c r="N152" s="8">
        <v>1</v>
      </c>
      <c r="O152" s="8">
        <v>0</v>
      </c>
      <c r="P152" s="8">
        <v>0</v>
      </c>
      <c r="Q152" s="8">
        <v>1</v>
      </c>
      <c r="R152" s="8">
        <v>0</v>
      </c>
      <c r="S152" s="8">
        <v>0</v>
      </c>
      <c r="T152" s="8">
        <v>0</v>
      </c>
      <c r="U152" s="8">
        <v>1</v>
      </c>
      <c r="V152" s="8">
        <v>0</v>
      </c>
      <c r="W152" s="8">
        <v>1</v>
      </c>
      <c r="X152" s="8">
        <v>0</v>
      </c>
      <c r="Y152" s="8">
        <v>0</v>
      </c>
      <c r="Z152" s="8">
        <v>0</v>
      </c>
      <c r="AA152" s="8">
        <v>0</v>
      </c>
      <c r="AB152" s="8">
        <v>0</v>
      </c>
      <c r="AC152" s="8">
        <v>0</v>
      </c>
    </row>
    <row r="153" spans="3:29" x14ac:dyDescent="0.25">
      <c r="C153" s="9" t="s">
        <v>267</v>
      </c>
      <c r="D153" s="8">
        <v>20</v>
      </c>
      <c r="E153" s="8">
        <v>18</v>
      </c>
      <c r="F153" s="8">
        <v>2</v>
      </c>
      <c r="G153" s="8">
        <v>3933</v>
      </c>
      <c r="H153" s="8">
        <v>4</v>
      </c>
      <c r="I153" s="8">
        <v>1</v>
      </c>
      <c r="J153" s="8">
        <v>0</v>
      </c>
      <c r="K153" s="8">
        <v>0</v>
      </c>
      <c r="L153" s="8">
        <v>0</v>
      </c>
      <c r="M153" s="8">
        <v>0</v>
      </c>
      <c r="N153" s="8">
        <v>1</v>
      </c>
      <c r="O153" s="8">
        <v>0</v>
      </c>
      <c r="P153" s="8">
        <v>0</v>
      </c>
      <c r="Q153" s="8">
        <v>0</v>
      </c>
      <c r="R153" s="8">
        <v>0</v>
      </c>
      <c r="S153" s="8">
        <v>1</v>
      </c>
      <c r="T153" s="8">
        <v>1</v>
      </c>
      <c r="U153" s="8">
        <v>0</v>
      </c>
      <c r="V153" s="8">
        <v>0</v>
      </c>
      <c r="W153" s="8">
        <v>1</v>
      </c>
      <c r="X153" s="8">
        <v>0</v>
      </c>
      <c r="Y153" s="8">
        <v>0</v>
      </c>
      <c r="Z153" s="8">
        <v>0</v>
      </c>
      <c r="AA153" s="8">
        <v>0</v>
      </c>
      <c r="AB153" s="8">
        <v>0</v>
      </c>
      <c r="AC153" s="8">
        <v>0</v>
      </c>
    </row>
    <row r="154" spans="3:29" x14ac:dyDescent="0.25">
      <c r="C154" s="9" t="s">
        <v>268</v>
      </c>
      <c r="D154" s="8">
        <v>33</v>
      </c>
      <c r="E154" s="8">
        <v>12</v>
      </c>
      <c r="F154" s="8">
        <v>3</v>
      </c>
      <c r="G154" s="8">
        <v>3003</v>
      </c>
      <c r="H154" s="8">
        <v>5</v>
      </c>
      <c r="I154" s="8">
        <v>0</v>
      </c>
      <c r="J154" s="8">
        <v>1</v>
      </c>
      <c r="K154" s="8">
        <v>0</v>
      </c>
      <c r="L154" s="8">
        <v>0</v>
      </c>
      <c r="M154" s="8">
        <v>0</v>
      </c>
      <c r="N154" s="8">
        <v>1</v>
      </c>
      <c r="O154" s="8">
        <v>0</v>
      </c>
      <c r="P154" s="8">
        <v>0</v>
      </c>
      <c r="Q154" s="8">
        <v>0</v>
      </c>
      <c r="R154" s="8">
        <v>1</v>
      </c>
      <c r="S154" s="8">
        <v>0</v>
      </c>
      <c r="T154" s="8">
        <v>0</v>
      </c>
      <c r="U154" s="8">
        <v>1</v>
      </c>
      <c r="V154" s="8">
        <v>0</v>
      </c>
      <c r="W154" s="8">
        <v>0</v>
      </c>
      <c r="X154" s="8">
        <v>0</v>
      </c>
      <c r="Y154" s="8">
        <v>1</v>
      </c>
      <c r="Z154" s="8">
        <v>0</v>
      </c>
      <c r="AA154" s="8">
        <v>0</v>
      </c>
      <c r="AB154" s="8">
        <v>0</v>
      </c>
      <c r="AC154" s="8">
        <v>0</v>
      </c>
    </row>
    <row r="155" spans="3:29" x14ac:dyDescent="0.25">
      <c r="C155" s="9" t="s">
        <v>269</v>
      </c>
      <c r="D155" s="8">
        <v>41</v>
      </c>
      <c r="E155" s="8">
        <v>9</v>
      </c>
      <c r="F155" s="8">
        <v>3</v>
      </c>
      <c r="G155" s="8">
        <v>3773</v>
      </c>
      <c r="H155" s="8">
        <v>2</v>
      </c>
      <c r="I155" s="8">
        <v>0</v>
      </c>
      <c r="J155" s="8">
        <v>0</v>
      </c>
      <c r="K155" s="8">
        <v>0</v>
      </c>
      <c r="L155" s="8">
        <v>1</v>
      </c>
      <c r="M155" s="8">
        <v>0</v>
      </c>
      <c r="N155" s="8">
        <v>0</v>
      </c>
      <c r="O155" s="8">
        <v>1</v>
      </c>
      <c r="P155" s="8">
        <v>0</v>
      </c>
      <c r="Q155" s="8">
        <v>1</v>
      </c>
      <c r="R155" s="8">
        <v>0</v>
      </c>
      <c r="S155" s="8">
        <v>0</v>
      </c>
      <c r="T155" s="8">
        <v>0</v>
      </c>
      <c r="U155" s="8">
        <v>0</v>
      </c>
      <c r="V155" s="8">
        <v>1</v>
      </c>
      <c r="W155" s="8">
        <v>0</v>
      </c>
      <c r="X155" s="8">
        <v>0</v>
      </c>
      <c r="Y155" s="8">
        <v>0</v>
      </c>
      <c r="Z155" s="8">
        <v>0</v>
      </c>
      <c r="AA155" s="8">
        <v>0</v>
      </c>
      <c r="AB155" s="8">
        <v>1</v>
      </c>
      <c r="AC155" s="8">
        <v>0</v>
      </c>
    </row>
    <row r="156" spans="3:29" x14ac:dyDescent="0.25">
      <c r="C156" s="9" t="s">
        <v>270</v>
      </c>
      <c r="D156" s="8">
        <v>35</v>
      </c>
      <c r="E156" s="8">
        <v>8</v>
      </c>
      <c r="F156" s="8">
        <v>4</v>
      </c>
      <c r="G156" s="8">
        <v>3981</v>
      </c>
      <c r="H156" s="8">
        <v>6</v>
      </c>
      <c r="I156" s="8">
        <v>0</v>
      </c>
      <c r="J156" s="8">
        <v>0</v>
      </c>
      <c r="K156" s="8">
        <v>0</v>
      </c>
      <c r="L156" s="8">
        <v>1</v>
      </c>
      <c r="M156" s="8">
        <v>0</v>
      </c>
      <c r="N156" s="8">
        <v>1</v>
      </c>
      <c r="O156" s="8">
        <v>0</v>
      </c>
      <c r="P156" s="8">
        <v>0</v>
      </c>
      <c r="Q156" s="8">
        <v>1</v>
      </c>
      <c r="R156" s="8">
        <v>0</v>
      </c>
      <c r="S156" s="8">
        <v>0</v>
      </c>
      <c r="T156" s="8">
        <v>0</v>
      </c>
      <c r="U156" s="8">
        <v>0</v>
      </c>
      <c r="V156" s="8">
        <v>1</v>
      </c>
      <c r="W156" s="8">
        <v>0</v>
      </c>
      <c r="X156" s="8">
        <v>0</v>
      </c>
      <c r="Y156" s="8">
        <v>0</v>
      </c>
      <c r="Z156" s="8">
        <v>1</v>
      </c>
      <c r="AA156" s="8">
        <v>0</v>
      </c>
      <c r="AB156" s="8">
        <v>0</v>
      </c>
      <c r="AC156" s="8">
        <v>0</v>
      </c>
    </row>
    <row r="157" spans="3:29" x14ac:dyDescent="0.25">
      <c r="C157" s="9" t="s">
        <v>271</v>
      </c>
      <c r="D157" s="8">
        <v>18</v>
      </c>
      <c r="E157" s="8">
        <v>7</v>
      </c>
      <c r="F157" s="8">
        <v>4</v>
      </c>
      <c r="G157" s="8">
        <v>3773</v>
      </c>
      <c r="H157" s="8">
        <v>0</v>
      </c>
      <c r="I157" s="8">
        <v>1</v>
      </c>
      <c r="J157" s="8">
        <v>0</v>
      </c>
      <c r="K157" s="8">
        <v>0</v>
      </c>
      <c r="L157" s="8">
        <v>0</v>
      </c>
      <c r="M157" s="8">
        <v>0</v>
      </c>
      <c r="N157" s="8">
        <v>1</v>
      </c>
      <c r="O157" s="8">
        <v>0</v>
      </c>
      <c r="P157" s="8">
        <v>0</v>
      </c>
      <c r="Q157" s="8">
        <v>1</v>
      </c>
      <c r="R157" s="8">
        <v>0</v>
      </c>
      <c r="S157" s="8">
        <v>0</v>
      </c>
      <c r="T157" s="8">
        <v>0</v>
      </c>
      <c r="U157" s="8">
        <v>1</v>
      </c>
      <c r="V157" s="8">
        <v>0</v>
      </c>
      <c r="W157" s="8">
        <v>0</v>
      </c>
      <c r="X157" s="8">
        <v>0</v>
      </c>
      <c r="Y157" s="8">
        <v>1</v>
      </c>
      <c r="Z157" s="8">
        <v>0</v>
      </c>
      <c r="AA157" s="8">
        <v>0</v>
      </c>
      <c r="AB157" s="8">
        <v>0</v>
      </c>
      <c r="AC157" s="8">
        <v>0</v>
      </c>
    </row>
    <row r="158" spans="3:29" x14ac:dyDescent="0.25">
      <c r="C158" s="9" t="s">
        <v>272</v>
      </c>
      <c r="D158" s="8">
        <v>9</v>
      </c>
      <c r="E158" s="8">
        <v>6</v>
      </c>
      <c r="F158" s="8">
        <v>3</v>
      </c>
      <c r="G158" s="8">
        <v>3003</v>
      </c>
      <c r="H158" s="8">
        <v>7</v>
      </c>
      <c r="I158" s="8">
        <v>0</v>
      </c>
      <c r="J158" s="8">
        <v>1</v>
      </c>
      <c r="K158" s="8">
        <v>0</v>
      </c>
      <c r="L158" s="8">
        <v>0</v>
      </c>
      <c r="M158" s="8">
        <v>0</v>
      </c>
      <c r="N158" s="8">
        <v>0</v>
      </c>
      <c r="O158" s="8">
        <v>1</v>
      </c>
      <c r="P158" s="8">
        <v>0</v>
      </c>
      <c r="Q158" s="8">
        <v>0</v>
      </c>
      <c r="R158" s="8">
        <v>1</v>
      </c>
      <c r="S158" s="8">
        <v>0</v>
      </c>
      <c r="T158" s="8">
        <v>1</v>
      </c>
      <c r="U158" s="8">
        <v>0</v>
      </c>
      <c r="V158" s="8">
        <v>0</v>
      </c>
      <c r="W158" s="8">
        <v>0</v>
      </c>
      <c r="X158" s="8">
        <v>0</v>
      </c>
      <c r="Y158" s="8">
        <v>0</v>
      </c>
      <c r="Z158" s="8">
        <v>0</v>
      </c>
      <c r="AA158" s="8">
        <v>0</v>
      </c>
      <c r="AB158" s="8">
        <v>0</v>
      </c>
      <c r="AC158" s="8">
        <v>1</v>
      </c>
    </row>
    <row r="159" spans="3:29" x14ac:dyDescent="0.25">
      <c r="C159" s="9" t="s">
        <v>273</v>
      </c>
      <c r="D159" s="8">
        <v>11</v>
      </c>
      <c r="E159" s="8">
        <v>3</v>
      </c>
      <c r="F159" s="8">
        <v>4</v>
      </c>
      <c r="G159" s="8">
        <v>716</v>
      </c>
      <c r="H159" s="8">
        <v>6</v>
      </c>
      <c r="I159" s="8">
        <v>0</v>
      </c>
      <c r="J159" s="8">
        <v>1</v>
      </c>
      <c r="K159" s="8">
        <v>0</v>
      </c>
      <c r="L159" s="8">
        <v>0</v>
      </c>
      <c r="M159" s="8">
        <v>0</v>
      </c>
      <c r="N159" s="8">
        <v>0</v>
      </c>
      <c r="O159" s="8">
        <v>1</v>
      </c>
      <c r="P159" s="8">
        <v>1</v>
      </c>
      <c r="Q159" s="8">
        <v>1</v>
      </c>
      <c r="R159" s="8">
        <v>0</v>
      </c>
      <c r="S159" s="8">
        <v>0</v>
      </c>
      <c r="T159" s="8">
        <v>0</v>
      </c>
      <c r="U159" s="8">
        <v>0</v>
      </c>
      <c r="V159" s="8">
        <v>1</v>
      </c>
      <c r="W159" s="8">
        <v>0</v>
      </c>
      <c r="X159" s="8">
        <v>1</v>
      </c>
      <c r="Y159" s="8">
        <v>0</v>
      </c>
      <c r="Z159" s="8">
        <v>0</v>
      </c>
      <c r="AA159" s="8">
        <v>0</v>
      </c>
      <c r="AB159" s="8">
        <v>0</v>
      </c>
      <c r="AC159" s="8">
        <v>0</v>
      </c>
    </row>
    <row r="160" spans="3:29" x14ac:dyDescent="0.25">
      <c r="C160" s="9" t="s">
        <v>419</v>
      </c>
      <c r="D160" s="8">
        <v>23</v>
      </c>
      <c r="E160" s="8">
        <v>10</v>
      </c>
      <c r="F160" s="8">
        <v>5</v>
      </c>
      <c r="G160" s="8">
        <v>3933</v>
      </c>
      <c r="H160" s="8">
        <v>4</v>
      </c>
      <c r="I160" s="8">
        <v>0</v>
      </c>
      <c r="J160" s="8">
        <v>0</v>
      </c>
      <c r="K160" s="8">
        <v>1</v>
      </c>
      <c r="L160" s="8">
        <v>0</v>
      </c>
      <c r="M160" s="8">
        <v>1</v>
      </c>
      <c r="N160" s="8">
        <v>0</v>
      </c>
      <c r="O160" s="8">
        <v>0</v>
      </c>
      <c r="P160" s="8">
        <v>0</v>
      </c>
      <c r="Q160" s="8">
        <v>0</v>
      </c>
      <c r="R160" s="8">
        <v>0</v>
      </c>
      <c r="S160" s="8">
        <v>1</v>
      </c>
      <c r="T160" s="8">
        <v>0</v>
      </c>
      <c r="U160" s="8">
        <v>1</v>
      </c>
      <c r="V160" s="8">
        <v>0</v>
      </c>
      <c r="W160" s="8">
        <v>0</v>
      </c>
      <c r="X160" s="8">
        <v>1</v>
      </c>
      <c r="Y160" s="8">
        <v>0</v>
      </c>
      <c r="Z160" s="8">
        <v>0</v>
      </c>
      <c r="AA160" s="8">
        <v>0</v>
      </c>
      <c r="AB160" s="8">
        <v>0</v>
      </c>
      <c r="AC160" s="8">
        <v>0</v>
      </c>
    </row>
    <row r="161" spans="3:29" x14ac:dyDescent="0.25">
      <c r="C161" s="9" t="s">
        <v>274</v>
      </c>
      <c r="D161" s="8">
        <v>17</v>
      </c>
      <c r="E161" s="8">
        <v>10</v>
      </c>
      <c r="F161" s="8">
        <v>4</v>
      </c>
      <c r="G161" s="8">
        <v>826</v>
      </c>
      <c r="H161" s="8">
        <v>3</v>
      </c>
      <c r="I161" s="8">
        <v>0</v>
      </c>
      <c r="J161" s="8">
        <v>0</v>
      </c>
      <c r="K161" s="8">
        <v>1</v>
      </c>
      <c r="L161" s="8">
        <v>0</v>
      </c>
      <c r="M161" s="8">
        <v>0</v>
      </c>
      <c r="N161" s="8">
        <v>0</v>
      </c>
      <c r="O161" s="8">
        <v>1</v>
      </c>
      <c r="P161" s="8">
        <v>0</v>
      </c>
      <c r="Q161" s="8">
        <v>0</v>
      </c>
      <c r="R161" s="8">
        <v>1</v>
      </c>
      <c r="S161" s="8">
        <v>0</v>
      </c>
      <c r="T161" s="8">
        <v>0</v>
      </c>
      <c r="U161" s="8">
        <v>0</v>
      </c>
      <c r="V161" s="8">
        <v>1</v>
      </c>
      <c r="W161" s="8">
        <v>0</v>
      </c>
      <c r="X161" s="8">
        <v>0</v>
      </c>
      <c r="Y161" s="8">
        <v>0</v>
      </c>
      <c r="Z161" s="8">
        <v>0</v>
      </c>
      <c r="AA161" s="8">
        <v>0</v>
      </c>
      <c r="AB161" s="8">
        <v>1</v>
      </c>
      <c r="AC161" s="8">
        <v>0</v>
      </c>
    </row>
    <row r="162" spans="3:29" x14ac:dyDescent="0.25">
      <c r="C162" s="9" t="s">
        <v>275</v>
      </c>
      <c r="D162" s="8">
        <v>27</v>
      </c>
      <c r="E162" s="8">
        <v>15</v>
      </c>
      <c r="F162" s="8">
        <v>3</v>
      </c>
      <c r="G162" s="8">
        <v>716</v>
      </c>
      <c r="H162" s="8">
        <v>6</v>
      </c>
      <c r="I162" s="8">
        <v>0</v>
      </c>
      <c r="J162" s="8">
        <v>1</v>
      </c>
      <c r="K162" s="8">
        <v>0</v>
      </c>
      <c r="L162" s="8">
        <v>0</v>
      </c>
      <c r="M162" s="8">
        <v>0</v>
      </c>
      <c r="N162" s="8">
        <v>0</v>
      </c>
      <c r="O162" s="8">
        <v>1</v>
      </c>
      <c r="P162" s="8">
        <v>1</v>
      </c>
      <c r="Q162" s="8">
        <v>1</v>
      </c>
      <c r="R162" s="8">
        <v>0</v>
      </c>
      <c r="S162" s="8">
        <v>0</v>
      </c>
      <c r="T162" s="8">
        <v>0</v>
      </c>
      <c r="U162" s="8">
        <v>0</v>
      </c>
      <c r="V162" s="8">
        <v>1</v>
      </c>
      <c r="W162" s="8">
        <v>0</v>
      </c>
      <c r="X162" s="8">
        <v>0</v>
      </c>
      <c r="Y162" s="8">
        <v>0</v>
      </c>
      <c r="Z162" s="8">
        <v>0</v>
      </c>
      <c r="AA162" s="8">
        <v>0</v>
      </c>
      <c r="AB162" s="8">
        <v>1</v>
      </c>
      <c r="AC162" s="8">
        <v>0</v>
      </c>
    </row>
    <row r="163" spans="3:29" x14ac:dyDescent="0.25">
      <c r="C163" s="9" t="s">
        <v>276</v>
      </c>
      <c r="D163" s="8">
        <v>20</v>
      </c>
      <c r="E163" s="8">
        <v>13</v>
      </c>
      <c r="F163" s="8">
        <v>4</v>
      </c>
      <c r="G163" s="8">
        <v>826</v>
      </c>
      <c r="H163" s="8">
        <v>4</v>
      </c>
      <c r="I163" s="8">
        <v>1</v>
      </c>
      <c r="J163" s="8">
        <v>0</v>
      </c>
      <c r="K163" s="8">
        <v>0</v>
      </c>
      <c r="L163" s="8">
        <v>0</v>
      </c>
      <c r="M163" s="8">
        <v>0</v>
      </c>
      <c r="N163" s="8">
        <v>0</v>
      </c>
      <c r="O163" s="8">
        <v>1</v>
      </c>
      <c r="P163" s="8">
        <v>0</v>
      </c>
      <c r="Q163" s="8">
        <v>0</v>
      </c>
      <c r="R163" s="8">
        <v>1</v>
      </c>
      <c r="S163" s="8">
        <v>0</v>
      </c>
      <c r="T163" s="8">
        <v>0</v>
      </c>
      <c r="U163" s="8">
        <v>0</v>
      </c>
      <c r="V163" s="8">
        <v>1</v>
      </c>
      <c r="W163" s="8">
        <v>0</v>
      </c>
      <c r="X163" s="8">
        <v>1</v>
      </c>
      <c r="Y163" s="8">
        <v>0</v>
      </c>
      <c r="Z163" s="8">
        <v>0</v>
      </c>
      <c r="AA163" s="8">
        <v>0</v>
      </c>
      <c r="AB163" s="8">
        <v>0</v>
      </c>
      <c r="AC163" s="8">
        <v>0</v>
      </c>
    </row>
    <row r="164" spans="3:29" x14ac:dyDescent="0.25">
      <c r="C164" s="9" t="s">
        <v>277</v>
      </c>
      <c r="D164" s="8">
        <v>38</v>
      </c>
      <c r="E164" s="8">
        <v>12</v>
      </c>
      <c r="F164" s="8">
        <v>5</v>
      </c>
      <c r="G164" s="8">
        <v>716</v>
      </c>
      <c r="H164" s="8">
        <v>7</v>
      </c>
      <c r="I164" s="8">
        <v>0</v>
      </c>
      <c r="J164" s="8">
        <v>0</v>
      </c>
      <c r="K164" s="8">
        <v>0</v>
      </c>
      <c r="L164" s="8">
        <v>1</v>
      </c>
      <c r="M164" s="8">
        <v>1</v>
      </c>
      <c r="N164" s="8">
        <v>0</v>
      </c>
      <c r="O164" s="8">
        <v>0</v>
      </c>
      <c r="P164" s="8">
        <v>1</v>
      </c>
      <c r="Q164" s="8">
        <v>1</v>
      </c>
      <c r="R164" s="8">
        <v>0</v>
      </c>
      <c r="S164" s="8">
        <v>0</v>
      </c>
      <c r="T164" s="8">
        <v>0</v>
      </c>
      <c r="U164" s="8">
        <v>0</v>
      </c>
      <c r="V164" s="8">
        <v>1</v>
      </c>
      <c r="W164" s="8">
        <v>1</v>
      </c>
      <c r="X164" s="8">
        <v>0</v>
      </c>
      <c r="Y164" s="8">
        <v>0</v>
      </c>
      <c r="Z164" s="8">
        <v>0</v>
      </c>
      <c r="AA164" s="8">
        <v>0</v>
      </c>
      <c r="AB164" s="8">
        <v>0</v>
      </c>
      <c r="AC164" s="8">
        <v>0</v>
      </c>
    </row>
    <row r="165" spans="3:29" x14ac:dyDescent="0.25">
      <c r="C165" s="9" t="s">
        <v>471</v>
      </c>
      <c r="D165" s="8">
        <v>69</v>
      </c>
      <c r="E165" s="8">
        <v>11</v>
      </c>
      <c r="F165" s="8">
        <v>5</v>
      </c>
      <c r="G165" s="8">
        <v>188</v>
      </c>
      <c r="H165" s="8">
        <v>0</v>
      </c>
      <c r="I165" s="8">
        <v>0</v>
      </c>
      <c r="J165" s="8">
        <v>0</v>
      </c>
      <c r="K165" s="8">
        <v>0</v>
      </c>
      <c r="L165" s="8">
        <v>1</v>
      </c>
      <c r="M165" s="8">
        <v>0</v>
      </c>
      <c r="N165" s="8">
        <v>0</v>
      </c>
      <c r="O165" s="8">
        <v>1</v>
      </c>
      <c r="P165" s="8">
        <v>0</v>
      </c>
      <c r="Q165" s="8">
        <v>0</v>
      </c>
      <c r="R165" s="8">
        <v>1</v>
      </c>
      <c r="S165" s="8">
        <v>0</v>
      </c>
      <c r="T165" s="8">
        <v>0</v>
      </c>
      <c r="U165" s="8">
        <v>0</v>
      </c>
      <c r="V165" s="8">
        <v>1</v>
      </c>
      <c r="W165" s="8">
        <v>0</v>
      </c>
      <c r="X165" s="8">
        <v>0</v>
      </c>
      <c r="Y165" s="8">
        <v>0</v>
      </c>
      <c r="Z165" s="8">
        <v>1</v>
      </c>
      <c r="AA165" s="8">
        <v>0</v>
      </c>
      <c r="AB165" s="8">
        <v>0</v>
      </c>
      <c r="AC165" s="8">
        <v>0</v>
      </c>
    </row>
    <row r="166" spans="3:29" x14ac:dyDescent="0.25">
      <c r="C166" s="9" t="s">
        <v>278</v>
      </c>
      <c r="D166" s="8">
        <v>19</v>
      </c>
      <c r="E166" s="8">
        <v>11</v>
      </c>
      <c r="F166" s="8">
        <v>4</v>
      </c>
      <c r="G166" s="8">
        <v>1282</v>
      </c>
      <c r="H166" s="8">
        <v>7</v>
      </c>
      <c r="I166" s="8">
        <v>0</v>
      </c>
      <c r="J166" s="8">
        <v>0</v>
      </c>
      <c r="K166" s="8">
        <v>1</v>
      </c>
      <c r="L166" s="8">
        <v>0</v>
      </c>
      <c r="M166" s="8">
        <v>0</v>
      </c>
      <c r="N166" s="8">
        <v>1</v>
      </c>
      <c r="O166" s="8">
        <v>0</v>
      </c>
      <c r="P166" s="8">
        <v>0</v>
      </c>
      <c r="Q166" s="8">
        <v>0</v>
      </c>
      <c r="R166" s="8">
        <v>0</v>
      </c>
      <c r="S166" s="8">
        <v>1</v>
      </c>
      <c r="T166" s="8">
        <v>1</v>
      </c>
      <c r="U166" s="8">
        <v>0</v>
      </c>
      <c r="V166" s="8">
        <v>0</v>
      </c>
      <c r="W166" s="8">
        <v>1</v>
      </c>
      <c r="X166" s="8">
        <v>0</v>
      </c>
      <c r="Y166" s="8">
        <v>0</v>
      </c>
      <c r="Z166" s="8">
        <v>0</v>
      </c>
      <c r="AA166" s="8">
        <v>0</v>
      </c>
      <c r="AB166" s="8">
        <v>0</v>
      </c>
      <c r="AC166" s="8">
        <v>0</v>
      </c>
    </row>
    <row r="167" spans="3:29" x14ac:dyDescent="0.25">
      <c r="C167" s="9" t="s">
        <v>463</v>
      </c>
      <c r="D167" s="8">
        <v>11</v>
      </c>
      <c r="E167" s="8">
        <v>10</v>
      </c>
      <c r="F167" s="8">
        <v>5</v>
      </c>
      <c r="G167" s="8">
        <v>3348</v>
      </c>
      <c r="H167" s="8">
        <v>3</v>
      </c>
      <c r="I167" s="8">
        <v>0</v>
      </c>
      <c r="J167" s="8">
        <v>1</v>
      </c>
      <c r="K167" s="8">
        <v>0</v>
      </c>
      <c r="L167" s="8">
        <v>0</v>
      </c>
      <c r="M167" s="8">
        <v>0</v>
      </c>
      <c r="N167" s="8">
        <v>1</v>
      </c>
      <c r="O167" s="8">
        <v>0</v>
      </c>
      <c r="P167" s="8">
        <v>0</v>
      </c>
      <c r="Q167" s="8">
        <v>0</v>
      </c>
      <c r="R167" s="8">
        <v>0</v>
      </c>
      <c r="S167" s="8">
        <v>1</v>
      </c>
      <c r="T167" s="8">
        <v>0</v>
      </c>
      <c r="U167" s="8">
        <v>1</v>
      </c>
      <c r="V167" s="8">
        <v>0</v>
      </c>
      <c r="W167" s="8">
        <v>1</v>
      </c>
      <c r="X167" s="8">
        <v>0</v>
      </c>
      <c r="Y167" s="8">
        <v>0</v>
      </c>
      <c r="Z167" s="8">
        <v>0</v>
      </c>
      <c r="AA167" s="8">
        <v>0</v>
      </c>
      <c r="AB167" s="8">
        <v>0</v>
      </c>
      <c r="AC167" s="8">
        <v>0</v>
      </c>
    </row>
    <row r="168" spans="3:29" x14ac:dyDescent="0.25">
      <c r="C168" s="9" t="s">
        <v>450</v>
      </c>
      <c r="D168" s="8">
        <v>30</v>
      </c>
      <c r="E168" s="8">
        <v>9</v>
      </c>
      <c r="F168" s="8">
        <v>2</v>
      </c>
      <c r="G168" s="8">
        <v>3933</v>
      </c>
      <c r="H168" s="8">
        <v>0</v>
      </c>
      <c r="I168" s="8">
        <v>0</v>
      </c>
      <c r="J168" s="8">
        <v>0</v>
      </c>
      <c r="K168" s="8">
        <v>1</v>
      </c>
      <c r="L168" s="8">
        <v>0</v>
      </c>
      <c r="M168" s="8">
        <v>1</v>
      </c>
      <c r="N168" s="8">
        <v>0</v>
      </c>
      <c r="O168" s="8">
        <v>0</v>
      </c>
      <c r="P168" s="8">
        <v>0</v>
      </c>
      <c r="Q168" s="8">
        <v>0</v>
      </c>
      <c r="R168" s="8">
        <v>0</v>
      </c>
      <c r="S168" s="8">
        <v>1</v>
      </c>
      <c r="T168" s="8">
        <v>0</v>
      </c>
      <c r="U168" s="8">
        <v>0</v>
      </c>
      <c r="V168" s="8">
        <v>1</v>
      </c>
      <c r="W168" s="8">
        <v>0</v>
      </c>
      <c r="X168" s="8">
        <v>0</v>
      </c>
      <c r="Y168" s="8">
        <v>0</v>
      </c>
      <c r="Z168" s="8">
        <v>0</v>
      </c>
      <c r="AA168" s="8">
        <v>0</v>
      </c>
      <c r="AB168" s="8">
        <v>1</v>
      </c>
      <c r="AC168" s="8">
        <v>0</v>
      </c>
    </row>
    <row r="169" spans="3:29" x14ac:dyDescent="0.25">
      <c r="C169" s="9" t="s">
        <v>279</v>
      </c>
      <c r="D169" s="8">
        <v>11</v>
      </c>
      <c r="E169" s="8">
        <v>7</v>
      </c>
      <c r="F169" s="8">
        <v>5</v>
      </c>
      <c r="G169" s="8">
        <v>1282</v>
      </c>
      <c r="H169" s="8">
        <v>2</v>
      </c>
      <c r="I169" s="8">
        <v>0</v>
      </c>
      <c r="J169" s="8">
        <v>0</v>
      </c>
      <c r="K169" s="8">
        <v>0</v>
      </c>
      <c r="L169" s="8">
        <v>1</v>
      </c>
      <c r="M169" s="8">
        <v>0</v>
      </c>
      <c r="N169" s="8">
        <v>0</v>
      </c>
      <c r="O169" s="8">
        <v>1</v>
      </c>
      <c r="P169" s="8">
        <v>0</v>
      </c>
      <c r="Q169" s="8">
        <v>0</v>
      </c>
      <c r="R169" s="8">
        <v>0</v>
      </c>
      <c r="S169" s="8">
        <v>1</v>
      </c>
      <c r="T169" s="8">
        <v>1</v>
      </c>
      <c r="U169" s="8">
        <v>0</v>
      </c>
      <c r="V169" s="8">
        <v>0</v>
      </c>
      <c r="W169" s="8">
        <v>0</v>
      </c>
      <c r="X169" s="8">
        <v>0</v>
      </c>
      <c r="Y169" s="8">
        <v>1</v>
      </c>
      <c r="Z169" s="8">
        <v>0</v>
      </c>
      <c r="AA169" s="8">
        <v>0</v>
      </c>
      <c r="AB169" s="8">
        <v>0</v>
      </c>
      <c r="AC169" s="8">
        <v>0</v>
      </c>
    </row>
    <row r="170" spans="3:29" x14ac:dyDescent="0.25">
      <c r="C170" s="9" t="s">
        <v>280</v>
      </c>
      <c r="D170" s="8">
        <v>18</v>
      </c>
      <c r="E170" s="8">
        <v>6</v>
      </c>
      <c r="F170" s="8">
        <v>4</v>
      </c>
      <c r="G170" s="8">
        <v>1467</v>
      </c>
      <c r="H170" s="8">
        <v>1</v>
      </c>
      <c r="I170" s="8">
        <v>0</v>
      </c>
      <c r="J170" s="8">
        <v>1</v>
      </c>
      <c r="K170" s="8">
        <v>0</v>
      </c>
      <c r="L170" s="8">
        <v>0</v>
      </c>
      <c r="M170" s="8">
        <v>0</v>
      </c>
      <c r="N170" s="8">
        <v>0</v>
      </c>
      <c r="O170" s="8">
        <v>1</v>
      </c>
      <c r="P170" s="8">
        <v>1</v>
      </c>
      <c r="Q170" s="8">
        <v>0</v>
      </c>
      <c r="R170" s="8">
        <v>1</v>
      </c>
      <c r="S170" s="8">
        <v>0</v>
      </c>
      <c r="T170" s="8">
        <v>0</v>
      </c>
      <c r="U170" s="8">
        <v>1</v>
      </c>
      <c r="V170" s="8">
        <v>0</v>
      </c>
      <c r="W170" s="8">
        <v>0</v>
      </c>
      <c r="X170" s="8">
        <v>1</v>
      </c>
      <c r="Y170" s="8">
        <v>0</v>
      </c>
      <c r="Z170" s="8">
        <v>0</v>
      </c>
      <c r="AA170" s="8">
        <v>0</v>
      </c>
      <c r="AB170" s="8">
        <v>0</v>
      </c>
      <c r="AC170" s="8">
        <v>0</v>
      </c>
    </row>
    <row r="171" spans="3:29" x14ac:dyDescent="0.25">
      <c r="C171" s="9" t="s">
        <v>281</v>
      </c>
      <c r="D171" s="8">
        <v>15</v>
      </c>
      <c r="E171" s="8">
        <v>6</v>
      </c>
      <c r="F171" s="8">
        <v>5</v>
      </c>
      <c r="G171" s="8">
        <v>3933</v>
      </c>
      <c r="H171" s="8">
        <v>1</v>
      </c>
      <c r="I171" s="8">
        <v>0</v>
      </c>
      <c r="J171" s="8">
        <v>0</v>
      </c>
      <c r="K171" s="8">
        <v>1</v>
      </c>
      <c r="L171" s="8">
        <v>0</v>
      </c>
      <c r="M171" s="8">
        <v>0</v>
      </c>
      <c r="N171" s="8">
        <v>0</v>
      </c>
      <c r="O171" s="8">
        <v>1</v>
      </c>
      <c r="P171" s="8">
        <v>0</v>
      </c>
      <c r="Q171" s="8">
        <v>0</v>
      </c>
      <c r="R171" s="8">
        <v>0</v>
      </c>
      <c r="S171" s="8">
        <v>1</v>
      </c>
      <c r="T171" s="8">
        <v>0</v>
      </c>
      <c r="U171" s="8">
        <v>1</v>
      </c>
      <c r="V171" s="8">
        <v>0</v>
      </c>
      <c r="W171" s="8">
        <v>0</v>
      </c>
      <c r="X171" s="8">
        <v>0</v>
      </c>
      <c r="Y171" s="8">
        <v>0</v>
      </c>
      <c r="Z171" s="8">
        <v>0</v>
      </c>
      <c r="AA171" s="8">
        <v>1</v>
      </c>
      <c r="AB171" s="8">
        <v>0</v>
      </c>
      <c r="AC171" s="8">
        <v>0</v>
      </c>
    </row>
    <row r="172" spans="3:29" x14ac:dyDescent="0.25">
      <c r="C172" s="9" t="s">
        <v>282</v>
      </c>
      <c r="D172" s="8">
        <v>54</v>
      </c>
      <c r="E172" s="8">
        <v>18</v>
      </c>
      <c r="F172" s="8">
        <v>2</v>
      </c>
      <c r="G172" s="8">
        <v>3003</v>
      </c>
      <c r="H172" s="8">
        <v>5</v>
      </c>
      <c r="I172" s="8">
        <v>0</v>
      </c>
      <c r="J172" s="8">
        <v>0</v>
      </c>
      <c r="K172" s="8">
        <v>1</v>
      </c>
      <c r="L172" s="8">
        <v>0</v>
      </c>
      <c r="M172" s="8">
        <v>1</v>
      </c>
      <c r="N172" s="8">
        <v>0</v>
      </c>
      <c r="O172" s="8">
        <v>0</v>
      </c>
      <c r="P172" s="8">
        <v>0</v>
      </c>
      <c r="Q172" s="8">
        <v>0</v>
      </c>
      <c r="R172" s="8">
        <v>1</v>
      </c>
      <c r="S172" s="8">
        <v>0</v>
      </c>
      <c r="T172" s="8">
        <v>1</v>
      </c>
      <c r="U172" s="8">
        <v>0</v>
      </c>
      <c r="V172" s="8">
        <v>0</v>
      </c>
      <c r="W172" s="8">
        <v>0</v>
      </c>
      <c r="X172" s="8">
        <v>0</v>
      </c>
      <c r="Y172" s="8">
        <v>0</v>
      </c>
      <c r="Z172" s="8">
        <v>0</v>
      </c>
      <c r="AA172" s="8">
        <v>0</v>
      </c>
      <c r="AB172" s="8">
        <v>1</v>
      </c>
      <c r="AC172" s="8">
        <v>0</v>
      </c>
    </row>
    <row r="173" spans="3:29" x14ac:dyDescent="0.25">
      <c r="C173" s="9" t="s">
        <v>422</v>
      </c>
      <c r="D173" s="8">
        <v>27</v>
      </c>
      <c r="E173" s="8">
        <v>17</v>
      </c>
      <c r="F173" s="8">
        <v>3</v>
      </c>
      <c r="G173" s="8">
        <v>2884</v>
      </c>
      <c r="H173" s="8">
        <v>6</v>
      </c>
      <c r="I173" s="8">
        <v>0</v>
      </c>
      <c r="J173" s="8">
        <v>1</v>
      </c>
      <c r="K173" s="8">
        <v>0</v>
      </c>
      <c r="L173" s="8">
        <v>0</v>
      </c>
      <c r="M173" s="8">
        <v>0</v>
      </c>
      <c r="N173" s="8">
        <v>1</v>
      </c>
      <c r="O173" s="8">
        <v>0</v>
      </c>
      <c r="P173" s="8">
        <v>1</v>
      </c>
      <c r="Q173" s="8">
        <v>0</v>
      </c>
      <c r="R173" s="8">
        <v>1</v>
      </c>
      <c r="S173" s="8">
        <v>0</v>
      </c>
      <c r="T173" s="8">
        <v>0</v>
      </c>
      <c r="U173" s="8">
        <v>0</v>
      </c>
      <c r="V173" s="8">
        <v>1</v>
      </c>
      <c r="W173" s="8">
        <v>0</v>
      </c>
      <c r="X173" s="8">
        <v>0</v>
      </c>
      <c r="Y173" s="8">
        <v>0</v>
      </c>
      <c r="Z173" s="8">
        <v>0</v>
      </c>
      <c r="AA173" s="8">
        <v>1</v>
      </c>
      <c r="AB173" s="8">
        <v>0</v>
      </c>
      <c r="AC173" s="8">
        <v>0</v>
      </c>
    </row>
    <row r="174" spans="3:29" x14ac:dyDescent="0.25">
      <c r="C174" s="9" t="s">
        <v>283</v>
      </c>
      <c r="D174" s="8">
        <v>19</v>
      </c>
      <c r="E174" s="8">
        <v>17</v>
      </c>
      <c r="F174" s="8">
        <v>4</v>
      </c>
      <c r="G174" s="8">
        <v>3003</v>
      </c>
      <c r="H174" s="8">
        <v>5</v>
      </c>
      <c r="I174" s="8">
        <v>0</v>
      </c>
      <c r="J174" s="8">
        <v>0</v>
      </c>
      <c r="K174" s="8">
        <v>0</v>
      </c>
      <c r="L174" s="8">
        <v>1</v>
      </c>
      <c r="M174" s="8">
        <v>0</v>
      </c>
      <c r="N174" s="8">
        <v>0</v>
      </c>
      <c r="O174" s="8">
        <v>1</v>
      </c>
      <c r="P174" s="8">
        <v>0</v>
      </c>
      <c r="Q174" s="8">
        <v>0</v>
      </c>
      <c r="R174" s="8">
        <v>1</v>
      </c>
      <c r="S174" s="8">
        <v>0</v>
      </c>
      <c r="T174" s="8">
        <v>0</v>
      </c>
      <c r="U174" s="8">
        <v>1</v>
      </c>
      <c r="V174" s="8">
        <v>0</v>
      </c>
      <c r="W174" s="8">
        <v>0</v>
      </c>
      <c r="X174" s="8">
        <v>0</v>
      </c>
      <c r="Y174" s="8">
        <v>0</v>
      </c>
      <c r="Z174" s="8">
        <v>0</v>
      </c>
      <c r="AA174" s="8">
        <v>0</v>
      </c>
      <c r="AB174" s="8">
        <v>0</v>
      </c>
      <c r="AC174" s="8">
        <v>1</v>
      </c>
    </row>
    <row r="175" spans="3:29" x14ac:dyDescent="0.25">
      <c r="C175" s="9" t="s">
        <v>284</v>
      </c>
      <c r="D175" s="8">
        <v>20</v>
      </c>
      <c r="E175" s="8">
        <v>13</v>
      </c>
      <c r="F175" s="8">
        <v>5</v>
      </c>
      <c r="G175" s="8">
        <v>2700</v>
      </c>
      <c r="H175" s="8">
        <v>6</v>
      </c>
      <c r="I175" s="8">
        <v>0</v>
      </c>
      <c r="J175" s="8">
        <v>0</v>
      </c>
      <c r="K175" s="8">
        <v>1</v>
      </c>
      <c r="L175" s="8">
        <v>0</v>
      </c>
      <c r="M175" s="8">
        <v>1</v>
      </c>
      <c r="N175" s="8">
        <v>0</v>
      </c>
      <c r="O175" s="8">
        <v>0</v>
      </c>
      <c r="P175" s="8">
        <v>1</v>
      </c>
      <c r="Q175" s="8">
        <v>0</v>
      </c>
      <c r="R175" s="8">
        <v>0</v>
      </c>
      <c r="S175" s="8">
        <v>1</v>
      </c>
      <c r="T175" s="8">
        <v>0</v>
      </c>
      <c r="U175" s="8">
        <v>0</v>
      </c>
      <c r="V175" s="8">
        <v>1</v>
      </c>
      <c r="W175" s="8">
        <v>1</v>
      </c>
      <c r="X175" s="8">
        <v>0</v>
      </c>
      <c r="Y175" s="8">
        <v>0</v>
      </c>
      <c r="Z175" s="8">
        <v>0</v>
      </c>
      <c r="AA175" s="8">
        <v>0</v>
      </c>
      <c r="AB175" s="8">
        <v>0</v>
      </c>
      <c r="AC175" s="8">
        <v>0</v>
      </c>
    </row>
    <row r="176" spans="3:29" x14ac:dyDescent="0.25">
      <c r="C176" s="9" t="s">
        <v>423</v>
      </c>
      <c r="D176" s="8">
        <v>16</v>
      </c>
      <c r="E176" s="8">
        <v>13</v>
      </c>
      <c r="F176" s="8">
        <v>3</v>
      </c>
      <c r="G176" s="8">
        <v>2884</v>
      </c>
      <c r="H176" s="8">
        <v>6</v>
      </c>
      <c r="I176" s="8">
        <v>0</v>
      </c>
      <c r="J176" s="8">
        <v>0</v>
      </c>
      <c r="K176" s="8">
        <v>1</v>
      </c>
      <c r="L176" s="8">
        <v>0</v>
      </c>
      <c r="M176" s="8">
        <v>0</v>
      </c>
      <c r="N176" s="8">
        <v>1</v>
      </c>
      <c r="O176" s="8">
        <v>0</v>
      </c>
      <c r="P176" s="8">
        <v>1</v>
      </c>
      <c r="Q176" s="8">
        <v>0</v>
      </c>
      <c r="R176" s="8">
        <v>1</v>
      </c>
      <c r="S176" s="8">
        <v>0</v>
      </c>
      <c r="T176" s="8">
        <v>1</v>
      </c>
      <c r="U176" s="8">
        <v>0</v>
      </c>
      <c r="V176" s="8">
        <v>0</v>
      </c>
      <c r="W176" s="8">
        <v>0</v>
      </c>
      <c r="X176" s="8">
        <v>0</v>
      </c>
      <c r="Y176" s="8">
        <v>0</v>
      </c>
      <c r="Z176" s="8">
        <v>0</v>
      </c>
      <c r="AA176" s="8">
        <v>0</v>
      </c>
      <c r="AB176" s="8">
        <v>0</v>
      </c>
      <c r="AC176" s="8">
        <v>1</v>
      </c>
    </row>
    <row r="177" spans="3:29" x14ac:dyDescent="0.25">
      <c r="C177" s="9" t="s">
        <v>285</v>
      </c>
      <c r="D177" s="8">
        <v>39</v>
      </c>
      <c r="E177" s="8">
        <v>12</v>
      </c>
      <c r="F177" s="8">
        <v>5</v>
      </c>
      <c r="G177" s="8">
        <v>3348</v>
      </c>
      <c r="H177" s="8">
        <v>2</v>
      </c>
      <c r="I177" s="8">
        <v>0</v>
      </c>
      <c r="J177" s="8">
        <v>0</v>
      </c>
      <c r="K177" s="8">
        <v>0</v>
      </c>
      <c r="L177" s="8">
        <v>1</v>
      </c>
      <c r="M177" s="8">
        <v>1</v>
      </c>
      <c r="N177" s="8">
        <v>0</v>
      </c>
      <c r="O177" s="8">
        <v>0</v>
      </c>
      <c r="P177" s="8">
        <v>0</v>
      </c>
      <c r="Q177" s="8">
        <v>0</v>
      </c>
      <c r="R177" s="8">
        <v>0</v>
      </c>
      <c r="S177" s="8">
        <v>1</v>
      </c>
      <c r="T177" s="8">
        <v>0</v>
      </c>
      <c r="U177" s="8">
        <v>0</v>
      </c>
      <c r="V177" s="8">
        <v>1</v>
      </c>
      <c r="W177" s="8">
        <v>0</v>
      </c>
      <c r="X177" s="8">
        <v>0</v>
      </c>
      <c r="Y177" s="8">
        <v>0</v>
      </c>
      <c r="Z177" s="8">
        <v>0</v>
      </c>
      <c r="AA177" s="8">
        <v>1</v>
      </c>
      <c r="AB177" s="8">
        <v>0</v>
      </c>
      <c r="AC177" s="8">
        <v>0</v>
      </c>
    </row>
    <row r="178" spans="3:29" x14ac:dyDescent="0.25">
      <c r="C178" s="9" t="s">
        <v>286</v>
      </c>
      <c r="D178" s="8">
        <v>25</v>
      </c>
      <c r="E178" s="8">
        <v>10</v>
      </c>
      <c r="F178" s="8">
        <v>5</v>
      </c>
      <c r="G178" s="8">
        <v>188</v>
      </c>
      <c r="H178" s="8">
        <v>8</v>
      </c>
      <c r="I178" s="8">
        <v>0</v>
      </c>
      <c r="J178" s="8">
        <v>0</v>
      </c>
      <c r="K178" s="8">
        <v>0</v>
      </c>
      <c r="L178" s="8">
        <v>1</v>
      </c>
      <c r="M178" s="8">
        <v>1</v>
      </c>
      <c r="N178" s="8">
        <v>0</v>
      </c>
      <c r="O178" s="8">
        <v>0</v>
      </c>
      <c r="P178" s="8">
        <v>0</v>
      </c>
      <c r="Q178" s="8">
        <v>0</v>
      </c>
      <c r="R178" s="8">
        <v>1</v>
      </c>
      <c r="S178" s="8">
        <v>0</v>
      </c>
      <c r="T178" s="8">
        <v>0</v>
      </c>
      <c r="U178" s="8">
        <v>1</v>
      </c>
      <c r="V178" s="8">
        <v>0</v>
      </c>
      <c r="W178" s="8">
        <v>0</v>
      </c>
      <c r="X178" s="8">
        <v>0</v>
      </c>
      <c r="Y178" s="8">
        <v>0</v>
      </c>
      <c r="Z178" s="8">
        <v>0</v>
      </c>
      <c r="AA178" s="8">
        <v>0</v>
      </c>
      <c r="AB178" s="8">
        <v>1</v>
      </c>
      <c r="AC178" s="8">
        <v>0</v>
      </c>
    </row>
    <row r="179" spans="3:29" x14ac:dyDescent="0.25">
      <c r="C179" s="9" t="s">
        <v>416</v>
      </c>
      <c r="D179" s="8">
        <v>18</v>
      </c>
      <c r="E179" s="8">
        <v>10</v>
      </c>
      <c r="F179" s="8">
        <v>3</v>
      </c>
      <c r="G179" s="8">
        <v>1467</v>
      </c>
      <c r="H179" s="8">
        <v>2</v>
      </c>
      <c r="I179" s="8">
        <v>1</v>
      </c>
      <c r="J179" s="8">
        <v>0</v>
      </c>
      <c r="K179" s="8">
        <v>0</v>
      </c>
      <c r="L179" s="8">
        <v>0</v>
      </c>
      <c r="M179" s="8">
        <v>1</v>
      </c>
      <c r="N179" s="8">
        <v>0</v>
      </c>
      <c r="O179" s="8">
        <v>0</v>
      </c>
      <c r="P179" s="8">
        <v>1</v>
      </c>
      <c r="Q179" s="8">
        <v>0</v>
      </c>
      <c r="R179" s="8">
        <v>1</v>
      </c>
      <c r="S179" s="8">
        <v>0</v>
      </c>
      <c r="T179" s="8">
        <v>1</v>
      </c>
      <c r="U179" s="8">
        <v>0</v>
      </c>
      <c r="V179" s="8">
        <v>0</v>
      </c>
      <c r="W179" s="8">
        <v>0</v>
      </c>
      <c r="X179" s="8">
        <v>0</v>
      </c>
      <c r="Y179" s="8">
        <v>0</v>
      </c>
      <c r="Z179" s="8">
        <v>0</v>
      </c>
      <c r="AA179" s="8">
        <v>1</v>
      </c>
      <c r="AB179" s="8">
        <v>0</v>
      </c>
      <c r="AC179" s="8">
        <v>0</v>
      </c>
    </row>
    <row r="180" spans="3:29" x14ac:dyDescent="0.25">
      <c r="C180" s="9" t="s">
        <v>452</v>
      </c>
      <c r="D180" s="8">
        <v>16</v>
      </c>
      <c r="E180" s="8">
        <v>10</v>
      </c>
      <c r="F180" s="8">
        <v>3</v>
      </c>
      <c r="G180" s="8">
        <v>2700</v>
      </c>
      <c r="H180" s="8">
        <v>7</v>
      </c>
      <c r="I180" s="8">
        <v>0</v>
      </c>
      <c r="J180" s="8">
        <v>0</v>
      </c>
      <c r="K180" s="8">
        <v>1</v>
      </c>
      <c r="L180" s="8">
        <v>0</v>
      </c>
      <c r="M180" s="8">
        <v>1</v>
      </c>
      <c r="N180" s="8">
        <v>0</v>
      </c>
      <c r="O180" s="8">
        <v>0</v>
      </c>
      <c r="P180" s="8">
        <v>1</v>
      </c>
      <c r="Q180" s="8">
        <v>0</v>
      </c>
      <c r="R180" s="8">
        <v>0</v>
      </c>
      <c r="S180" s="8">
        <v>1</v>
      </c>
      <c r="T180" s="8">
        <v>1</v>
      </c>
      <c r="U180" s="8">
        <v>0</v>
      </c>
      <c r="V180" s="8">
        <v>0</v>
      </c>
      <c r="W180" s="8">
        <v>0</v>
      </c>
      <c r="X180" s="8">
        <v>1</v>
      </c>
      <c r="Y180" s="8">
        <v>0</v>
      </c>
      <c r="Z180" s="8">
        <v>0</v>
      </c>
      <c r="AA180" s="8">
        <v>0</v>
      </c>
      <c r="AB180" s="8">
        <v>0</v>
      </c>
      <c r="AC180" s="8">
        <v>0</v>
      </c>
    </row>
    <row r="181" spans="3:29" x14ac:dyDescent="0.25">
      <c r="C181" s="9" t="s">
        <v>476</v>
      </c>
      <c r="D181" s="8">
        <v>13</v>
      </c>
      <c r="E181" s="8">
        <v>10</v>
      </c>
      <c r="F181" s="8">
        <v>4</v>
      </c>
      <c r="G181" s="8">
        <v>1467</v>
      </c>
      <c r="H181" s="8">
        <v>10</v>
      </c>
      <c r="I181" s="8">
        <v>0</v>
      </c>
      <c r="J181" s="8">
        <v>1</v>
      </c>
      <c r="K181" s="8">
        <v>0</v>
      </c>
      <c r="L181" s="8">
        <v>0</v>
      </c>
      <c r="M181" s="8">
        <v>1</v>
      </c>
      <c r="N181" s="8">
        <v>0</v>
      </c>
      <c r="O181" s="8">
        <v>0</v>
      </c>
      <c r="P181" s="8">
        <v>1</v>
      </c>
      <c r="Q181" s="8">
        <v>0</v>
      </c>
      <c r="R181" s="8">
        <v>1</v>
      </c>
      <c r="S181" s="8">
        <v>0</v>
      </c>
      <c r="T181" s="8">
        <v>0</v>
      </c>
      <c r="U181" s="8">
        <v>1</v>
      </c>
      <c r="V181" s="8">
        <v>0</v>
      </c>
      <c r="W181" s="8">
        <v>0</v>
      </c>
      <c r="X181" s="8">
        <v>0</v>
      </c>
      <c r="Y181" s="8">
        <v>0</v>
      </c>
      <c r="Z181" s="8">
        <v>0</v>
      </c>
      <c r="AA181" s="8">
        <v>0</v>
      </c>
      <c r="AB181" s="8">
        <v>0</v>
      </c>
      <c r="AC181" s="8">
        <v>1</v>
      </c>
    </row>
    <row r="182" spans="3:29" x14ac:dyDescent="0.25">
      <c r="C182" s="9" t="s">
        <v>436</v>
      </c>
      <c r="D182" s="8">
        <v>27</v>
      </c>
      <c r="E182" s="8">
        <v>8</v>
      </c>
      <c r="F182" s="8">
        <v>4</v>
      </c>
      <c r="G182" s="8">
        <v>787</v>
      </c>
      <c r="H182" s="8">
        <v>4</v>
      </c>
      <c r="I182" s="8">
        <v>0</v>
      </c>
      <c r="J182" s="8">
        <v>1</v>
      </c>
      <c r="K182" s="8">
        <v>0</v>
      </c>
      <c r="L182" s="8">
        <v>0</v>
      </c>
      <c r="M182" s="8">
        <v>1</v>
      </c>
      <c r="N182" s="8">
        <v>0</v>
      </c>
      <c r="O182" s="8">
        <v>0</v>
      </c>
      <c r="P182" s="8">
        <v>1</v>
      </c>
      <c r="Q182" s="8">
        <v>1</v>
      </c>
      <c r="R182" s="8">
        <v>0</v>
      </c>
      <c r="S182" s="8">
        <v>0</v>
      </c>
      <c r="T182" s="8">
        <v>0</v>
      </c>
      <c r="U182" s="8">
        <v>0</v>
      </c>
      <c r="V182" s="8">
        <v>1</v>
      </c>
      <c r="W182" s="8">
        <v>0</v>
      </c>
      <c r="X182" s="8">
        <v>0</v>
      </c>
      <c r="Y182" s="8">
        <v>0</v>
      </c>
      <c r="Z182" s="8">
        <v>0</v>
      </c>
      <c r="AA182" s="8">
        <v>1</v>
      </c>
      <c r="AB182" s="8">
        <v>0</v>
      </c>
      <c r="AC182" s="8">
        <v>0</v>
      </c>
    </row>
    <row r="183" spans="3:29" x14ac:dyDescent="0.25">
      <c r="C183" s="9" t="s">
        <v>469</v>
      </c>
      <c r="D183" s="8">
        <v>11</v>
      </c>
      <c r="E183" s="8">
        <v>3</v>
      </c>
      <c r="F183" s="8">
        <v>2</v>
      </c>
      <c r="G183" s="8">
        <v>1228</v>
      </c>
      <c r="H183" s="8">
        <v>2</v>
      </c>
      <c r="I183" s="8">
        <v>0</v>
      </c>
      <c r="J183" s="8">
        <v>0</v>
      </c>
      <c r="K183" s="8">
        <v>0</v>
      </c>
      <c r="L183" s="8">
        <v>1</v>
      </c>
      <c r="M183" s="8">
        <v>0</v>
      </c>
      <c r="N183" s="8">
        <v>0</v>
      </c>
      <c r="O183" s="8">
        <v>1</v>
      </c>
      <c r="P183" s="8">
        <v>0</v>
      </c>
      <c r="Q183" s="8">
        <v>1</v>
      </c>
      <c r="R183" s="8">
        <v>0</v>
      </c>
      <c r="S183" s="8">
        <v>0</v>
      </c>
      <c r="T183" s="8">
        <v>0</v>
      </c>
      <c r="U183" s="8">
        <v>1</v>
      </c>
      <c r="V183" s="8">
        <v>0</v>
      </c>
      <c r="W183" s="8">
        <v>0</v>
      </c>
      <c r="X183" s="8">
        <v>0</v>
      </c>
      <c r="Y183" s="8">
        <v>0</v>
      </c>
      <c r="Z183" s="8">
        <v>0</v>
      </c>
      <c r="AA183" s="8">
        <v>0</v>
      </c>
      <c r="AB183" s="8">
        <v>0</v>
      </c>
      <c r="AC183" s="8">
        <v>1</v>
      </c>
    </row>
    <row r="184" spans="3:29" x14ac:dyDescent="0.25">
      <c r="C184" s="9" t="s">
        <v>457</v>
      </c>
      <c r="D184" s="8">
        <v>4</v>
      </c>
      <c r="E184" s="8">
        <v>0</v>
      </c>
      <c r="F184" s="8">
        <v>1</v>
      </c>
      <c r="G184" s="8">
        <v>188</v>
      </c>
      <c r="H184" s="8">
        <v>0</v>
      </c>
      <c r="I184" s="8">
        <v>0</v>
      </c>
      <c r="J184" s="8">
        <v>1</v>
      </c>
      <c r="K184" s="8">
        <v>0</v>
      </c>
      <c r="L184" s="8">
        <v>0</v>
      </c>
      <c r="M184" s="8">
        <v>1</v>
      </c>
      <c r="N184" s="8">
        <v>0</v>
      </c>
      <c r="O184" s="8">
        <v>0</v>
      </c>
      <c r="P184" s="8">
        <v>0</v>
      </c>
      <c r="Q184" s="8">
        <v>0</v>
      </c>
      <c r="R184" s="8">
        <v>1</v>
      </c>
      <c r="S184" s="8">
        <v>0</v>
      </c>
      <c r="T184" s="8">
        <v>0</v>
      </c>
      <c r="U184" s="8">
        <v>0</v>
      </c>
      <c r="V184" s="8">
        <v>1</v>
      </c>
      <c r="W184" s="8">
        <v>0</v>
      </c>
      <c r="X184" s="8">
        <v>0</v>
      </c>
      <c r="Y184" s="8">
        <v>0</v>
      </c>
      <c r="Z184" s="8">
        <v>0</v>
      </c>
      <c r="AA184" s="8">
        <v>1</v>
      </c>
      <c r="AB184" s="8">
        <v>0</v>
      </c>
      <c r="AC184" s="8">
        <v>0</v>
      </c>
    </row>
    <row r="185" spans="3:29" x14ac:dyDescent="0.25">
      <c r="C185" s="9" t="s">
        <v>287</v>
      </c>
      <c r="D185" s="8">
        <v>60</v>
      </c>
      <c r="E185" s="8">
        <v>16</v>
      </c>
      <c r="F185" s="8">
        <v>4</v>
      </c>
      <c r="G185" s="8">
        <v>4027</v>
      </c>
      <c r="H185" s="8">
        <v>5</v>
      </c>
      <c r="I185" s="8">
        <v>1</v>
      </c>
      <c r="J185" s="8">
        <v>0</v>
      </c>
      <c r="K185" s="8">
        <v>0</v>
      </c>
      <c r="L185" s="8">
        <v>0</v>
      </c>
      <c r="M185" s="8">
        <v>0</v>
      </c>
      <c r="N185" s="8">
        <v>1</v>
      </c>
      <c r="O185" s="8">
        <v>0</v>
      </c>
      <c r="P185" s="8">
        <v>0</v>
      </c>
      <c r="Q185" s="8">
        <v>0</v>
      </c>
      <c r="R185" s="8">
        <v>0</v>
      </c>
      <c r="S185" s="8">
        <v>1</v>
      </c>
      <c r="T185" s="8">
        <v>0</v>
      </c>
      <c r="U185" s="8">
        <v>0</v>
      </c>
      <c r="V185" s="8">
        <v>1</v>
      </c>
      <c r="W185" s="8">
        <v>0</v>
      </c>
      <c r="X185" s="8">
        <v>0</v>
      </c>
      <c r="Y185" s="8">
        <v>1</v>
      </c>
      <c r="Z185" s="8">
        <v>0</v>
      </c>
      <c r="AA185" s="8">
        <v>0</v>
      </c>
      <c r="AB185" s="8">
        <v>0</v>
      </c>
      <c r="AC185" s="8">
        <v>0</v>
      </c>
    </row>
    <row r="186" spans="3:29" x14ac:dyDescent="0.25">
      <c r="C186" s="9" t="s">
        <v>288</v>
      </c>
      <c r="D186" s="8">
        <v>29</v>
      </c>
      <c r="E186" s="8">
        <v>11</v>
      </c>
      <c r="F186" s="8">
        <v>4</v>
      </c>
      <c r="G186" s="8">
        <v>3981</v>
      </c>
      <c r="H186" s="8">
        <v>3</v>
      </c>
      <c r="I186" s="8">
        <v>1</v>
      </c>
      <c r="J186" s="8">
        <v>0</v>
      </c>
      <c r="K186" s="8">
        <v>0</v>
      </c>
      <c r="L186" s="8">
        <v>0</v>
      </c>
      <c r="M186" s="8">
        <v>0</v>
      </c>
      <c r="N186" s="8">
        <v>0</v>
      </c>
      <c r="O186" s="8">
        <v>1</v>
      </c>
      <c r="P186" s="8">
        <v>0</v>
      </c>
      <c r="Q186" s="8">
        <v>1</v>
      </c>
      <c r="R186" s="8">
        <v>0</v>
      </c>
      <c r="S186" s="8">
        <v>0</v>
      </c>
      <c r="T186" s="8">
        <v>0</v>
      </c>
      <c r="U186" s="8">
        <v>1</v>
      </c>
      <c r="V186" s="8">
        <v>0</v>
      </c>
      <c r="W186" s="8">
        <v>0</v>
      </c>
      <c r="X186" s="8">
        <v>1</v>
      </c>
      <c r="Y186" s="8">
        <v>0</v>
      </c>
      <c r="Z186" s="8">
        <v>0</v>
      </c>
      <c r="AA186" s="8">
        <v>0</v>
      </c>
      <c r="AB186" s="8">
        <v>0</v>
      </c>
      <c r="AC186" s="8">
        <v>0</v>
      </c>
    </row>
    <row r="187" spans="3:29" x14ac:dyDescent="0.25">
      <c r="C187" s="9" t="s">
        <v>289</v>
      </c>
      <c r="D187" s="8">
        <v>54</v>
      </c>
      <c r="E187" s="8">
        <v>10</v>
      </c>
      <c r="F187" s="8">
        <v>4</v>
      </c>
      <c r="G187" s="8">
        <v>787</v>
      </c>
      <c r="H187" s="8">
        <v>5</v>
      </c>
      <c r="I187" s="8">
        <v>0</v>
      </c>
      <c r="J187" s="8">
        <v>0</v>
      </c>
      <c r="K187" s="8">
        <v>1</v>
      </c>
      <c r="L187" s="8">
        <v>0</v>
      </c>
      <c r="M187" s="8">
        <v>1</v>
      </c>
      <c r="N187" s="8">
        <v>0</v>
      </c>
      <c r="O187" s="8">
        <v>0</v>
      </c>
      <c r="P187" s="8">
        <v>1</v>
      </c>
      <c r="Q187" s="8">
        <v>1</v>
      </c>
      <c r="R187" s="8">
        <v>0</v>
      </c>
      <c r="S187" s="8">
        <v>0</v>
      </c>
      <c r="T187" s="8">
        <v>0</v>
      </c>
      <c r="U187" s="8">
        <v>0</v>
      </c>
      <c r="V187" s="8">
        <v>1</v>
      </c>
      <c r="W187" s="8">
        <v>0</v>
      </c>
      <c r="X187" s="8">
        <v>0</v>
      </c>
      <c r="Y187" s="8">
        <v>0</v>
      </c>
      <c r="Z187" s="8">
        <v>0</v>
      </c>
      <c r="AA187" s="8">
        <v>0</v>
      </c>
      <c r="AB187" s="8">
        <v>1</v>
      </c>
      <c r="AC187" s="8">
        <v>0</v>
      </c>
    </row>
    <row r="188" spans="3:29" x14ac:dyDescent="0.25">
      <c r="C188" s="9" t="s">
        <v>472</v>
      </c>
      <c r="D188" s="8">
        <v>58</v>
      </c>
      <c r="E188" s="8">
        <v>9</v>
      </c>
      <c r="F188" s="8">
        <v>4</v>
      </c>
      <c r="G188" s="8">
        <v>3981</v>
      </c>
      <c r="H188" s="8">
        <v>0</v>
      </c>
      <c r="I188" s="8">
        <v>0</v>
      </c>
      <c r="J188" s="8">
        <v>1</v>
      </c>
      <c r="K188" s="8">
        <v>0</v>
      </c>
      <c r="L188" s="8">
        <v>0</v>
      </c>
      <c r="M188" s="8">
        <v>0</v>
      </c>
      <c r="N188" s="8">
        <v>0</v>
      </c>
      <c r="O188" s="8">
        <v>1</v>
      </c>
      <c r="P188" s="8">
        <v>0</v>
      </c>
      <c r="Q188" s="8">
        <v>1</v>
      </c>
      <c r="R188" s="8">
        <v>0</v>
      </c>
      <c r="S188" s="8">
        <v>0</v>
      </c>
      <c r="T188" s="8">
        <v>1</v>
      </c>
      <c r="U188" s="8">
        <v>0</v>
      </c>
      <c r="V188" s="8">
        <v>0</v>
      </c>
      <c r="W188" s="8">
        <v>0</v>
      </c>
      <c r="X188" s="8">
        <v>0</v>
      </c>
      <c r="Y188" s="8">
        <v>1</v>
      </c>
      <c r="Z188" s="8">
        <v>0</v>
      </c>
      <c r="AA188" s="8">
        <v>0</v>
      </c>
      <c r="AB188" s="8">
        <v>0</v>
      </c>
      <c r="AC188" s="8">
        <v>0</v>
      </c>
    </row>
    <row r="189" spans="3:29" x14ac:dyDescent="0.25">
      <c r="C189" s="9" t="s">
        <v>456</v>
      </c>
      <c r="D189" s="8">
        <v>36</v>
      </c>
      <c r="E189" s="8">
        <v>9</v>
      </c>
      <c r="F189" s="8">
        <v>4</v>
      </c>
      <c r="G189" s="8">
        <v>2959</v>
      </c>
      <c r="H189" s="8">
        <v>2</v>
      </c>
      <c r="I189" s="8">
        <v>1</v>
      </c>
      <c r="J189" s="8">
        <v>0</v>
      </c>
      <c r="K189" s="8">
        <v>0</v>
      </c>
      <c r="L189" s="8">
        <v>0</v>
      </c>
      <c r="M189" s="8">
        <v>1</v>
      </c>
      <c r="N189" s="8">
        <v>0</v>
      </c>
      <c r="O189" s="8">
        <v>0</v>
      </c>
      <c r="P189" s="8">
        <v>0</v>
      </c>
      <c r="Q189" s="8">
        <v>0</v>
      </c>
      <c r="R189" s="8">
        <v>0</v>
      </c>
      <c r="S189" s="8">
        <v>1</v>
      </c>
      <c r="T189" s="8">
        <v>0</v>
      </c>
      <c r="U189" s="8">
        <v>1</v>
      </c>
      <c r="V189" s="8">
        <v>0</v>
      </c>
      <c r="W189" s="8">
        <v>0</v>
      </c>
      <c r="X189" s="8">
        <v>0</v>
      </c>
      <c r="Y189" s="8">
        <v>1</v>
      </c>
      <c r="Z189" s="8">
        <v>0</v>
      </c>
      <c r="AA189" s="8">
        <v>0</v>
      </c>
      <c r="AB189" s="8">
        <v>0</v>
      </c>
      <c r="AC189" s="8">
        <v>0</v>
      </c>
    </row>
    <row r="190" spans="3:29" x14ac:dyDescent="0.25">
      <c r="C190" s="9" t="s">
        <v>290</v>
      </c>
      <c r="D190" s="8">
        <v>21</v>
      </c>
      <c r="E190" s="8">
        <v>6</v>
      </c>
      <c r="F190" s="8">
        <v>5</v>
      </c>
      <c r="G190" s="8">
        <v>4027</v>
      </c>
      <c r="H190" s="8">
        <v>3</v>
      </c>
      <c r="I190" s="8">
        <v>0</v>
      </c>
      <c r="J190" s="8">
        <v>1</v>
      </c>
      <c r="K190" s="8">
        <v>0</v>
      </c>
      <c r="L190" s="8">
        <v>0</v>
      </c>
      <c r="M190" s="8">
        <v>0</v>
      </c>
      <c r="N190" s="8">
        <v>0</v>
      </c>
      <c r="O190" s="8">
        <v>1</v>
      </c>
      <c r="P190" s="8">
        <v>0</v>
      </c>
      <c r="Q190" s="8">
        <v>0</v>
      </c>
      <c r="R190" s="8">
        <v>0</v>
      </c>
      <c r="S190" s="8">
        <v>1</v>
      </c>
      <c r="T190" s="8">
        <v>0</v>
      </c>
      <c r="U190" s="8">
        <v>1</v>
      </c>
      <c r="V190" s="8">
        <v>0</v>
      </c>
      <c r="W190" s="8">
        <v>0</v>
      </c>
      <c r="X190" s="8">
        <v>0</v>
      </c>
      <c r="Y190" s="8">
        <v>1</v>
      </c>
      <c r="Z190" s="8">
        <v>0</v>
      </c>
      <c r="AA190" s="8">
        <v>0</v>
      </c>
      <c r="AB190" s="8">
        <v>0</v>
      </c>
      <c r="AC190" s="8">
        <v>0</v>
      </c>
    </row>
    <row r="191" spans="3:29" x14ac:dyDescent="0.25">
      <c r="C191" s="9" t="s">
        <v>291</v>
      </c>
      <c r="D191" s="8">
        <v>14</v>
      </c>
      <c r="E191" s="8">
        <v>5</v>
      </c>
      <c r="F191" s="8">
        <v>4</v>
      </c>
      <c r="G191" s="8">
        <v>315</v>
      </c>
      <c r="H191" s="8">
        <v>5</v>
      </c>
      <c r="I191" s="8">
        <v>0</v>
      </c>
      <c r="J191" s="8">
        <v>0</v>
      </c>
      <c r="K191" s="8">
        <v>0</v>
      </c>
      <c r="L191" s="8">
        <v>1</v>
      </c>
      <c r="M191" s="8">
        <v>1</v>
      </c>
      <c r="N191" s="8">
        <v>0</v>
      </c>
      <c r="O191" s="8">
        <v>0</v>
      </c>
      <c r="P191" s="8">
        <v>0</v>
      </c>
      <c r="Q191" s="8">
        <v>1</v>
      </c>
      <c r="R191" s="8">
        <v>0</v>
      </c>
      <c r="S191" s="8">
        <v>0</v>
      </c>
      <c r="T191" s="8">
        <v>0</v>
      </c>
      <c r="U191" s="8">
        <v>1</v>
      </c>
      <c r="V191" s="8">
        <v>0</v>
      </c>
      <c r="W191" s="8">
        <v>0</v>
      </c>
      <c r="X191" s="8">
        <v>0</v>
      </c>
      <c r="Y191" s="8">
        <v>0</v>
      </c>
      <c r="Z191" s="8">
        <v>0</v>
      </c>
      <c r="AA191" s="8">
        <v>1</v>
      </c>
      <c r="AB191" s="8">
        <v>0</v>
      </c>
      <c r="AC191" s="8">
        <v>0</v>
      </c>
    </row>
    <row r="192" spans="3:29" x14ac:dyDescent="0.25">
      <c r="C192" s="9" t="s">
        <v>292</v>
      </c>
      <c r="D192" s="8">
        <v>9</v>
      </c>
      <c r="E192" s="8">
        <v>3</v>
      </c>
      <c r="F192" s="8">
        <v>5</v>
      </c>
      <c r="G192" s="8">
        <v>3025</v>
      </c>
      <c r="H192" s="8">
        <v>1</v>
      </c>
      <c r="I192" s="8">
        <v>0</v>
      </c>
      <c r="J192" s="8">
        <v>0</v>
      </c>
      <c r="K192" s="8">
        <v>0</v>
      </c>
      <c r="L192" s="8">
        <v>1</v>
      </c>
      <c r="M192" s="8">
        <v>0</v>
      </c>
      <c r="N192" s="8">
        <v>1</v>
      </c>
      <c r="O192" s="8">
        <v>0</v>
      </c>
      <c r="P192" s="8">
        <v>0</v>
      </c>
      <c r="Q192" s="8">
        <v>0</v>
      </c>
      <c r="R192" s="8">
        <v>0</v>
      </c>
      <c r="S192" s="8">
        <v>1</v>
      </c>
      <c r="T192" s="8">
        <v>0</v>
      </c>
      <c r="U192" s="8">
        <v>0</v>
      </c>
      <c r="V192" s="8">
        <v>1</v>
      </c>
      <c r="W192" s="8">
        <v>0</v>
      </c>
      <c r="X192" s="8">
        <v>0</v>
      </c>
      <c r="Y192" s="8">
        <v>0</v>
      </c>
      <c r="Z192" s="8">
        <v>0</v>
      </c>
      <c r="AA192" s="8">
        <v>0</v>
      </c>
      <c r="AB192" s="8">
        <v>0</v>
      </c>
      <c r="AC192" s="8">
        <v>1</v>
      </c>
    </row>
    <row r="193" spans="3:29" x14ac:dyDescent="0.25">
      <c r="C193" s="9" t="s">
        <v>293</v>
      </c>
      <c r="D193" s="8">
        <v>2</v>
      </c>
      <c r="E193" s="8">
        <v>0</v>
      </c>
      <c r="F193" s="8">
        <v>1</v>
      </c>
      <c r="G193" s="8">
        <v>1282</v>
      </c>
      <c r="H193" s="8">
        <v>1</v>
      </c>
      <c r="I193" s="8">
        <v>0</v>
      </c>
      <c r="J193" s="8">
        <v>0</v>
      </c>
      <c r="K193" s="8">
        <v>0</v>
      </c>
      <c r="L193" s="8">
        <v>1</v>
      </c>
      <c r="M193" s="8">
        <v>0</v>
      </c>
      <c r="N193" s="8">
        <v>1</v>
      </c>
      <c r="O193" s="8">
        <v>0</v>
      </c>
      <c r="P193" s="8">
        <v>0</v>
      </c>
      <c r="Q193" s="8">
        <v>0</v>
      </c>
      <c r="R193" s="8">
        <v>0</v>
      </c>
      <c r="S193" s="8">
        <v>1</v>
      </c>
      <c r="T193" s="8">
        <v>1</v>
      </c>
      <c r="U193" s="8">
        <v>0</v>
      </c>
      <c r="V193" s="8">
        <v>0</v>
      </c>
      <c r="W193" s="8">
        <v>0</v>
      </c>
      <c r="X193" s="8">
        <v>1</v>
      </c>
      <c r="Y193" s="8">
        <v>0</v>
      </c>
      <c r="Z193" s="8">
        <v>0</v>
      </c>
      <c r="AA193" s="8">
        <v>0</v>
      </c>
      <c r="AB193" s="8">
        <v>0</v>
      </c>
      <c r="AC193" s="8">
        <v>0</v>
      </c>
    </row>
    <row r="194" spans="3:29" x14ac:dyDescent="0.25">
      <c r="C194" s="9" t="s">
        <v>294</v>
      </c>
      <c r="D194" s="8">
        <v>21</v>
      </c>
      <c r="E194" s="8">
        <v>20</v>
      </c>
      <c r="F194" s="8">
        <v>5</v>
      </c>
      <c r="G194" s="8">
        <v>2884</v>
      </c>
      <c r="H194" s="8">
        <v>3</v>
      </c>
      <c r="I194" s="8">
        <v>0</v>
      </c>
      <c r="J194" s="8">
        <v>1</v>
      </c>
      <c r="K194" s="8">
        <v>0</v>
      </c>
      <c r="L194" s="8">
        <v>0</v>
      </c>
      <c r="M194" s="8">
        <v>0</v>
      </c>
      <c r="N194" s="8">
        <v>0</v>
      </c>
      <c r="O194" s="8">
        <v>1</v>
      </c>
      <c r="P194" s="8">
        <v>1</v>
      </c>
      <c r="Q194" s="8">
        <v>0</v>
      </c>
      <c r="R194" s="8">
        <v>1</v>
      </c>
      <c r="S194" s="8">
        <v>0</v>
      </c>
      <c r="T194" s="8">
        <v>1</v>
      </c>
      <c r="U194" s="8">
        <v>0</v>
      </c>
      <c r="V194" s="8">
        <v>0</v>
      </c>
      <c r="W194" s="8">
        <v>0</v>
      </c>
      <c r="X194" s="8">
        <v>0</v>
      </c>
      <c r="Y194" s="8">
        <v>0</v>
      </c>
      <c r="Z194" s="8">
        <v>0</v>
      </c>
      <c r="AA194" s="8">
        <v>0</v>
      </c>
      <c r="AB194" s="8">
        <v>0</v>
      </c>
      <c r="AC194" s="8">
        <v>1</v>
      </c>
    </row>
    <row r="195" spans="3:29" x14ac:dyDescent="0.25">
      <c r="C195" s="9" t="s">
        <v>418</v>
      </c>
      <c r="D195" s="8">
        <v>2</v>
      </c>
      <c r="E195" s="8">
        <v>18</v>
      </c>
      <c r="F195" s="8">
        <v>5</v>
      </c>
      <c r="G195" s="8">
        <v>2700</v>
      </c>
      <c r="H195" s="8">
        <v>8</v>
      </c>
      <c r="I195" s="8">
        <v>0</v>
      </c>
      <c r="J195" s="8">
        <v>0</v>
      </c>
      <c r="K195" s="8">
        <v>0</v>
      </c>
      <c r="L195" s="8">
        <v>1</v>
      </c>
      <c r="M195" s="8">
        <v>0</v>
      </c>
      <c r="N195" s="8">
        <v>0</v>
      </c>
      <c r="O195" s="8">
        <v>1</v>
      </c>
      <c r="P195" s="8">
        <v>1</v>
      </c>
      <c r="Q195" s="8">
        <v>0</v>
      </c>
      <c r="R195" s="8">
        <v>0</v>
      </c>
      <c r="S195" s="8">
        <v>1</v>
      </c>
      <c r="T195" s="8">
        <v>0</v>
      </c>
      <c r="U195" s="8">
        <v>1</v>
      </c>
      <c r="V195" s="8">
        <v>0</v>
      </c>
      <c r="W195" s="8">
        <v>0</v>
      </c>
      <c r="X195" s="8">
        <v>0</v>
      </c>
      <c r="Y195" s="8">
        <v>0</v>
      </c>
      <c r="Z195" s="8">
        <v>0</v>
      </c>
      <c r="AA195" s="8">
        <v>0</v>
      </c>
      <c r="AB195" s="8">
        <v>0</v>
      </c>
      <c r="AC195" s="8">
        <v>1</v>
      </c>
    </row>
    <row r="196" spans="3:29" x14ac:dyDescent="0.25">
      <c r="C196" s="9" t="s">
        <v>295</v>
      </c>
      <c r="D196" s="8">
        <v>28</v>
      </c>
      <c r="E196" s="8">
        <v>17</v>
      </c>
      <c r="F196" s="8">
        <v>5</v>
      </c>
      <c r="G196" s="8">
        <v>1228</v>
      </c>
      <c r="H196" s="8">
        <v>2</v>
      </c>
      <c r="I196" s="8">
        <v>0</v>
      </c>
      <c r="J196" s="8">
        <v>0</v>
      </c>
      <c r="K196" s="8">
        <v>0</v>
      </c>
      <c r="L196" s="8">
        <v>1</v>
      </c>
      <c r="M196" s="8">
        <v>1</v>
      </c>
      <c r="N196" s="8">
        <v>0</v>
      </c>
      <c r="O196" s="8">
        <v>0</v>
      </c>
      <c r="P196" s="8">
        <v>0</v>
      </c>
      <c r="Q196" s="8">
        <v>1</v>
      </c>
      <c r="R196" s="8">
        <v>0</v>
      </c>
      <c r="S196" s="8">
        <v>0</v>
      </c>
      <c r="T196" s="8">
        <v>0</v>
      </c>
      <c r="U196" s="8">
        <v>0</v>
      </c>
      <c r="V196" s="8">
        <v>1</v>
      </c>
      <c r="W196" s="8">
        <v>0</v>
      </c>
      <c r="X196" s="8">
        <v>0</v>
      </c>
      <c r="Y196" s="8">
        <v>0</v>
      </c>
      <c r="Z196" s="8">
        <v>0</v>
      </c>
      <c r="AA196" s="8">
        <v>0</v>
      </c>
      <c r="AB196" s="8">
        <v>0</v>
      </c>
      <c r="AC196" s="8">
        <v>1</v>
      </c>
    </row>
    <row r="197" spans="3:29" x14ac:dyDescent="0.25">
      <c r="C197" s="9" t="s">
        <v>296</v>
      </c>
      <c r="D197" s="8">
        <v>29</v>
      </c>
      <c r="E197" s="8">
        <v>11</v>
      </c>
      <c r="F197" s="8">
        <v>3</v>
      </c>
      <c r="G197" s="8">
        <v>2884</v>
      </c>
      <c r="H197" s="8">
        <v>6</v>
      </c>
      <c r="I197" s="8">
        <v>1</v>
      </c>
      <c r="J197" s="8">
        <v>0</v>
      </c>
      <c r="K197" s="8">
        <v>0</v>
      </c>
      <c r="L197" s="8">
        <v>0</v>
      </c>
      <c r="M197" s="8">
        <v>1</v>
      </c>
      <c r="N197" s="8">
        <v>0</v>
      </c>
      <c r="O197" s="8">
        <v>0</v>
      </c>
      <c r="P197" s="8">
        <v>1</v>
      </c>
      <c r="Q197" s="8">
        <v>0</v>
      </c>
      <c r="R197" s="8">
        <v>1</v>
      </c>
      <c r="S197" s="8">
        <v>0</v>
      </c>
      <c r="T197" s="8">
        <v>0</v>
      </c>
      <c r="U197" s="8">
        <v>1</v>
      </c>
      <c r="V197" s="8">
        <v>0</v>
      </c>
      <c r="W197" s="8">
        <v>0</v>
      </c>
      <c r="X197" s="8">
        <v>0</v>
      </c>
      <c r="Y197" s="8">
        <v>0</v>
      </c>
      <c r="Z197" s="8">
        <v>1</v>
      </c>
      <c r="AA197" s="8">
        <v>0</v>
      </c>
      <c r="AB197" s="8">
        <v>0</v>
      </c>
      <c r="AC197" s="8">
        <v>0</v>
      </c>
    </row>
    <row r="198" spans="3:29" x14ac:dyDescent="0.25">
      <c r="C198" s="9" t="s">
        <v>297</v>
      </c>
      <c r="D198" s="8">
        <v>19</v>
      </c>
      <c r="E198" s="8">
        <v>11</v>
      </c>
      <c r="F198" s="8">
        <v>3</v>
      </c>
      <c r="G198" s="8">
        <v>716</v>
      </c>
      <c r="H198" s="8">
        <v>5</v>
      </c>
      <c r="I198" s="8">
        <v>0</v>
      </c>
      <c r="J198" s="8">
        <v>0</v>
      </c>
      <c r="K198" s="8">
        <v>0</v>
      </c>
      <c r="L198" s="8">
        <v>1</v>
      </c>
      <c r="M198" s="8">
        <v>0</v>
      </c>
      <c r="N198" s="8">
        <v>0</v>
      </c>
      <c r="O198" s="8">
        <v>1</v>
      </c>
      <c r="P198" s="8">
        <v>1</v>
      </c>
      <c r="Q198" s="8">
        <v>1</v>
      </c>
      <c r="R198" s="8">
        <v>0</v>
      </c>
      <c r="S198" s="8">
        <v>0</v>
      </c>
      <c r="T198" s="8">
        <v>0</v>
      </c>
      <c r="U198" s="8">
        <v>1</v>
      </c>
      <c r="V198" s="8">
        <v>0</v>
      </c>
      <c r="W198" s="8">
        <v>0</v>
      </c>
      <c r="X198" s="8">
        <v>0</v>
      </c>
      <c r="Y198" s="8">
        <v>0</v>
      </c>
      <c r="Z198" s="8">
        <v>1</v>
      </c>
      <c r="AA198" s="8">
        <v>0</v>
      </c>
      <c r="AB198" s="8">
        <v>0</v>
      </c>
      <c r="AC198" s="8">
        <v>0</v>
      </c>
    </row>
    <row r="199" spans="3:29" x14ac:dyDescent="0.25">
      <c r="C199" s="9" t="s">
        <v>439</v>
      </c>
      <c r="D199" s="8">
        <v>16</v>
      </c>
      <c r="E199" s="8">
        <v>9</v>
      </c>
      <c r="F199" s="8">
        <v>4</v>
      </c>
      <c r="G199" s="8">
        <v>2959</v>
      </c>
      <c r="H199" s="8">
        <v>3</v>
      </c>
      <c r="I199" s="8">
        <v>1</v>
      </c>
      <c r="J199" s="8">
        <v>0</v>
      </c>
      <c r="K199" s="8">
        <v>0</v>
      </c>
      <c r="L199" s="8">
        <v>0</v>
      </c>
      <c r="M199" s="8">
        <v>1</v>
      </c>
      <c r="N199" s="8">
        <v>0</v>
      </c>
      <c r="O199" s="8">
        <v>0</v>
      </c>
      <c r="P199" s="8">
        <v>0</v>
      </c>
      <c r="Q199" s="8">
        <v>0</v>
      </c>
      <c r="R199" s="8">
        <v>0</v>
      </c>
      <c r="S199" s="8">
        <v>1</v>
      </c>
      <c r="T199" s="8">
        <v>1</v>
      </c>
      <c r="U199" s="8">
        <v>0</v>
      </c>
      <c r="V199" s="8">
        <v>0</v>
      </c>
      <c r="W199" s="8">
        <v>0</v>
      </c>
      <c r="X199" s="8">
        <v>0</v>
      </c>
      <c r="Y199" s="8">
        <v>0</v>
      </c>
      <c r="Z199" s="8">
        <v>0</v>
      </c>
      <c r="AA199" s="8">
        <v>1</v>
      </c>
      <c r="AB199" s="8">
        <v>0</v>
      </c>
      <c r="AC199" s="8">
        <v>0</v>
      </c>
    </row>
    <row r="200" spans="3:29" x14ac:dyDescent="0.25">
      <c r="C200" s="9" t="s">
        <v>298</v>
      </c>
      <c r="D200" s="8">
        <v>14</v>
      </c>
      <c r="E200" s="8">
        <v>7</v>
      </c>
      <c r="F200" s="8">
        <v>4</v>
      </c>
      <c r="G200" s="8">
        <v>3773</v>
      </c>
      <c r="H200" s="8">
        <v>6</v>
      </c>
      <c r="I200" s="8">
        <v>0</v>
      </c>
      <c r="J200" s="8">
        <v>0</v>
      </c>
      <c r="K200" s="8">
        <v>1</v>
      </c>
      <c r="L200" s="8">
        <v>0</v>
      </c>
      <c r="M200" s="8">
        <v>1</v>
      </c>
      <c r="N200" s="8">
        <v>0</v>
      </c>
      <c r="O200" s="8">
        <v>0</v>
      </c>
      <c r="P200" s="8">
        <v>0</v>
      </c>
      <c r="Q200" s="8">
        <v>1</v>
      </c>
      <c r="R200" s="8">
        <v>0</v>
      </c>
      <c r="S200" s="8">
        <v>0</v>
      </c>
      <c r="T200" s="8">
        <v>0</v>
      </c>
      <c r="U200" s="8">
        <v>1</v>
      </c>
      <c r="V200" s="8">
        <v>0</v>
      </c>
      <c r="W200" s="8">
        <v>1</v>
      </c>
      <c r="X200" s="8">
        <v>0</v>
      </c>
      <c r="Y200" s="8">
        <v>0</v>
      </c>
      <c r="Z200" s="8">
        <v>0</v>
      </c>
      <c r="AA200" s="8">
        <v>0</v>
      </c>
      <c r="AB200" s="8">
        <v>0</v>
      </c>
      <c r="AC200" s="8">
        <v>0</v>
      </c>
    </row>
    <row r="201" spans="3:29" x14ac:dyDescent="0.25">
      <c r="C201" s="9" t="s">
        <v>299</v>
      </c>
      <c r="D201" s="8">
        <v>6</v>
      </c>
      <c r="E201" s="8">
        <v>4</v>
      </c>
      <c r="F201" s="8">
        <v>1</v>
      </c>
      <c r="G201" s="8">
        <v>2959</v>
      </c>
      <c r="H201" s="8">
        <v>1</v>
      </c>
      <c r="I201" s="8">
        <v>0</v>
      </c>
      <c r="J201" s="8">
        <v>1</v>
      </c>
      <c r="K201" s="8">
        <v>0</v>
      </c>
      <c r="L201" s="8">
        <v>0</v>
      </c>
      <c r="M201" s="8">
        <v>1</v>
      </c>
      <c r="N201" s="8">
        <v>0</v>
      </c>
      <c r="O201" s="8">
        <v>0</v>
      </c>
      <c r="P201" s="8">
        <v>0</v>
      </c>
      <c r="Q201" s="8">
        <v>0</v>
      </c>
      <c r="R201" s="8">
        <v>0</v>
      </c>
      <c r="S201" s="8">
        <v>1</v>
      </c>
      <c r="T201" s="8">
        <v>0</v>
      </c>
      <c r="U201" s="8">
        <v>0</v>
      </c>
      <c r="V201" s="8">
        <v>1</v>
      </c>
      <c r="W201" s="8">
        <v>0</v>
      </c>
      <c r="X201" s="8">
        <v>0</v>
      </c>
      <c r="Y201" s="8">
        <v>0</v>
      </c>
      <c r="Z201" s="8">
        <v>0</v>
      </c>
      <c r="AA201" s="8">
        <v>0</v>
      </c>
      <c r="AB201" s="8">
        <v>0</v>
      </c>
      <c r="AC201" s="8">
        <v>1</v>
      </c>
    </row>
    <row r="202" spans="3:29" x14ac:dyDescent="0.25">
      <c r="C202" s="9" t="s">
        <v>443</v>
      </c>
      <c r="D202" s="8">
        <v>14</v>
      </c>
      <c r="E202" s="8">
        <v>3</v>
      </c>
      <c r="F202" s="8">
        <v>5</v>
      </c>
      <c r="G202" s="8">
        <v>787</v>
      </c>
      <c r="H202" s="8">
        <v>6</v>
      </c>
      <c r="I202" s="8">
        <v>0</v>
      </c>
      <c r="J202" s="8">
        <v>0</v>
      </c>
      <c r="K202" s="8">
        <v>0</v>
      </c>
      <c r="L202" s="8">
        <v>1</v>
      </c>
      <c r="M202" s="8">
        <v>1</v>
      </c>
      <c r="N202" s="8">
        <v>0</v>
      </c>
      <c r="O202" s="8">
        <v>0</v>
      </c>
      <c r="P202" s="8">
        <v>1</v>
      </c>
      <c r="Q202" s="8">
        <v>1</v>
      </c>
      <c r="R202" s="8">
        <v>0</v>
      </c>
      <c r="S202" s="8">
        <v>0</v>
      </c>
      <c r="T202" s="8">
        <v>0</v>
      </c>
      <c r="U202" s="8">
        <v>0</v>
      </c>
      <c r="V202" s="8">
        <v>1</v>
      </c>
      <c r="W202" s="8">
        <v>0</v>
      </c>
      <c r="X202" s="8">
        <v>0</v>
      </c>
      <c r="Y202" s="8">
        <v>0</v>
      </c>
      <c r="Z202" s="8">
        <v>0</v>
      </c>
      <c r="AA202" s="8">
        <v>0</v>
      </c>
      <c r="AB202" s="8">
        <v>1</v>
      </c>
      <c r="AC202" s="8">
        <v>0</v>
      </c>
    </row>
    <row r="203" spans="3:29" x14ac:dyDescent="0.25">
      <c r="C203" s="9" t="s">
        <v>444</v>
      </c>
      <c r="D203" s="8">
        <v>21</v>
      </c>
      <c r="E203" s="8">
        <v>11</v>
      </c>
      <c r="F203" s="8">
        <v>5</v>
      </c>
      <c r="G203" s="8">
        <v>787</v>
      </c>
      <c r="H203" s="8">
        <v>4</v>
      </c>
      <c r="I203" s="8">
        <v>1</v>
      </c>
      <c r="J203" s="8">
        <v>0</v>
      </c>
      <c r="K203" s="8">
        <v>0</v>
      </c>
      <c r="L203" s="8">
        <v>0</v>
      </c>
      <c r="M203" s="8">
        <v>0</v>
      </c>
      <c r="N203" s="8">
        <v>1</v>
      </c>
      <c r="O203" s="8">
        <v>0</v>
      </c>
      <c r="P203" s="8">
        <v>1</v>
      </c>
      <c r="Q203" s="8">
        <v>1</v>
      </c>
      <c r="R203" s="8">
        <v>0</v>
      </c>
      <c r="S203" s="8">
        <v>0</v>
      </c>
      <c r="T203" s="8">
        <v>1</v>
      </c>
      <c r="U203" s="8">
        <v>0</v>
      </c>
      <c r="V203" s="8">
        <v>0</v>
      </c>
      <c r="W203" s="8">
        <v>0</v>
      </c>
      <c r="X203" s="8">
        <v>0</v>
      </c>
      <c r="Y203" s="8">
        <v>0</v>
      </c>
      <c r="Z203" s="8">
        <v>1</v>
      </c>
      <c r="AA203" s="8">
        <v>0</v>
      </c>
      <c r="AB203" s="8">
        <v>0</v>
      </c>
      <c r="AC203" s="8">
        <v>0</v>
      </c>
    </row>
    <row r="204" spans="3:29" x14ac:dyDescent="0.25">
      <c r="C204" s="9" t="s">
        <v>300</v>
      </c>
      <c r="D204" s="8">
        <v>39</v>
      </c>
      <c r="E204" s="8">
        <v>10</v>
      </c>
      <c r="F204" s="8">
        <v>4</v>
      </c>
      <c r="G204" s="8">
        <v>716</v>
      </c>
      <c r="H204" s="8">
        <v>3</v>
      </c>
      <c r="I204" s="8">
        <v>0</v>
      </c>
      <c r="J204" s="8">
        <v>0</v>
      </c>
      <c r="K204" s="8">
        <v>1</v>
      </c>
      <c r="L204" s="8">
        <v>0</v>
      </c>
      <c r="M204" s="8">
        <v>0</v>
      </c>
      <c r="N204" s="8">
        <v>0</v>
      </c>
      <c r="O204" s="8">
        <v>1</v>
      </c>
      <c r="P204" s="8">
        <v>1</v>
      </c>
      <c r="Q204" s="8">
        <v>1</v>
      </c>
      <c r="R204" s="8">
        <v>0</v>
      </c>
      <c r="S204" s="8">
        <v>0</v>
      </c>
      <c r="T204" s="8">
        <v>0</v>
      </c>
      <c r="U204" s="8">
        <v>0</v>
      </c>
      <c r="V204" s="8">
        <v>1</v>
      </c>
      <c r="W204" s="8">
        <v>0</v>
      </c>
      <c r="X204" s="8">
        <v>0</v>
      </c>
      <c r="Y204" s="8">
        <v>0</v>
      </c>
      <c r="Z204" s="8">
        <v>0</v>
      </c>
      <c r="AA204" s="8">
        <v>0</v>
      </c>
      <c r="AB204" s="8">
        <v>0</v>
      </c>
      <c r="AC204" s="8">
        <v>1</v>
      </c>
    </row>
    <row r="205" spans="3:29" x14ac:dyDescent="0.25">
      <c r="C205" s="9" t="s">
        <v>301</v>
      </c>
      <c r="D205" s="8">
        <v>24</v>
      </c>
      <c r="E205" s="8">
        <v>10</v>
      </c>
      <c r="F205" s="8">
        <v>5</v>
      </c>
      <c r="G205" s="8">
        <v>3003</v>
      </c>
      <c r="H205" s="8">
        <v>5</v>
      </c>
      <c r="I205" s="8">
        <v>0</v>
      </c>
      <c r="J205" s="8">
        <v>0</v>
      </c>
      <c r="K205" s="8">
        <v>1</v>
      </c>
      <c r="L205" s="8">
        <v>0</v>
      </c>
      <c r="M205" s="8">
        <v>0</v>
      </c>
      <c r="N205" s="8">
        <v>0</v>
      </c>
      <c r="O205" s="8">
        <v>1</v>
      </c>
      <c r="P205" s="8">
        <v>0</v>
      </c>
      <c r="Q205" s="8">
        <v>0</v>
      </c>
      <c r="R205" s="8">
        <v>1</v>
      </c>
      <c r="S205" s="8">
        <v>0</v>
      </c>
      <c r="T205" s="8">
        <v>0</v>
      </c>
      <c r="U205" s="8">
        <v>1</v>
      </c>
      <c r="V205" s="8">
        <v>0</v>
      </c>
      <c r="W205" s="8">
        <v>0</v>
      </c>
      <c r="X205" s="8">
        <v>0</v>
      </c>
      <c r="Y205" s="8">
        <v>0</v>
      </c>
      <c r="Z205" s="8">
        <v>0</v>
      </c>
      <c r="AA205" s="8">
        <v>0</v>
      </c>
      <c r="AB205" s="8">
        <v>0</v>
      </c>
      <c r="AC205" s="8">
        <v>1</v>
      </c>
    </row>
    <row r="206" spans="3:29" x14ac:dyDescent="0.25">
      <c r="C206" s="9" t="s">
        <v>302</v>
      </c>
      <c r="D206" s="8">
        <v>42</v>
      </c>
      <c r="E206" s="8">
        <v>9</v>
      </c>
      <c r="F206" s="8">
        <v>5</v>
      </c>
      <c r="G206" s="8">
        <v>732</v>
      </c>
      <c r="H206" s="8">
        <v>1</v>
      </c>
      <c r="I206" s="8">
        <v>1</v>
      </c>
      <c r="J206" s="8">
        <v>0</v>
      </c>
      <c r="K206" s="8">
        <v>0</v>
      </c>
      <c r="L206" s="8">
        <v>0</v>
      </c>
      <c r="M206" s="8">
        <v>0</v>
      </c>
      <c r="N206" s="8">
        <v>0</v>
      </c>
      <c r="O206" s="8">
        <v>1</v>
      </c>
      <c r="P206" s="8">
        <v>0</v>
      </c>
      <c r="Q206" s="8">
        <v>1</v>
      </c>
      <c r="R206" s="8">
        <v>0</v>
      </c>
      <c r="S206" s="8">
        <v>0</v>
      </c>
      <c r="T206" s="8">
        <v>0</v>
      </c>
      <c r="U206" s="8">
        <v>0</v>
      </c>
      <c r="V206" s="8">
        <v>1</v>
      </c>
      <c r="W206" s="8">
        <v>0</v>
      </c>
      <c r="X206" s="8">
        <v>0</v>
      </c>
      <c r="Y206" s="8">
        <v>0</v>
      </c>
      <c r="Z206" s="8">
        <v>0</v>
      </c>
      <c r="AA206" s="8">
        <v>0</v>
      </c>
      <c r="AB206" s="8">
        <v>1</v>
      </c>
      <c r="AC206" s="8">
        <v>0</v>
      </c>
    </row>
    <row r="207" spans="3:29" x14ac:dyDescent="0.25">
      <c r="C207" s="9" t="s">
        <v>303</v>
      </c>
      <c r="D207" s="8">
        <v>11</v>
      </c>
      <c r="E207" s="8">
        <v>8</v>
      </c>
      <c r="F207" s="8">
        <v>5</v>
      </c>
      <c r="G207" s="8">
        <v>3981</v>
      </c>
      <c r="H207" s="8">
        <v>7</v>
      </c>
      <c r="I207" s="8">
        <v>0</v>
      </c>
      <c r="J207" s="8">
        <v>0</v>
      </c>
      <c r="K207" s="8">
        <v>1</v>
      </c>
      <c r="L207" s="8">
        <v>0</v>
      </c>
      <c r="M207" s="8">
        <v>0</v>
      </c>
      <c r="N207" s="8">
        <v>0</v>
      </c>
      <c r="O207" s="8">
        <v>1</v>
      </c>
      <c r="P207" s="8">
        <v>0</v>
      </c>
      <c r="Q207" s="8">
        <v>1</v>
      </c>
      <c r="R207" s="8">
        <v>0</v>
      </c>
      <c r="S207" s="8">
        <v>0</v>
      </c>
      <c r="T207" s="8">
        <v>0</v>
      </c>
      <c r="U207" s="8">
        <v>0</v>
      </c>
      <c r="V207" s="8">
        <v>1</v>
      </c>
      <c r="W207" s="8">
        <v>1</v>
      </c>
      <c r="X207" s="8">
        <v>0</v>
      </c>
      <c r="Y207" s="8">
        <v>0</v>
      </c>
      <c r="Z207" s="8">
        <v>0</v>
      </c>
      <c r="AA207" s="8">
        <v>0</v>
      </c>
      <c r="AB207" s="8">
        <v>0</v>
      </c>
      <c r="AC207" s="8">
        <v>0</v>
      </c>
    </row>
    <row r="208" spans="3:29" x14ac:dyDescent="0.25">
      <c r="C208" s="9" t="s">
        <v>304</v>
      </c>
      <c r="D208" s="8">
        <v>14</v>
      </c>
      <c r="E208" s="8">
        <v>7</v>
      </c>
      <c r="F208" s="8">
        <v>5</v>
      </c>
      <c r="G208" s="8">
        <v>826</v>
      </c>
      <c r="H208" s="8">
        <v>4</v>
      </c>
      <c r="I208" s="8">
        <v>0</v>
      </c>
      <c r="J208" s="8">
        <v>0</v>
      </c>
      <c r="K208" s="8">
        <v>1</v>
      </c>
      <c r="L208" s="8">
        <v>0</v>
      </c>
      <c r="M208" s="8">
        <v>1</v>
      </c>
      <c r="N208" s="8">
        <v>0</v>
      </c>
      <c r="O208" s="8">
        <v>0</v>
      </c>
      <c r="P208" s="8">
        <v>0</v>
      </c>
      <c r="Q208" s="8">
        <v>0</v>
      </c>
      <c r="R208" s="8">
        <v>1</v>
      </c>
      <c r="S208" s="8">
        <v>0</v>
      </c>
      <c r="T208" s="8">
        <v>0</v>
      </c>
      <c r="U208" s="8">
        <v>0</v>
      </c>
      <c r="V208" s="8">
        <v>1</v>
      </c>
      <c r="W208" s="8">
        <v>0</v>
      </c>
      <c r="X208" s="8">
        <v>0</v>
      </c>
      <c r="Y208" s="8">
        <v>0</v>
      </c>
      <c r="Z208" s="8">
        <v>0</v>
      </c>
      <c r="AA208" s="8">
        <v>1</v>
      </c>
      <c r="AB208" s="8">
        <v>0</v>
      </c>
      <c r="AC208" s="8">
        <v>0</v>
      </c>
    </row>
    <row r="209" spans="3:29" x14ac:dyDescent="0.25">
      <c r="C209" s="9" t="s">
        <v>305</v>
      </c>
      <c r="D209" s="8">
        <v>13</v>
      </c>
      <c r="E209" s="8">
        <v>6</v>
      </c>
      <c r="F209" s="8">
        <v>5</v>
      </c>
      <c r="G209" s="8">
        <v>2916</v>
      </c>
      <c r="H209" s="8">
        <v>2</v>
      </c>
      <c r="I209" s="8">
        <v>0</v>
      </c>
      <c r="J209" s="8">
        <v>0</v>
      </c>
      <c r="K209" s="8">
        <v>0</v>
      </c>
      <c r="L209" s="8">
        <v>1</v>
      </c>
      <c r="M209" s="8">
        <v>0</v>
      </c>
      <c r="N209" s="8">
        <v>0</v>
      </c>
      <c r="O209" s="8">
        <v>1</v>
      </c>
      <c r="P209" s="8">
        <v>0</v>
      </c>
      <c r="Q209" s="8">
        <v>0</v>
      </c>
      <c r="R209" s="8">
        <v>1</v>
      </c>
      <c r="S209" s="8">
        <v>0</v>
      </c>
      <c r="T209" s="8">
        <v>0</v>
      </c>
      <c r="U209" s="8">
        <v>0</v>
      </c>
      <c r="V209" s="8">
        <v>1</v>
      </c>
      <c r="W209" s="8">
        <v>0</v>
      </c>
      <c r="X209" s="8">
        <v>0</v>
      </c>
      <c r="Y209" s="8">
        <v>0</v>
      </c>
      <c r="Z209" s="8">
        <v>0</v>
      </c>
      <c r="AA209" s="8">
        <v>0</v>
      </c>
      <c r="AB209" s="8">
        <v>1</v>
      </c>
      <c r="AC209" s="8">
        <v>0</v>
      </c>
    </row>
    <row r="210" spans="3:29" x14ac:dyDescent="0.25">
      <c r="C210" s="9" t="s">
        <v>306</v>
      </c>
      <c r="D210" s="8">
        <v>11</v>
      </c>
      <c r="E210" s="8">
        <v>4</v>
      </c>
      <c r="F210" s="8">
        <v>5</v>
      </c>
      <c r="G210" s="8">
        <v>3773</v>
      </c>
      <c r="H210" s="8">
        <v>9</v>
      </c>
      <c r="I210" s="8">
        <v>1</v>
      </c>
      <c r="J210" s="8">
        <v>0</v>
      </c>
      <c r="K210" s="8">
        <v>0</v>
      </c>
      <c r="L210" s="8">
        <v>0</v>
      </c>
      <c r="M210" s="8">
        <v>1</v>
      </c>
      <c r="N210" s="8">
        <v>0</v>
      </c>
      <c r="O210" s="8">
        <v>0</v>
      </c>
      <c r="P210" s="8">
        <v>0</v>
      </c>
      <c r="Q210" s="8">
        <v>1</v>
      </c>
      <c r="R210" s="8">
        <v>0</v>
      </c>
      <c r="S210" s="8">
        <v>0</v>
      </c>
      <c r="T210" s="8">
        <v>0</v>
      </c>
      <c r="U210" s="8">
        <v>0</v>
      </c>
      <c r="V210" s="8">
        <v>1</v>
      </c>
      <c r="W210" s="8">
        <v>0</v>
      </c>
      <c r="X210" s="8">
        <v>0</v>
      </c>
      <c r="Y210" s="8">
        <v>0</v>
      </c>
      <c r="Z210" s="8">
        <v>0</v>
      </c>
      <c r="AA210" s="8">
        <v>1</v>
      </c>
      <c r="AB210" s="8">
        <v>0</v>
      </c>
      <c r="AC210" s="8">
        <v>0</v>
      </c>
    </row>
    <row r="211" spans="3:29" x14ac:dyDescent="0.25">
      <c r="C211" s="9" t="s">
        <v>307</v>
      </c>
      <c r="D211" s="8">
        <v>15</v>
      </c>
      <c r="E211" s="8">
        <v>3</v>
      </c>
      <c r="F211" s="8">
        <v>5</v>
      </c>
      <c r="G211" s="8">
        <v>3933</v>
      </c>
      <c r="H211" s="8">
        <v>5</v>
      </c>
      <c r="I211" s="8">
        <v>1</v>
      </c>
      <c r="J211" s="8">
        <v>0</v>
      </c>
      <c r="K211" s="8">
        <v>0</v>
      </c>
      <c r="L211" s="8">
        <v>0</v>
      </c>
      <c r="M211" s="8">
        <v>0</v>
      </c>
      <c r="N211" s="8">
        <v>1</v>
      </c>
      <c r="O211" s="8">
        <v>0</v>
      </c>
      <c r="P211" s="8">
        <v>0</v>
      </c>
      <c r="Q211" s="8">
        <v>0</v>
      </c>
      <c r="R211" s="8">
        <v>0</v>
      </c>
      <c r="S211" s="8">
        <v>1</v>
      </c>
      <c r="T211" s="8">
        <v>0</v>
      </c>
      <c r="U211" s="8">
        <v>0</v>
      </c>
      <c r="V211" s="8">
        <v>1</v>
      </c>
      <c r="W211" s="8">
        <v>0</v>
      </c>
      <c r="X211" s="8">
        <v>0</v>
      </c>
      <c r="Y211" s="8">
        <v>0</v>
      </c>
      <c r="Z211" s="8">
        <v>0</v>
      </c>
      <c r="AA211" s="8">
        <v>1</v>
      </c>
      <c r="AB211" s="8">
        <v>0</v>
      </c>
      <c r="AC211" s="8">
        <v>0</v>
      </c>
    </row>
    <row r="212" spans="3:29" x14ac:dyDescent="0.25">
      <c r="C212" s="9" t="s">
        <v>308</v>
      </c>
      <c r="D212" s="8">
        <v>24</v>
      </c>
      <c r="E212" s="8">
        <v>18</v>
      </c>
      <c r="F212" s="8">
        <v>5</v>
      </c>
      <c r="G212" s="8">
        <v>1282</v>
      </c>
      <c r="H212" s="8">
        <v>0</v>
      </c>
      <c r="I212" s="8">
        <v>0</v>
      </c>
      <c r="J212" s="8">
        <v>0</v>
      </c>
      <c r="K212" s="8">
        <v>0</v>
      </c>
      <c r="L212" s="8">
        <v>1</v>
      </c>
      <c r="M212" s="8">
        <v>0</v>
      </c>
      <c r="N212" s="8">
        <v>1</v>
      </c>
      <c r="O212" s="8">
        <v>0</v>
      </c>
      <c r="P212" s="8">
        <v>0</v>
      </c>
      <c r="Q212" s="8">
        <v>0</v>
      </c>
      <c r="R212" s="8">
        <v>0</v>
      </c>
      <c r="S212" s="8">
        <v>1</v>
      </c>
      <c r="T212" s="8">
        <v>0</v>
      </c>
      <c r="U212" s="8">
        <v>1</v>
      </c>
      <c r="V212" s="8">
        <v>0</v>
      </c>
      <c r="W212" s="8">
        <v>0</v>
      </c>
      <c r="X212" s="8">
        <v>0</v>
      </c>
      <c r="Y212" s="8">
        <v>0</v>
      </c>
      <c r="Z212" s="8">
        <v>0</v>
      </c>
      <c r="AA212" s="8">
        <v>1</v>
      </c>
      <c r="AB212" s="8">
        <v>0</v>
      </c>
      <c r="AC212" s="8">
        <v>0</v>
      </c>
    </row>
    <row r="213" spans="3:29" x14ac:dyDescent="0.25">
      <c r="C213" s="9" t="s">
        <v>309</v>
      </c>
      <c r="D213" s="8">
        <v>11</v>
      </c>
      <c r="E213" s="8">
        <v>8</v>
      </c>
      <c r="F213" s="8">
        <v>3</v>
      </c>
      <c r="G213" s="8">
        <v>315</v>
      </c>
      <c r="H213" s="8">
        <v>6</v>
      </c>
      <c r="I213" s="8">
        <v>0</v>
      </c>
      <c r="J213" s="8">
        <v>0</v>
      </c>
      <c r="K213" s="8">
        <v>1</v>
      </c>
      <c r="L213" s="8">
        <v>0</v>
      </c>
      <c r="M213" s="8">
        <v>1</v>
      </c>
      <c r="N213" s="8">
        <v>0</v>
      </c>
      <c r="O213" s="8">
        <v>0</v>
      </c>
      <c r="P213" s="8">
        <v>0</v>
      </c>
      <c r="Q213" s="8">
        <v>1</v>
      </c>
      <c r="R213" s="8">
        <v>0</v>
      </c>
      <c r="S213" s="8">
        <v>0</v>
      </c>
      <c r="T213" s="8">
        <v>0</v>
      </c>
      <c r="U213" s="8">
        <v>0</v>
      </c>
      <c r="V213" s="8">
        <v>1</v>
      </c>
      <c r="W213" s="8">
        <v>0</v>
      </c>
      <c r="X213" s="8">
        <v>0</v>
      </c>
      <c r="Y213" s="8">
        <v>0</v>
      </c>
      <c r="Z213" s="8">
        <v>1</v>
      </c>
      <c r="AA213" s="8">
        <v>0</v>
      </c>
      <c r="AB213" s="8">
        <v>0</v>
      </c>
      <c r="AC213" s="8">
        <v>0</v>
      </c>
    </row>
    <row r="214" spans="3:29" x14ac:dyDescent="0.25">
      <c r="C214" s="9" t="s">
        <v>310</v>
      </c>
      <c r="D214" s="8">
        <v>13</v>
      </c>
      <c r="E214" s="8">
        <v>6</v>
      </c>
      <c r="F214" s="8">
        <v>4</v>
      </c>
      <c r="G214" s="8">
        <v>3933</v>
      </c>
      <c r="H214" s="8">
        <v>1</v>
      </c>
      <c r="I214" s="8">
        <v>0</v>
      </c>
      <c r="J214" s="8">
        <v>0</v>
      </c>
      <c r="K214" s="8">
        <v>0</v>
      </c>
      <c r="L214" s="8">
        <v>1</v>
      </c>
      <c r="M214" s="8">
        <v>0</v>
      </c>
      <c r="N214" s="8">
        <v>0</v>
      </c>
      <c r="O214" s="8">
        <v>1</v>
      </c>
      <c r="P214" s="8">
        <v>0</v>
      </c>
      <c r="Q214" s="8">
        <v>0</v>
      </c>
      <c r="R214" s="8">
        <v>0</v>
      </c>
      <c r="S214" s="8">
        <v>1</v>
      </c>
      <c r="T214" s="8">
        <v>0</v>
      </c>
      <c r="U214" s="8">
        <v>1</v>
      </c>
      <c r="V214" s="8">
        <v>0</v>
      </c>
      <c r="W214" s="8">
        <v>0</v>
      </c>
      <c r="X214" s="8">
        <v>0</v>
      </c>
      <c r="Y214" s="8">
        <v>1</v>
      </c>
      <c r="Z214" s="8">
        <v>0</v>
      </c>
      <c r="AA214" s="8">
        <v>0</v>
      </c>
      <c r="AB214" s="8">
        <v>0</v>
      </c>
      <c r="AC214" s="8">
        <v>0</v>
      </c>
    </row>
    <row r="215" spans="3:29" x14ac:dyDescent="0.25">
      <c r="C215" s="9" t="s">
        <v>311</v>
      </c>
      <c r="D215" s="8">
        <v>6</v>
      </c>
      <c r="E215" s="8">
        <v>6</v>
      </c>
      <c r="F215" s="8">
        <v>4</v>
      </c>
      <c r="G215" s="8">
        <v>4027</v>
      </c>
      <c r="H215" s="8">
        <v>10</v>
      </c>
      <c r="I215" s="8">
        <v>1</v>
      </c>
      <c r="J215" s="8">
        <v>0</v>
      </c>
      <c r="K215" s="8">
        <v>0</v>
      </c>
      <c r="L215" s="8">
        <v>0</v>
      </c>
      <c r="M215" s="8">
        <v>0</v>
      </c>
      <c r="N215" s="8">
        <v>0</v>
      </c>
      <c r="O215" s="8">
        <v>1</v>
      </c>
      <c r="P215" s="8">
        <v>0</v>
      </c>
      <c r="Q215" s="8">
        <v>0</v>
      </c>
      <c r="R215" s="8">
        <v>0</v>
      </c>
      <c r="S215" s="8">
        <v>1</v>
      </c>
      <c r="T215" s="8">
        <v>0</v>
      </c>
      <c r="U215" s="8">
        <v>0</v>
      </c>
      <c r="V215" s="8">
        <v>1</v>
      </c>
      <c r="W215" s="8">
        <v>0</v>
      </c>
      <c r="X215" s="8">
        <v>0</v>
      </c>
      <c r="Y215" s="8">
        <v>0</v>
      </c>
      <c r="Z215" s="8">
        <v>0</v>
      </c>
      <c r="AA215" s="8">
        <v>0</v>
      </c>
      <c r="AB215" s="8">
        <v>0</v>
      </c>
      <c r="AC215" s="8">
        <v>1</v>
      </c>
    </row>
    <row r="216" spans="3:29" x14ac:dyDescent="0.25">
      <c r="C216" s="9" t="s">
        <v>312</v>
      </c>
      <c r="D216" s="8">
        <v>21</v>
      </c>
      <c r="E216" s="8">
        <v>5</v>
      </c>
      <c r="F216" s="8">
        <v>4</v>
      </c>
      <c r="G216" s="8">
        <v>2700</v>
      </c>
      <c r="H216" s="8">
        <v>8</v>
      </c>
      <c r="I216" s="8">
        <v>0</v>
      </c>
      <c r="J216" s="8">
        <v>0</v>
      </c>
      <c r="K216" s="8">
        <v>1</v>
      </c>
      <c r="L216" s="8">
        <v>0</v>
      </c>
      <c r="M216" s="8">
        <v>1</v>
      </c>
      <c r="N216" s="8">
        <v>0</v>
      </c>
      <c r="O216" s="8">
        <v>0</v>
      </c>
      <c r="P216" s="8">
        <v>1</v>
      </c>
      <c r="Q216" s="8">
        <v>0</v>
      </c>
      <c r="R216" s="8">
        <v>0</v>
      </c>
      <c r="S216" s="8">
        <v>1</v>
      </c>
      <c r="T216" s="8">
        <v>0</v>
      </c>
      <c r="U216" s="8">
        <v>0</v>
      </c>
      <c r="V216" s="8">
        <v>1</v>
      </c>
      <c r="W216" s="8">
        <v>0</v>
      </c>
      <c r="X216" s="8">
        <v>1</v>
      </c>
      <c r="Y216" s="8">
        <v>0</v>
      </c>
      <c r="Z216" s="8">
        <v>0</v>
      </c>
      <c r="AA216" s="8">
        <v>0</v>
      </c>
      <c r="AB216" s="8">
        <v>0</v>
      </c>
      <c r="AC216" s="8">
        <v>0</v>
      </c>
    </row>
    <row r="217" spans="3:29" x14ac:dyDescent="0.25">
      <c r="C217" s="9" t="s">
        <v>313</v>
      </c>
      <c r="D217" s="8">
        <v>19</v>
      </c>
      <c r="E217" s="8">
        <v>3</v>
      </c>
      <c r="F217" s="8">
        <v>5</v>
      </c>
      <c r="G217" s="8">
        <v>2916</v>
      </c>
      <c r="H217" s="8">
        <v>1</v>
      </c>
      <c r="I217" s="8">
        <v>1</v>
      </c>
      <c r="J217" s="8">
        <v>0</v>
      </c>
      <c r="K217" s="8">
        <v>0</v>
      </c>
      <c r="L217" s="8">
        <v>0</v>
      </c>
      <c r="M217" s="8">
        <v>0</v>
      </c>
      <c r="N217" s="8">
        <v>0</v>
      </c>
      <c r="O217" s="8">
        <v>1</v>
      </c>
      <c r="P217" s="8">
        <v>0</v>
      </c>
      <c r="Q217" s="8">
        <v>0</v>
      </c>
      <c r="R217" s="8">
        <v>1</v>
      </c>
      <c r="S217" s="8">
        <v>0</v>
      </c>
      <c r="T217" s="8">
        <v>0</v>
      </c>
      <c r="U217" s="8">
        <v>0</v>
      </c>
      <c r="V217" s="8">
        <v>1</v>
      </c>
      <c r="W217" s="8">
        <v>0</v>
      </c>
      <c r="X217" s="8">
        <v>0</v>
      </c>
      <c r="Y217" s="8">
        <v>0</v>
      </c>
      <c r="Z217" s="8">
        <v>0</v>
      </c>
      <c r="AA217" s="8">
        <v>0</v>
      </c>
      <c r="AB217" s="8">
        <v>0</v>
      </c>
      <c r="AC217" s="8">
        <v>1</v>
      </c>
    </row>
    <row r="218" spans="3:29" x14ac:dyDescent="0.25">
      <c r="C218" s="9" t="s">
        <v>440</v>
      </c>
      <c r="D218" s="8">
        <v>23</v>
      </c>
      <c r="E218" s="8">
        <v>17</v>
      </c>
      <c r="F218" s="8">
        <v>3</v>
      </c>
      <c r="G218" s="8">
        <v>3003</v>
      </c>
      <c r="H218" s="8">
        <v>1</v>
      </c>
      <c r="I218" s="8">
        <v>0</v>
      </c>
      <c r="J218" s="8">
        <v>0</v>
      </c>
      <c r="K218" s="8">
        <v>0</v>
      </c>
      <c r="L218" s="8">
        <v>1</v>
      </c>
      <c r="M218" s="8">
        <v>0</v>
      </c>
      <c r="N218" s="8">
        <v>1</v>
      </c>
      <c r="O218" s="8">
        <v>0</v>
      </c>
      <c r="P218" s="8">
        <v>0</v>
      </c>
      <c r="Q218" s="8">
        <v>0</v>
      </c>
      <c r="R218" s="8">
        <v>1</v>
      </c>
      <c r="S218" s="8">
        <v>0</v>
      </c>
      <c r="T218" s="8">
        <v>0</v>
      </c>
      <c r="U218" s="8">
        <v>0</v>
      </c>
      <c r="V218" s="8">
        <v>1</v>
      </c>
      <c r="W218" s="8">
        <v>1</v>
      </c>
      <c r="X218" s="8">
        <v>0</v>
      </c>
      <c r="Y218" s="8">
        <v>0</v>
      </c>
      <c r="Z218" s="8">
        <v>0</v>
      </c>
      <c r="AA218" s="8">
        <v>0</v>
      </c>
      <c r="AB218" s="8">
        <v>0</v>
      </c>
      <c r="AC218" s="8">
        <v>0</v>
      </c>
    </row>
    <row r="219" spans="3:29" x14ac:dyDescent="0.25">
      <c r="C219" s="9" t="s">
        <v>314</v>
      </c>
      <c r="D219" s="8">
        <v>38</v>
      </c>
      <c r="E219" s="8">
        <v>13</v>
      </c>
      <c r="F219" s="8">
        <v>3</v>
      </c>
      <c r="G219" s="8">
        <v>826</v>
      </c>
      <c r="H219" s="8">
        <v>5</v>
      </c>
      <c r="I219" s="8">
        <v>0</v>
      </c>
      <c r="J219" s="8">
        <v>1</v>
      </c>
      <c r="K219" s="8">
        <v>0</v>
      </c>
      <c r="L219" s="8">
        <v>0</v>
      </c>
      <c r="M219" s="8">
        <v>1</v>
      </c>
      <c r="N219" s="8">
        <v>0</v>
      </c>
      <c r="O219" s="8">
        <v>0</v>
      </c>
      <c r="P219" s="8">
        <v>0</v>
      </c>
      <c r="Q219" s="8">
        <v>0</v>
      </c>
      <c r="R219" s="8">
        <v>1</v>
      </c>
      <c r="S219" s="8">
        <v>0</v>
      </c>
      <c r="T219" s="8">
        <v>0</v>
      </c>
      <c r="U219" s="8">
        <v>0</v>
      </c>
      <c r="V219" s="8">
        <v>1</v>
      </c>
      <c r="W219" s="8">
        <v>0</v>
      </c>
      <c r="X219" s="8">
        <v>0</v>
      </c>
      <c r="Y219" s="8">
        <v>0</v>
      </c>
      <c r="Z219" s="8">
        <v>1</v>
      </c>
      <c r="AA219" s="8">
        <v>0</v>
      </c>
      <c r="AB219" s="8">
        <v>0</v>
      </c>
      <c r="AC219" s="8">
        <v>0</v>
      </c>
    </row>
    <row r="220" spans="3:29" x14ac:dyDescent="0.25">
      <c r="C220" s="9" t="s">
        <v>315</v>
      </c>
      <c r="D220" s="8">
        <v>22</v>
      </c>
      <c r="E220" s="8">
        <v>9</v>
      </c>
      <c r="F220" s="8">
        <v>4</v>
      </c>
      <c r="G220" s="8">
        <v>2916</v>
      </c>
      <c r="H220" s="8">
        <v>3</v>
      </c>
      <c r="I220" s="8">
        <v>0</v>
      </c>
      <c r="J220" s="8">
        <v>1</v>
      </c>
      <c r="K220" s="8">
        <v>0</v>
      </c>
      <c r="L220" s="8">
        <v>0</v>
      </c>
      <c r="M220" s="8">
        <v>0</v>
      </c>
      <c r="N220" s="8">
        <v>1</v>
      </c>
      <c r="O220" s="8">
        <v>0</v>
      </c>
      <c r="P220" s="8">
        <v>0</v>
      </c>
      <c r="Q220" s="8">
        <v>0</v>
      </c>
      <c r="R220" s="8">
        <v>1</v>
      </c>
      <c r="S220" s="8">
        <v>0</v>
      </c>
      <c r="T220" s="8">
        <v>0</v>
      </c>
      <c r="U220" s="8">
        <v>1</v>
      </c>
      <c r="V220" s="8">
        <v>0</v>
      </c>
      <c r="W220" s="8">
        <v>0</v>
      </c>
      <c r="X220" s="8">
        <v>0</v>
      </c>
      <c r="Y220" s="8">
        <v>0</v>
      </c>
      <c r="Z220" s="8">
        <v>0</v>
      </c>
      <c r="AA220" s="8">
        <v>0</v>
      </c>
      <c r="AB220" s="8">
        <v>0</v>
      </c>
      <c r="AC220" s="8">
        <v>1</v>
      </c>
    </row>
    <row r="221" spans="3:29" x14ac:dyDescent="0.25">
      <c r="C221" s="9" t="s">
        <v>462</v>
      </c>
      <c r="D221" s="8">
        <v>31</v>
      </c>
      <c r="E221" s="8">
        <v>8</v>
      </c>
      <c r="F221" s="8">
        <v>4</v>
      </c>
      <c r="G221" s="8">
        <v>1467</v>
      </c>
      <c r="H221" s="8">
        <v>1</v>
      </c>
      <c r="I221" s="8">
        <v>0</v>
      </c>
      <c r="J221" s="8">
        <v>0</v>
      </c>
      <c r="K221" s="8">
        <v>0</v>
      </c>
      <c r="L221" s="8">
        <v>1</v>
      </c>
      <c r="M221" s="8">
        <v>1</v>
      </c>
      <c r="N221" s="8">
        <v>0</v>
      </c>
      <c r="O221" s="8">
        <v>0</v>
      </c>
      <c r="P221" s="8">
        <v>1</v>
      </c>
      <c r="Q221" s="8">
        <v>0</v>
      </c>
      <c r="R221" s="8">
        <v>1</v>
      </c>
      <c r="S221" s="8">
        <v>0</v>
      </c>
      <c r="T221" s="8">
        <v>1</v>
      </c>
      <c r="U221" s="8">
        <v>0</v>
      </c>
      <c r="V221" s="8">
        <v>0</v>
      </c>
      <c r="W221" s="8">
        <v>0</v>
      </c>
      <c r="X221" s="8">
        <v>0</v>
      </c>
      <c r="Y221" s="8">
        <v>0</v>
      </c>
      <c r="Z221" s="8">
        <v>1</v>
      </c>
      <c r="AA221" s="8">
        <v>0</v>
      </c>
      <c r="AB221" s="8">
        <v>0</v>
      </c>
      <c r="AC221" s="8">
        <v>0</v>
      </c>
    </row>
    <row r="222" spans="3:29" x14ac:dyDescent="0.25">
      <c r="C222" s="9" t="s">
        <v>316</v>
      </c>
      <c r="D222" s="8">
        <v>20</v>
      </c>
      <c r="E222" s="8">
        <v>7</v>
      </c>
      <c r="F222" s="8">
        <v>4</v>
      </c>
      <c r="G222" s="8">
        <v>3003</v>
      </c>
      <c r="H222" s="8">
        <v>2</v>
      </c>
      <c r="I222" s="8">
        <v>0</v>
      </c>
      <c r="J222" s="8">
        <v>0</v>
      </c>
      <c r="K222" s="8">
        <v>1</v>
      </c>
      <c r="L222" s="8">
        <v>0</v>
      </c>
      <c r="M222" s="8">
        <v>0</v>
      </c>
      <c r="N222" s="8">
        <v>0</v>
      </c>
      <c r="O222" s="8">
        <v>1</v>
      </c>
      <c r="P222" s="8">
        <v>0</v>
      </c>
      <c r="Q222" s="8">
        <v>0</v>
      </c>
      <c r="R222" s="8">
        <v>1</v>
      </c>
      <c r="S222" s="8">
        <v>0</v>
      </c>
      <c r="T222" s="8">
        <v>1</v>
      </c>
      <c r="U222" s="8">
        <v>0</v>
      </c>
      <c r="V222" s="8">
        <v>0</v>
      </c>
      <c r="W222" s="8">
        <v>1</v>
      </c>
      <c r="X222" s="8">
        <v>0</v>
      </c>
      <c r="Y222" s="8">
        <v>0</v>
      </c>
      <c r="Z222" s="8">
        <v>0</v>
      </c>
      <c r="AA222" s="8">
        <v>0</v>
      </c>
      <c r="AB222" s="8">
        <v>0</v>
      </c>
      <c r="AC222" s="8">
        <v>0</v>
      </c>
    </row>
    <row r="223" spans="3:29" x14ac:dyDescent="0.25">
      <c r="C223" s="9" t="s">
        <v>317</v>
      </c>
      <c r="D223" s="8">
        <v>12</v>
      </c>
      <c r="E223" s="8">
        <v>7</v>
      </c>
      <c r="F223" s="8">
        <v>3</v>
      </c>
      <c r="G223" s="8">
        <v>3773</v>
      </c>
      <c r="H223" s="8">
        <v>5</v>
      </c>
      <c r="I223" s="8">
        <v>0</v>
      </c>
      <c r="J223" s="8">
        <v>0</v>
      </c>
      <c r="K223" s="8">
        <v>1</v>
      </c>
      <c r="L223" s="8">
        <v>0</v>
      </c>
      <c r="M223" s="8">
        <v>0</v>
      </c>
      <c r="N223" s="8">
        <v>1</v>
      </c>
      <c r="O223" s="8">
        <v>0</v>
      </c>
      <c r="P223" s="8">
        <v>0</v>
      </c>
      <c r="Q223" s="8">
        <v>1</v>
      </c>
      <c r="R223" s="8">
        <v>0</v>
      </c>
      <c r="S223" s="8">
        <v>0</v>
      </c>
      <c r="T223" s="8">
        <v>0</v>
      </c>
      <c r="U223" s="8">
        <v>0</v>
      </c>
      <c r="V223" s="8">
        <v>1</v>
      </c>
      <c r="W223" s="8">
        <v>0</v>
      </c>
      <c r="X223" s="8">
        <v>0</v>
      </c>
      <c r="Y223" s="8">
        <v>0</v>
      </c>
      <c r="Z223" s="8">
        <v>0</v>
      </c>
      <c r="AA223" s="8">
        <v>0</v>
      </c>
      <c r="AB223" s="8">
        <v>1</v>
      </c>
      <c r="AC223" s="8">
        <v>0</v>
      </c>
    </row>
    <row r="224" spans="3:29" x14ac:dyDescent="0.25">
      <c r="C224" s="9" t="s">
        <v>435</v>
      </c>
      <c r="D224" s="8">
        <v>32</v>
      </c>
      <c r="E224" s="8">
        <v>6</v>
      </c>
      <c r="F224" s="8">
        <v>5</v>
      </c>
      <c r="G224" s="8">
        <v>3025</v>
      </c>
      <c r="H224" s="8">
        <v>10</v>
      </c>
      <c r="I224" s="8">
        <v>1</v>
      </c>
      <c r="J224" s="8">
        <v>0</v>
      </c>
      <c r="K224" s="8">
        <v>0</v>
      </c>
      <c r="L224" s="8">
        <v>0</v>
      </c>
      <c r="M224" s="8">
        <v>0</v>
      </c>
      <c r="N224" s="8">
        <v>1</v>
      </c>
      <c r="O224" s="8">
        <v>0</v>
      </c>
      <c r="P224" s="8">
        <v>0</v>
      </c>
      <c r="Q224" s="8">
        <v>0</v>
      </c>
      <c r="R224" s="8">
        <v>0</v>
      </c>
      <c r="S224" s="8">
        <v>1</v>
      </c>
      <c r="T224" s="8">
        <v>0</v>
      </c>
      <c r="U224" s="8">
        <v>0</v>
      </c>
      <c r="V224" s="8">
        <v>1</v>
      </c>
      <c r="W224" s="8">
        <v>1</v>
      </c>
      <c r="X224" s="8">
        <v>0</v>
      </c>
      <c r="Y224" s="8">
        <v>0</v>
      </c>
      <c r="Z224" s="8">
        <v>0</v>
      </c>
      <c r="AA224" s="8">
        <v>0</v>
      </c>
      <c r="AB224" s="8">
        <v>0</v>
      </c>
      <c r="AC224" s="8">
        <v>0</v>
      </c>
    </row>
    <row r="225" spans="3:29" x14ac:dyDescent="0.25">
      <c r="C225" s="9" t="s">
        <v>318</v>
      </c>
      <c r="D225" s="8">
        <v>32</v>
      </c>
      <c r="E225" s="8">
        <v>5</v>
      </c>
      <c r="F225" s="8">
        <v>4</v>
      </c>
      <c r="G225" s="8">
        <v>3933</v>
      </c>
      <c r="H225" s="8">
        <v>6</v>
      </c>
      <c r="I225" s="8">
        <v>0</v>
      </c>
      <c r="J225" s="8">
        <v>1</v>
      </c>
      <c r="K225" s="8">
        <v>0</v>
      </c>
      <c r="L225" s="8">
        <v>0</v>
      </c>
      <c r="M225" s="8">
        <v>1</v>
      </c>
      <c r="N225" s="8">
        <v>0</v>
      </c>
      <c r="O225" s="8">
        <v>0</v>
      </c>
      <c r="P225" s="8">
        <v>0</v>
      </c>
      <c r="Q225" s="8">
        <v>0</v>
      </c>
      <c r="R225" s="8">
        <v>0</v>
      </c>
      <c r="S225" s="8">
        <v>1</v>
      </c>
      <c r="T225" s="8">
        <v>0</v>
      </c>
      <c r="U225" s="8">
        <v>0</v>
      </c>
      <c r="V225" s="8">
        <v>1</v>
      </c>
      <c r="W225" s="8">
        <v>0</v>
      </c>
      <c r="X225" s="8">
        <v>0</v>
      </c>
      <c r="Y225" s="8">
        <v>0</v>
      </c>
      <c r="Z225" s="8">
        <v>1</v>
      </c>
      <c r="AA225" s="8">
        <v>0</v>
      </c>
      <c r="AB225" s="8">
        <v>0</v>
      </c>
      <c r="AC225" s="8">
        <v>0</v>
      </c>
    </row>
    <row r="226" spans="3:29" x14ac:dyDescent="0.25">
      <c r="C226" s="9" t="s">
        <v>319</v>
      </c>
      <c r="D226" s="8">
        <v>9</v>
      </c>
      <c r="E226" s="8">
        <v>5</v>
      </c>
      <c r="F226" s="8">
        <v>4</v>
      </c>
      <c r="G226" s="8">
        <v>1228</v>
      </c>
      <c r="H226" s="8">
        <v>9</v>
      </c>
      <c r="I226" s="8">
        <v>0</v>
      </c>
      <c r="J226" s="8">
        <v>0</v>
      </c>
      <c r="K226" s="8">
        <v>0</v>
      </c>
      <c r="L226" s="8">
        <v>1</v>
      </c>
      <c r="M226" s="8">
        <v>1</v>
      </c>
      <c r="N226" s="8">
        <v>0</v>
      </c>
      <c r="O226" s="8">
        <v>0</v>
      </c>
      <c r="P226" s="8">
        <v>0</v>
      </c>
      <c r="Q226" s="8">
        <v>1</v>
      </c>
      <c r="R226" s="8">
        <v>0</v>
      </c>
      <c r="S226" s="8">
        <v>0</v>
      </c>
      <c r="T226" s="8">
        <v>0</v>
      </c>
      <c r="U226" s="8">
        <v>0</v>
      </c>
      <c r="V226" s="8">
        <v>1</v>
      </c>
      <c r="W226" s="8">
        <v>0</v>
      </c>
      <c r="X226" s="8">
        <v>0</v>
      </c>
      <c r="Y226" s="8">
        <v>0</v>
      </c>
      <c r="Z226" s="8">
        <v>0</v>
      </c>
      <c r="AA226" s="8">
        <v>0</v>
      </c>
      <c r="AB226" s="8">
        <v>0</v>
      </c>
      <c r="AC226" s="8">
        <v>1</v>
      </c>
    </row>
    <row r="227" spans="3:29" x14ac:dyDescent="0.25">
      <c r="C227" s="9" t="s">
        <v>320</v>
      </c>
      <c r="D227" s="8">
        <v>31</v>
      </c>
      <c r="E227" s="8">
        <v>12</v>
      </c>
      <c r="F227" s="8">
        <v>5</v>
      </c>
      <c r="G227" s="8">
        <v>3348</v>
      </c>
      <c r="H227" s="8">
        <v>4</v>
      </c>
      <c r="I227" s="8">
        <v>0</v>
      </c>
      <c r="J227" s="8">
        <v>0</v>
      </c>
      <c r="K227" s="8">
        <v>1</v>
      </c>
      <c r="L227" s="8">
        <v>0</v>
      </c>
      <c r="M227" s="8">
        <v>0</v>
      </c>
      <c r="N227" s="8">
        <v>1</v>
      </c>
      <c r="O227" s="8">
        <v>0</v>
      </c>
      <c r="P227" s="8">
        <v>0</v>
      </c>
      <c r="Q227" s="8">
        <v>0</v>
      </c>
      <c r="R227" s="8">
        <v>0</v>
      </c>
      <c r="S227" s="8">
        <v>1</v>
      </c>
      <c r="T227" s="8">
        <v>0</v>
      </c>
      <c r="U227" s="8">
        <v>0</v>
      </c>
      <c r="V227" s="8">
        <v>1</v>
      </c>
      <c r="W227" s="8">
        <v>1</v>
      </c>
      <c r="X227" s="8">
        <v>0</v>
      </c>
      <c r="Y227" s="8">
        <v>0</v>
      </c>
      <c r="Z227" s="8">
        <v>0</v>
      </c>
      <c r="AA227" s="8">
        <v>0</v>
      </c>
      <c r="AB227" s="8">
        <v>0</v>
      </c>
      <c r="AC227" s="8">
        <v>0</v>
      </c>
    </row>
    <row r="228" spans="3:29" x14ac:dyDescent="0.25">
      <c r="C228" s="9" t="s">
        <v>321</v>
      </c>
      <c r="D228" s="8">
        <v>30</v>
      </c>
      <c r="E228" s="8">
        <v>8</v>
      </c>
      <c r="F228" s="8">
        <v>2</v>
      </c>
      <c r="G228" s="8">
        <v>2959</v>
      </c>
      <c r="H228" s="8">
        <v>1</v>
      </c>
      <c r="I228" s="8">
        <v>0</v>
      </c>
      <c r="J228" s="8">
        <v>0</v>
      </c>
      <c r="K228" s="8">
        <v>1</v>
      </c>
      <c r="L228" s="8">
        <v>0</v>
      </c>
      <c r="M228" s="8">
        <v>1</v>
      </c>
      <c r="N228" s="8">
        <v>0</v>
      </c>
      <c r="O228" s="8">
        <v>0</v>
      </c>
      <c r="P228" s="8">
        <v>0</v>
      </c>
      <c r="Q228" s="8">
        <v>0</v>
      </c>
      <c r="R228" s="8">
        <v>0</v>
      </c>
      <c r="S228" s="8">
        <v>1</v>
      </c>
      <c r="T228" s="8">
        <v>0</v>
      </c>
      <c r="U228" s="8">
        <v>0</v>
      </c>
      <c r="V228" s="8">
        <v>1</v>
      </c>
      <c r="W228" s="8">
        <v>0</v>
      </c>
      <c r="X228" s="8">
        <v>0</v>
      </c>
      <c r="Y228" s="8">
        <v>0</v>
      </c>
      <c r="Z228" s="8">
        <v>0</v>
      </c>
      <c r="AA228" s="8">
        <v>0</v>
      </c>
      <c r="AB228" s="8">
        <v>0</v>
      </c>
      <c r="AC228" s="8">
        <v>1</v>
      </c>
    </row>
    <row r="229" spans="3:29" x14ac:dyDescent="0.25">
      <c r="C229" s="9" t="s">
        <v>322</v>
      </c>
      <c r="D229" s="8">
        <v>19</v>
      </c>
      <c r="E229" s="8">
        <v>8</v>
      </c>
      <c r="F229" s="8">
        <v>4</v>
      </c>
      <c r="G229" s="8">
        <v>3025</v>
      </c>
      <c r="H229" s="8">
        <v>3</v>
      </c>
      <c r="I229" s="8">
        <v>0</v>
      </c>
      <c r="J229" s="8">
        <v>1</v>
      </c>
      <c r="K229" s="8">
        <v>0</v>
      </c>
      <c r="L229" s="8">
        <v>0</v>
      </c>
      <c r="M229" s="8">
        <v>1</v>
      </c>
      <c r="N229" s="8">
        <v>0</v>
      </c>
      <c r="O229" s="8">
        <v>0</v>
      </c>
      <c r="P229" s="8">
        <v>0</v>
      </c>
      <c r="Q229" s="8">
        <v>0</v>
      </c>
      <c r="R229" s="8">
        <v>0</v>
      </c>
      <c r="S229" s="8">
        <v>1</v>
      </c>
      <c r="T229" s="8">
        <v>0</v>
      </c>
      <c r="U229" s="8">
        <v>1</v>
      </c>
      <c r="V229" s="8">
        <v>0</v>
      </c>
      <c r="W229" s="8">
        <v>0</v>
      </c>
      <c r="X229" s="8">
        <v>0</v>
      </c>
      <c r="Y229" s="8">
        <v>0</v>
      </c>
      <c r="Z229" s="8">
        <v>0</v>
      </c>
      <c r="AA229" s="8">
        <v>0</v>
      </c>
      <c r="AB229" s="8">
        <v>0</v>
      </c>
      <c r="AC229" s="8">
        <v>1</v>
      </c>
    </row>
    <row r="230" spans="3:29" x14ac:dyDescent="0.25">
      <c r="C230" s="9" t="s">
        <v>414</v>
      </c>
      <c r="D230" s="8">
        <v>37</v>
      </c>
      <c r="E230" s="8">
        <v>7</v>
      </c>
      <c r="F230" s="8">
        <v>5</v>
      </c>
      <c r="G230" s="8">
        <v>3025</v>
      </c>
      <c r="H230" s="8">
        <v>0</v>
      </c>
      <c r="I230" s="8">
        <v>0</v>
      </c>
      <c r="J230" s="8">
        <v>0</v>
      </c>
      <c r="K230" s="8">
        <v>0</v>
      </c>
      <c r="L230" s="8">
        <v>1</v>
      </c>
      <c r="M230" s="8">
        <v>1</v>
      </c>
      <c r="N230" s="8">
        <v>0</v>
      </c>
      <c r="O230" s="8">
        <v>0</v>
      </c>
      <c r="P230" s="8">
        <v>0</v>
      </c>
      <c r="Q230" s="8">
        <v>0</v>
      </c>
      <c r="R230" s="8">
        <v>0</v>
      </c>
      <c r="S230" s="8">
        <v>1</v>
      </c>
      <c r="T230" s="8">
        <v>1</v>
      </c>
      <c r="U230" s="8">
        <v>0</v>
      </c>
      <c r="V230" s="8">
        <v>0</v>
      </c>
      <c r="W230" s="8">
        <v>0</v>
      </c>
      <c r="X230" s="8">
        <v>0</v>
      </c>
      <c r="Y230" s="8">
        <v>0</v>
      </c>
      <c r="Z230" s="8">
        <v>1</v>
      </c>
      <c r="AA230" s="8">
        <v>0</v>
      </c>
      <c r="AB230" s="8">
        <v>0</v>
      </c>
      <c r="AC230" s="8">
        <v>0</v>
      </c>
    </row>
    <row r="231" spans="3:29" x14ac:dyDescent="0.25">
      <c r="C231" s="9" t="s">
        <v>323</v>
      </c>
      <c r="D231" s="8">
        <v>18</v>
      </c>
      <c r="E231" s="8">
        <v>3</v>
      </c>
      <c r="F231" s="8">
        <v>2</v>
      </c>
      <c r="G231" s="8">
        <v>2916</v>
      </c>
      <c r="H231" s="8">
        <v>2</v>
      </c>
      <c r="I231" s="8">
        <v>0</v>
      </c>
      <c r="J231" s="8">
        <v>0</v>
      </c>
      <c r="K231" s="8">
        <v>0</v>
      </c>
      <c r="L231" s="8">
        <v>1</v>
      </c>
      <c r="M231" s="8">
        <v>0</v>
      </c>
      <c r="N231" s="8">
        <v>0</v>
      </c>
      <c r="O231" s="8">
        <v>1</v>
      </c>
      <c r="P231" s="8">
        <v>0</v>
      </c>
      <c r="Q231" s="8">
        <v>0</v>
      </c>
      <c r="R231" s="8">
        <v>1</v>
      </c>
      <c r="S231" s="8">
        <v>0</v>
      </c>
      <c r="T231" s="8">
        <v>0</v>
      </c>
      <c r="U231" s="8">
        <v>0</v>
      </c>
      <c r="V231" s="8">
        <v>1</v>
      </c>
      <c r="W231" s="8">
        <v>0</v>
      </c>
      <c r="X231" s="8">
        <v>1</v>
      </c>
      <c r="Y231" s="8">
        <v>0</v>
      </c>
      <c r="Z231" s="8">
        <v>0</v>
      </c>
      <c r="AA231" s="8">
        <v>0</v>
      </c>
      <c r="AB231" s="8">
        <v>0</v>
      </c>
      <c r="AC231" s="8">
        <v>0</v>
      </c>
    </row>
    <row r="232" spans="3:29" x14ac:dyDescent="0.25">
      <c r="C232" s="9" t="s">
        <v>324</v>
      </c>
      <c r="D232" s="8">
        <v>12</v>
      </c>
      <c r="E232" s="8">
        <v>11</v>
      </c>
      <c r="F232" s="8">
        <v>4</v>
      </c>
      <c r="G232" s="8">
        <v>826</v>
      </c>
      <c r="H232" s="8">
        <v>6</v>
      </c>
      <c r="I232" s="8">
        <v>0</v>
      </c>
      <c r="J232" s="8">
        <v>1</v>
      </c>
      <c r="K232" s="8">
        <v>0</v>
      </c>
      <c r="L232" s="8">
        <v>0</v>
      </c>
      <c r="M232" s="8">
        <v>0</v>
      </c>
      <c r="N232" s="8">
        <v>1</v>
      </c>
      <c r="O232" s="8">
        <v>0</v>
      </c>
      <c r="P232" s="8">
        <v>0</v>
      </c>
      <c r="Q232" s="8">
        <v>0</v>
      </c>
      <c r="R232" s="8">
        <v>1</v>
      </c>
      <c r="S232" s="8">
        <v>0</v>
      </c>
      <c r="T232" s="8">
        <v>1</v>
      </c>
      <c r="U232" s="8">
        <v>0</v>
      </c>
      <c r="V232" s="8">
        <v>0</v>
      </c>
      <c r="W232" s="8">
        <v>0</v>
      </c>
      <c r="X232" s="8">
        <v>1</v>
      </c>
      <c r="Y232" s="8">
        <v>0</v>
      </c>
      <c r="Z232" s="8">
        <v>0</v>
      </c>
      <c r="AA232" s="8">
        <v>0</v>
      </c>
      <c r="AB232" s="8">
        <v>0</v>
      </c>
      <c r="AC232" s="8">
        <v>0</v>
      </c>
    </row>
    <row r="233" spans="3:29" x14ac:dyDescent="0.25">
      <c r="C233" s="9" t="s">
        <v>325</v>
      </c>
      <c r="D233" s="8">
        <v>8</v>
      </c>
      <c r="E233" s="8">
        <v>7</v>
      </c>
      <c r="F233" s="8">
        <v>5</v>
      </c>
      <c r="G233" s="8">
        <v>3981</v>
      </c>
      <c r="H233" s="8">
        <v>8</v>
      </c>
      <c r="I233" s="8">
        <v>0</v>
      </c>
      <c r="J233" s="8">
        <v>0</v>
      </c>
      <c r="K233" s="8">
        <v>1</v>
      </c>
      <c r="L233" s="8">
        <v>0</v>
      </c>
      <c r="M233" s="8">
        <v>0</v>
      </c>
      <c r="N233" s="8">
        <v>0</v>
      </c>
      <c r="O233" s="8">
        <v>1</v>
      </c>
      <c r="P233" s="8">
        <v>0</v>
      </c>
      <c r="Q233" s="8">
        <v>1</v>
      </c>
      <c r="R233" s="8">
        <v>0</v>
      </c>
      <c r="S233" s="8">
        <v>0</v>
      </c>
      <c r="T233" s="8">
        <v>0</v>
      </c>
      <c r="U233" s="8">
        <v>1</v>
      </c>
      <c r="V233" s="8">
        <v>0</v>
      </c>
      <c r="W233" s="8">
        <v>0</v>
      </c>
      <c r="X233" s="8">
        <v>0</v>
      </c>
      <c r="Y233" s="8">
        <v>0</v>
      </c>
      <c r="Z233" s="8">
        <v>0</v>
      </c>
      <c r="AA233" s="8">
        <v>0</v>
      </c>
      <c r="AB233" s="8">
        <v>0</v>
      </c>
      <c r="AC233" s="8">
        <v>1</v>
      </c>
    </row>
    <row r="234" spans="3:29" x14ac:dyDescent="0.25">
      <c r="C234" s="9" t="s">
        <v>326</v>
      </c>
      <c r="D234" s="8">
        <v>28</v>
      </c>
      <c r="E234" s="8">
        <v>6</v>
      </c>
      <c r="F234" s="8">
        <v>3</v>
      </c>
      <c r="G234" s="8">
        <v>716</v>
      </c>
      <c r="H234" s="8">
        <v>3</v>
      </c>
      <c r="I234" s="8">
        <v>0</v>
      </c>
      <c r="J234" s="8">
        <v>0</v>
      </c>
      <c r="K234" s="8">
        <v>0</v>
      </c>
      <c r="L234" s="8">
        <v>1</v>
      </c>
      <c r="M234" s="8">
        <v>1</v>
      </c>
      <c r="N234" s="8">
        <v>0</v>
      </c>
      <c r="O234" s="8">
        <v>0</v>
      </c>
      <c r="P234" s="8">
        <v>1</v>
      </c>
      <c r="Q234" s="8">
        <v>1</v>
      </c>
      <c r="R234" s="8">
        <v>0</v>
      </c>
      <c r="S234" s="8">
        <v>0</v>
      </c>
      <c r="T234" s="8">
        <v>0</v>
      </c>
      <c r="U234" s="8">
        <v>0</v>
      </c>
      <c r="V234" s="8">
        <v>1</v>
      </c>
      <c r="W234" s="8">
        <v>0</v>
      </c>
      <c r="X234" s="8">
        <v>0</v>
      </c>
      <c r="Y234" s="8">
        <v>0</v>
      </c>
      <c r="Z234" s="8">
        <v>0</v>
      </c>
      <c r="AA234" s="8">
        <v>0</v>
      </c>
      <c r="AB234" s="8">
        <v>1</v>
      </c>
      <c r="AC234" s="8">
        <v>0</v>
      </c>
    </row>
    <row r="235" spans="3:29" x14ac:dyDescent="0.25">
      <c r="C235" s="9" t="s">
        <v>327</v>
      </c>
      <c r="D235" s="8">
        <v>24</v>
      </c>
      <c r="E235" s="8">
        <v>6</v>
      </c>
      <c r="F235" s="8">
        <v>2</v>
      </c>
      <c r="G235" s="8">
        <v>3981</v>
      </c>
      <c r="H235" s="8">
        <v>2</v>
      </c>
      <c r="I235" s="8">
        <v>0</v>
      </c>
      <c r="J235" s="8">
        <v>1</v>
      </c>
      <c r="K235" s="8">
        <v>0</v>
      </c>
      <c r="L235" s="8">
        <v>0</v>
      </c>
      <c r="M235" s="8">
        <v>0</v>
      </c>
      <c r="N235" s="8">
        <v>1</v>
      </c>
      <c r="O235" s="8">
        <v>0</v>
      </c>
      <c r="P235" s="8">
        <v>0</v>
      </c>
      <c r="Q235" s="8">
        <v>1</v>
      </c>
      <c r="R235" s="8">
        <v>0</v>
      </c>
      <c r="S235" s="8">
        <v>0</v>
      </c>
      <c r="T235" s="8">
        <v>0</v>
      </c>
      <c r="U235" s="8">
        <v>0</v>
      </c>
      <c r="V235" s="8">
        <v>1</v>
      </c>
      <c r="W235" s="8">
        <v>0</v>
      </c>
      <c r="X235" s="8">
        <v>0</v>
      </c>
      <c r="Y235" s="8">
        <v>0</v>
      </c>
      <c r="Z235" s="8">
        <v>0</v>
      </c>
      <c r="AA235" s="8">
        <v>0</v>
      </c>
      <c r="AB235" s="8">
        <v>0</v>
      </c>
      <c r="AC235" s="8">
        <v>1</v>
      </c>
    </row>
    <row r="236" spans="3:29" x14ac:dyDescent="0.25">
      <c r="C236" s="9" t="s">
        <v>328</v>
      </c>
      <c r="D236" s="8">
        <v>6</v>
      </c>
      <c r="E236" s="8">
        <v>6</v>
      </c>
      <c r="F236" s="8">
        <v>3</v>
      </c>
      <c r="G236" s="8">
        <v>3348</v>
      </c>
      <c r="H236" s="8">
        <v>0</v>
      </c>
      <c r="I236" s="8">
        <v>0</v>
      </c>
      <c r="J236" s="8">
        <v>0</v>
      </c>
      <c r="K236" s="8">
        <v>0</v>
      </c>
      <c r="L236" s="8">
        <v>1</v>
      </c>
      <c r="M236" s="8">
        <v>0</v>
      </c>
      <c r="N236" s="8">
        <v>1</v>
      </c>
      <c r="O236" s="8">
        <v>0</v>
      </c>
      <c r="P236" s="8">
        <v>0</v>
      </c>
      <c r="Q236" s="8">
        <v>0</v>
      </c>
      <c r="R236" s="8">
        <v>0</v>
      </c>
      <c r="S236" s="8">
        <v>1</v>
      </c>
      <c r="T236" s="8">
        <v>1</v>
      </c>
      <c r="U236" s="8">
        <v>0</v>
      </c>
      <c r="V236" s="8">
        <v>0</v>
      </c>
      <c r="W236" s="8">
        <v>0</v>
      </c>
      <c r="X236" s="8">
        <v>0</v>
      </c>
      <c r="Y236" s="8">
        <v>0</v>
      </c>
      <c r="Z236" s="8">
        <v>1</v>
      </c>
      <c r="AA236" s="8">
        <v>0</v>
      </c>
      <c r="AB236" s="8">
        <v>0</v>
      </c>
      <c r="AC236" s="8">
        <v>0</v>
      </c>
    </row>
    <row r="237" spans="3:29" x14ac:dyDescent="0.25">
      <c r="C237" s="9" t="s">
        <v>329</v>
      </c>
      <c r="D237" s="8">
        <v>11</v>
      </c>
      <c r="E237" s="8">
        <v>5</v>
      </c>
      <c r="F237" s="8">
        <v>5</v>
      </c>
      <c r="G237" s="8">
        <v>716</v>
      </c>
      <c r="H237" s="8">
        <v>7</v>
      </c>
      <c r="I237" s="8">
        <v>0</v>
      </c>
      <c r="J237" s="8">
        <v>0</v>
      </c>
      <c r="K237" s="8">
        <v>1</v>
      </c>
      <c r="L237" s="8">
        <v>0</v>
      </c>
      <c r="M237" s="8">
        <v>0</v>
      </c>
      <c r="N237" s="8">
        <v>0</v>
      </c>
      <c r="O237" s="8">
        <v>1</v>
      </c>
      <c r="P237" s="8">
        <v>1</v>
      </c>
      <c r="Q237" s="8">
        <v>1</v>
      </c>
      <c r="R237" s="8">
        <v>0</v>
      </c>
      <c r="S237" s="8">
        <v>0</v>
      </c>
      <c r="T237" s="8">
        <v>1</v>
      </c>
      <c r="U237" s="8">
        <v>0</v>
      </c>
      <c r="V237" s="8">
        <v>0</v>
      </c>
      <c r="W237" s="8">
        <v>0</v>
      </c>
      <c r="X237" s="8">
        <v>1</v>
      </c>
      <c r="Y237" s="8">
        <v>0</v>
      </c>
      <c r="Z237" s="8">
        <v>0</v>
      </c>
      <c r="AA237" s="8">
        <v>0</v>
      </c>
      <c r="AB237" s="8">
        <v>0</v>
      </c>
      <c r="AC237" s="8">
        <v>0</v>
      </c>
    </row>
    <row r="238" spans="3:29" x14ac:dyDescent="0.25">
      <c r="C238" s="9" t="s">
        <v>330</v>
      </c>
      <c r="D238" s="8">
        <v>14</v>
      </c>
      <c r="E238" s="8">
        <v>4</v>
      </c>
      <c r="F238" s="8">
        <v>4</v>
      </c>
      <c r="G238" s="8">
        <v>1467</v>
      </c>
      <c r="H238" s="8">
        <v>1</v>
      </c>
      <c r="I238" s="8">
        <v>0</v>
      </c>
      <c r="J238" s="8">
        <v>0</v>
      </c>
      <c r="K238" s="8">
        <v>1</v>
      </c>
      <c r="L238" s="8">
        <v>0</v>
      </c>
      <c r="M238" s="8">
        <v>0</v>
      </c>
      <c r="N238" s="8">
        <v>0</v>
      </c>
      <c r="O238" s="8">
        <v>1</v>
      </c>
      <c r="P238" s="8">
        <v>1</v>
      </c>
      <c r="Q238" s="8">
        <v>0</v>
      </c>
      <c r="R238" s="8">
        <v>1</v>
      </c>
      <c r="S238" s="8">
        <v>0</v>
      </c>
      <c r="T238" s="8">
        <v>0</v>
      </c>
      <c r="U238" s="8">
        <v>1</v>
      </c>
      <c r="V238" s="8">
        <v>0</v>
      </c>
      <c r="W238" s="8">
        <v>1</v>
      </c>
      <c r="X238" s="8">
        <v>0</v>
      </c>
      <c r="Y238" s="8">
        <v>0</v>
      </c>
      <c r="Z238" s="8">
        <v>0</v>
      </c>
      <c r="AA238" s="8">
        <v>0</v>
      </c>
      <c r="AB238" s="8">
        <v>0</v>
      </c>
      <c r="AC238" s="8">
        <v>0</v>
      </c>
    </row>
    <row r="239" spans="3:29" x14ac:dyDescent="0.25">
      <c r="C239" s="9" t="s">
        <v>331</v>
      </c>
      <c r="D239" s="8">
        <v>20</v>
      </c>
      <c r="E239" s="8">
        <v>3</v>
      </c>
      <c r="F239" s="8">
        <v>5</v>
      </c>
      <c r="G239" s="8">
        <v>4027</v>
      </c>
      <c r="H239" s="8">
        <v>0</v>
      </c>
      <c r="I239" s="8">
        <v>0</v>
      </c>
      <c r="J239" s="8">
        <v>0</v>
      </c>
      <c r="K239" s="8">
        <v>1</v>
      </c>
      <c r="L239" s="8">
        <v>0</v>
      </c>
      <c r="M239" s="8">
        <v>0</v>
      </c>
      <c r="N239" s="8">
        <v>0</v>
      </c>
      <c r="O239" s="8">
        <v>1</v>
      </c>
      <c r="P239" s="8">
        <v>0</v>
      </c>
      <c r="Q239" s="8">
        <v>0</v>
      </c>
      <c r="R239" s="8">
        <v>0</v>
      </c>
      <c r="S239" s="8">
        <v>1</v>
      </c>
      <c r="T239" s="8">
        <v>0</v>
      </c>
      <c r="U239" s="8">
        <v>1</v>
      </c>
      <c r="V239" s="8">
        <v>0</v>
      </c>
      <c r="W239" s="8">
        <v>0</v>
      </c>
      <c r="X239" s="8">
        <v>1</v>
      </c>
      <c r="Y239" s="8">
        <v>0</v>
      </c>
      <c r="Z239" s="8">
        <v>0</v>
      </c>
      <c r="AA239" s="8">
        <v>0</v>
      </c>
      <c r="AB239" s="8">
        <v>0</v>
      </c>
      <c r="AC239" s="8">
        <v>0</v>
      </c>
    </row>
    <row r="240" spans="3:29" x14ac:dyDescent="0.25">
      <c r="C240" s="9" t="s">
        <v>332</v>
      </c>
      <c r="D240" s="8">
        <v>5</v>
      </c>
      <c r="E240" s="8">
        <v>3</v>
      </c>
      <c r="F240" s="8">
        <v>5</v>
      </c>
      <c r="G240" s="8">
        <v>2700</v>
      </c>
      <c r="H240" s="8">
        <v>4</v>
      </c>
      <c r="I240" s="8">
        <v>1</v>
      </c>
      <c r="J240" s="8">
        <v>0</v>
      </c>
      <c r="K240" s="8">
        <v>0</v>
      </c>
      <c r="L240" s="8">
        <v>0</v>
      </c>
      <c r="M240" s="8">
        <v>0</v>
      </c>
      <c r="N240" s="8">
        <v>1</v>
      </c>
      <c r="O240" s="8">
        <v>0</v>
      </c>
      <c r="P240" s="8">
        <v>1</v>
      </c>
      <c r="Q240" s="8">
        <v>0</v>
      </c>
      <c r="R240" s="8">
        <v>0</v>
      </c>
      <c r="S240" s="8">
        <v>1</v>
      </c>
      <c r="T240" s="8">
        <v>0</v>
      </c>
      <c r="U240" s="8">
        <v>0</v>
      </c>
      <c r="V240" s="8">
        <v>1</v>
      </c>
      <c r="W240" s="8">
        <v>0</v>
      </c>
      <c r="X240" s="8">
        <v>0</v>
      </c>
      <c r="Y240" s="8">
        <v>0</v>
      </c>
      <c r="Z240" s="8">
        <v>0</v>
      </c>
      <c r="AA240" s="8">
        <v>0</v>
      </c>
      <c r="AB240" s="8">
        <v>1</v>
      </c>
      <c r="AC240" s="8">
        <v>0</v>
      </c>
    </row>
    <row r="241" spans="3:29" x14ac:dyDescent="0.25">
      <c r="C241" s="9" t="s">
        <v>333</v>
      </c>
      <c r="D241" s="8">
        <v>5</v>
      </c>
      <c r="E241" s="8">
        <v>3</v>
      </c>
      <c r="F241" s="8">
        <v>5</v>
      </c>
      <c r="G241" s="8">
        <v>3025</v>
      </c>
      <c r="H241" s="8">
        <v>2</v>
      </c>
      <c r="I241" s="8">
        <v>0</v>
      </c>
      <c r="J241" s="8">
        <v>0</v>
      </c>
      <c r="K241" s="8">
        <v>0</v>
      </c>
      <c r="L241" s="8">
        <v>1</v>
      </c>
      <c r="M241" s="8">
        <v>0</v>
      </c>
      <c r="N241" s="8">
        <v>0</v>
      </c>
      <c r="O241" s="8">
        <v>1</v>
      </c>
      <c r="P241" s="8">
        <v>0</v>
      </c>
      <c r="Q241" s="8">
        <v>0</v>
      </c>
      <c r="R241" s="8">
        <v>0</v>
      </c>
      <c r="S241" s="8">
        <v>1</v>
      </c>
      <c r="T241" s="8">
        <v>1</v>
      </c>
      <c r="U241" s="8">
        <v>0</v>
      </c>
      <c r="V241" s="8">
        <v>0</v>
      </c>
      <c r="W241" s="8">
        <v>0</v>
      </c>
      <c r="X241" s="8">
        <v>0</v>
      </c>
      <c r="Y241" s="8">
        <v>0</v>
      </c>
      <c r="Z241" s="8">
        <v>0</v>
      </c>
      <c r="AA241" s="8">
        <v>1</v>
      </c>
      <c r="AB241" s="8">
        <v>0</v>
      </c>
      <c r="AC241" s="8">
        <v>0</v>
      </c>
    </row>
    <row r="242" spans="3:29" x14ac:dyDescent="0.25">
      <c r="C242" s="9" t="s">
        <v>334</v>
      </c>
      <c r="D242" s="8">
        <v>10</v>
      </c>
      <c r="E242" s="8">
        <v>0</v>
      </c>
      <c r="F242" s="8">
        <v>5</v>
      </c>
      <c r="G242" s="8">
        <v>1228</v>
      </c>
      <c r="H242" s="8">
        <v>1</v>
      </c>
      <c r="I242" s="8">
        <v>0</v>
      </c>
      <c r="J242" s="8">
        <v>1</v>
      </c>
      <c r="K242" s="8">
        <v>0</v>
      </c>
      <c r="L242" s="8">
        <v>0</v>
      </c>
      <c r="M242" s="8">
        <v>0</v>
      </c>
      <c r="N242" s="8">
        <v>1</v>
      </c>
      <c r="O242" s="8">
        <v>0</v>
      </c>
      <c r="P242" s="8">
        <v>0</v>
      </c>
      <c r="Q242" s="8">
        <v>1</v>
      </c>
      <c r="R242" s="8">
        <v>0</v>
      </c>
      <c r="S242" s="8">
        <v>0</v>
      </c>
      <c r="T242" s="8">
        <v>0</v>
      </c>
      <c r="U242" s="8">
        <v>1</v>
      </c>
      <c r="V242" s="8">
        <v>0</v>
      </c>
      <c r="W242" s="8">
        <v>0</v>
      </c>
      <c r="X242" s="8">
        <v>0</v>
      </c>
      <c r="Y242" s="8">
        <v>0</v>
      </c>
      <c r="Z242" s="8">
        <v>0</v>
      </c>
      <c r="AA242" s="8">
        <v>0</v>
      </c>
      <c r="AB242" s="8">
        <v>0</v>
      </c>
      <c r="AC242" s="8">
        <v>1</v>
      </c>
    </row>
    <row r="243" spans="3:29" x14ac:dyDescent="0.25">
      <c r="C243" s="9" t="s">
        <v>464</v>
      </c>
      <c r="D243" s="8">
        <v>33</v>
      </c>
      <c r="E243" s="8">
        <v>13</v>
      </c>
      <c r="F243" s="8">
        <v>5</v>
      </c>
      <c r="G243" s="8">
        <v>1282</v>
      </c>
      <c r="H243" s="8">
        <v>5</v>
      </c>
      <c r="I243" s="8">
        <v>1</v>
      </c>
      <c r="J243" s="8">
        <v>0</v>
      </c>
      <c r="K243" s="8">
        <v>0</v>
      </c>
      <c r="L243" s="8">
        <v>0</v>
      </c>
      <c r="M243" s="8">
        <v>1</v>
      </c>
      <c r="N243" s="8">
        <v>0</v>
      </c>
      <c r="O243" s="8">
        <v>0</v>
      </c>
      <c r="P243" s="8">
        <v>0</v>
      </c>
      <c r="Q243" s="8">
        <v>0</v>
      </c>
      <c r="R243" s="8">
        <v>0</v>
      </c>
      <c r="S243" s="8">
        <v>1</v>
      </c>
      <c r="T243" s="8">
        <v>0</v>
      </c>
      <c r="U243" s="8">
        <v>0</v>
      </c>
      <c r="V243" s="8">
        <v>1</v>
      </c>
      <c r="W243" s="8">
        <v>0</v>
      </c>
      <c r="X243" s="8">
        <v>0</v>
      </c>
      <c r="Y243" s="8">
        <v>0</v>
      </c>
      <c r="Z243" s="8">
        <v>0</v>
      </c>
      <c r="AA243" s="8">
        <v>0</v>
      </c>
      <c r="AB243" s="8">
        <v>0</v>
      </c>
      <c r="AC243" s="8">
        <v>1</v>
      </c>
    </row>
    <row r="244" spans="3:29" x14ac:dyDescent="0.25">
      <c r="C244" s="9" t="s">
        <v>335</v>
      </c>
      <c r="D244" s="8">
        <v>13</v>
      </c>
      <c r="E244" s="8">
        <v>12</v>
      </c>
      <c r="F244" s="8">
        <v>3</v>
      </c>
      <c r="G244" s="8">
        <v>3981</v>
      </c>
      <c r="H244" s="8">
        <v>4</v>
      </c>
      <c r="I244" s="8">
        <v>0</v>
      </c>
      <c r="J244" s="8">
        <v>0</v>
      </c>
      <c r="K244" s="8">
        <v>1</v>
      </c>
      <c r="L244" s="8">
        <v>0</v>
      </c>
      <c r="M244" s="8">
        <v>1</v>
      </c>
      <c r="N244" s="8">
        <v>0</v>
      </c>
      <c r="O244" s="8">
        <v>0</v>
      </c>
      <c r="P244" s="8">
        <v>0</v>
      </c>
      <c r="Q244" s="8">
        <v>1</v>
      </c>
      <c r="R244" s="8">
        <v>0</v>
      </c>
      <c r="S244" s="8">
        <v>0</v>
      </c>
      <c r="T244" s="8">
        <v>1</v>
      </c>
      <c r="U244" s="8">
        <v>0</v>
      </c>
      <c r="V244" s="8">
        <v>0</v>
      </c>
      <c r="W244" s="8">
        <v>0</v>
      </c>
      <c r="X244" s="8">
        <v>0</v>
      </c>
      <c r="Y244" s="8">
        <v>0</v>
      </c>
      <c r="Z244" s="8">
        <v>0</v>
      </c>
      <c r="AA244" s="8">
        <v>0</v>
      </c>
      <c r="AB244" s="8">
        <v>0</v>
      </c>
      <c r="AC244" s="8">
        <v>1</v>
      </c>
    </row>
    <row r="245" spans="3:29" x14ac:dyDescent="0.25">
      <c r="C245" s="9" t="s">
        <v>425</v>
      </c>
      <c r="D245" s="8">
        <v>27</v>
      </c>
      <c r="E245" s="8">
        <v>9</v>
      </c>
      <c r="F245" s="8">
        <v>4</v>
      </c>
      <c r="G245" s="8">
        <v>2884</v>
      </c>
      <c r="H245" s="8">
        <v>2</v>
      </c>
      <c r="I245" s="8">
        <v>0</v>
      </c>
      <c r="J245" s="8">
        <v>0</v>
      </c>
      <c r="K245" s="8">
        <v>0</v>
      </c>
      <c r="L245" s="8">
        <v>1</v>
      </c>
      <c r="M245" s="8">
        <v>0</v>
      </c>
      <c r="N245" s="8">
        <v>1</v>
      </c>
      <c r="O245" s="8">
        <v>0</v>
      </c>
      <c r="P245" s="8">
        <v>1</v>
      </c>
      <c r="Q245" s="8">
        <v>0</v>
      </c>
      <c r="R245" s="8">
        <v>1</v>
      </c>
      <c r="S245" s="8">
        <v>0</v>
      </c>
      <c r="T245" s="8">
        <v>1</v>
      </c>
      <c r="U245" s="8">
        <v>0</v>
      </c>
      <c r="V245" s="8">
        <v>0</v>
      </c>
      <c r="W245" s="8">
        <v>1</v>
      </c>
      <c r="X245" s="8">
        <v>0</v>
      </c>
      <c r="Y245" s="8">
        <v>0</v>
      </c>
      <c r="Z245" s="8">
        <v>0</v>
      </c>
      <c r="AA245" s="8">
        <v>0</v>
      </c>
      <c r="AB245" s="8">
        <v>0</v>
      </c>
      <c r="AC245" s="8">
        <v>0</v>
      </c>
    </row>
    <row r="246" spans="3:29" x14ac:dyDescent="0.25">
      <c r="C246" s="9" t="s">
        <v>336</v>
      </c>
      <c r="D246" s="8">
        <v>33</v>
      </c>
      <c r="E246" s="8">
        <v>8</v>
      </c>
      <c r="F246" s="8">
        <v>5</v>
      </c>
      <c r="G246" s="8">
        <v>1467</v>
      </c>
      <c r="H246" s="8">
        <v>7</v>
      </c>
      <c r="I246" s="8">
        <v>0</v>
      </c>
      <c r="J246" s="8">
        <v>0</v>
      </c>
      <c r="K246" s="8">
        <v>0</v>
      </c>
      <c r="L246" s="8">
        <v>1</v>
      </c>
      <c r="M246" s="8">
        <v>1</v>
      </c>
      <c r="N246" s="8">
        <v>0</v>
      </c>
      <c r="O246" s="8">
        <v>0</v>
      </c>
      <c r="P246" s="8">
        <v>1</v>
      </c>
      <c r="Q246" s="8">
        <v>0</v>
      </c>
      <c r="R246" s="8">
        <v>1</v>
      </c>
      <c r="S246" s="8">
        <v>0</v>
      </c>
      <c r="T246" s="8">
        <v>0</v>
      </c>
      <c r="U246" s="8">
        <v>1</v>
      </c>
      <c r="V246" s="8">
        <v>0</v>
      </c>
      <c r="W246" s="8">
        <v>0</v>
      </c>
      <c r="X246" s="8">
        <v>0</v>
      </c>
      <c r="Y246" s="8">
        <v>1</v>
      </c>
      <c r="Z246" s="8">
        <v>0</v>
      </c>
      <c r="AA246" s="8">
        <v>0</v>
      </c>
      <c r="AB246" s="8">
        <v>0</v>
      </c>
      <c r="AC246" s="8">
        <v>0</v>
      </c>
    </row>
    <row r="247" spans="3:29" x14ac:dyDescent="0.25">
      <c r="C247" s="9" t="s">
        <v>337</v>
      </c>
      <c r="D247" s="8">
        <v>11</v>
      </c>
      <c r="E247" s="8">
        <v>5</v>
      </c>
      <c r="F247" s="8">
        <v>4</v>
      </c>
      <c r="G247" s="8">
        <v>2884</v>
      </c>
      <c r="H247" s="8">
        <v>1</v>
      </c>
      <c r="I247" s="8">
        <v>1</v>
      </c>
      <c r="J247" s="8">
        <v>0</v>
      </c>
      <c r="K247" s="8">
        <v>0</v>
      </c>
      <c r="L247" s="8">
        <v>0</v>
      </c>
      <c r="M247" s="8">
        <v>0</v>
      </c>
      <c r="N247" s="8">
        <v>0</v>
      </c>
      <c r="O247" s="8">
        <v>1</v>
      </c>
      <c r="P247" s="8">
        <v>1</v>
      </c>
      <c r="Q247" s="8">
        <v>0</v>
      </c>
      <c r="R247" s="8">
        <v>1</v>
      </c>
      <c r="S247" s="8">
        <v>0</v>
      </c>
      <c r="T247" s="8">
        <v>1</v>
      </c>
      <c r="U247" s="8">
        <v>0</v>
      </c>
      <c r="V247" s="8">
        <v>0</v>
      </c>
      <c r="W247" s="8">
        <v>0</v>
      </c>
      <c r="X247" s="8">
        <v>0</v>
      </c>
      <c r="Y247" s="8">
        <v>0</v>
      </c>
      <c r="Z247" s="8">
        <v>0</v>
      </c>
      <c r="AA247" s="8">
        <v>1</v>
      </c>
      <c r="AB247" s="8">
        <v>0</v>
      </c>
      <c r="AC247" s="8">
        <v>0</v>
      </c>
    </row>
    <row r="248" spans="3:29" x14ac:dyDescent="0.25">
      <c r="C248" s="9" t="s">
        <v>338</v>
      </c>
      <c r="D248" s="8">
        <v>93</v>
      </c>
      <c r="E248" s="8">
        <v>4</v>
      </c>
      <c r="F248" s="8">
        <v>5</v>
      </c>
      <c r="G248" s="8">
        <v>3025</v>
      </c>
      <c r="H248" s="8">
        <v>2</v>
      </c>
      <c r="I248" s="8">
        <v>0</v>
      </c>
      <c r="J248" s="8">
        <v>0</v>
      </c>
      <c r="K248" s="8">
        <v>0</v>
      </c>
      <c r="L248" s="8">
        <v>1</v>
      </c>
      <c r="M248" s="8">
        <v>0</v>
      </c>
      <c r="N248" s="8">
        <v>1</v>
      </c>
      <c r="O248" s="8">
        <v>0</v>
      </c>
      <c r="P248" s="8">
        <v>0</v>
      </c>
      <c r="Q248" s="8">
        <v>0</v>
      </c>
      <c r="R248" s="8">
        <v>0</v>
      </c>
      <c r="S248" s="8">
        <v>1</v>
      </c>
      <c r="T248" s="8">
        <v>0</v>
      </c>
      <c r="U248" s="8">
        <v>0</v>
      </c>
      <c r="V248" s="8">
        <v>1</v>
      </c>
      <c r="W248" s="8">
        <v>0</v>
      </c>
      <c r="X248" s="8">
        <v>0</v>
      </c>
      <c r="Y248" s="8">
        <v>1</v>
      </c>
      <c r="Z248" s="8">
        <v>0</v>
      </c>
      <c r="AA248" s="8">
        <v>0</v>
      </c>
      <c r="AB248" s="8">
        <v>0</v>
      </c>
      <c r="AC248" s="8">
        <v>0</v>
      </c>
    </row>
    <row r="249" spans="3:29" x14ac:dyDescent="0.25">
      <c r="C249" s="9" t="s">
        <v>429</v>
      </c>
      <c r="D249" s="8">
        <v>17</v>
      </c>
      <c r="E249" s="8">
        <v>4</v>
      </c>
      <c r="F249" s="8">
        <v>5</v>
      </c>
      <c r="G249" s="8">
        <v>3025</v>
      </c>
      <c r="H249" s="8">
        <v>0</v>
      </c>
      <c r="I249" s="8">
        <v>0</v>
      </c>
      <c r="J249" s="8">
        <v>0</v>
      </c>
      <c r="K249" s="8">
        <v>1</v>
      </c>
      <c r="L249" s="8">
        <v>0</v>
      </c>
      <c r="M249" s="8">
        <v>0</v>
      </c>
      <c r="N249" s="8">
        <v>0</v>
      </c>
      <c r="O249" s="8">
        <v>1</v>
      </c>
      <c r="P249" s="8">
        <v>0</v>
      </c>
      <c r="Q249" s="8">
        <v>0</v>
      </c>
      <c r="R249" s="8">
        <v>0</v>
      </c>
      <c r="S249" s="8">
        <v>1</v>
      </c>
      <c r="T249" s="8">
        <v>0</v>
      </c>
      <c r="U249" s="8">
        <v>1</v>
      </c>
      <c r="V249" s="8">
        <v>0</v>
      </c>
      <c r="W249" s="8">
        <v>0</v>
      </c>
      <c r="X249" s="8">
        <v>0</v>
      </c>
      <c r="Y249" s="8">
        <v>1</v>
      </c>
      <c r="Z249" s="8">
        <v>0</v>
      </c>
      <c r="AA249" s="8">
        <v>0</v>
      </c>
      <c r="AB249" s="8">
        <v>0</v>
      </c>
      <c r="AC249" s="8">
        <v>0</v>
      </c>
    </row>
    <row r="250" spans="3:29" x14ac:dyDescent="0.25">
      <c r="C250" s="9" t="s">
        <v>339</v>
      </c>
      <c r="D250" s="8">
        <v>15</v>
      </c>
      <c r="E250" s="8">
        <v>4</v>
      </c>
      <c r="F250" s="8">
        <v>5</v>
      </c>
      <c r="G250" s="8">
        <v>826</v>
      </c>
      <c r="H250" s="8">
        <v>1</v>
      </c>
      <c r="I250" s="8">
        <v>0</v>
      </c>
      <c r="J250" s="8">
        <v>0</v>
      </c>
      <c r="K250" s="8">
        <v>0</v>
      </c>
      <c r="L250" s="8">
        <v>1</v>
      </c>
      <c r="M250" s="8">
        <v>0</v>
      </c>
      <c r="N250" s="8">
        <v>0</v>
      </c>
      <c r="O250" s="8">
        <v>1</v>
      </c>
      <c r="P250" s="8">
        <v>0</v>
      </c>
      <c r="Q250" s="8">
        <v>0</v>
      </c>
      <c r="R250" s="8">
        <v>1</v>
      </c>
      <c r="S250" s="8">
        <v>0</v>
      </c>
      <c r="T250" s="8">
        <v>0</v>
      </c>
      <c r="U250" s="8">
        <v>1</v>
      </c>
      <c r="V250" s="8">
        <v>0</v>
      </c>
      <c r="W250" s="8">
        <v>0</v>
      </c>
      <c r="X250" s="8">
        <v>0</v>
      </c>
      <c r="Y250" s="8">
        <v>0</v>
      </c>
      <c r="Z250" s="8">
        <v>1</v>
      </c>
      <c r="AA250" s="8">
        <v>0</v>
      </c>
      <c r="AB250" s="8">
        <v>0</v>
      </c>
      <c r="AC250" s="8">
        <v>0</v>
      </c>
    </row>
    <row r="251" spans="3:29" x14ac:dyDescent="0.25">
      <c r="C251" s="9" t="s">
        <v>340</v>
      </c>
      <c r="D251" s="8">
        <v>24</v>
      </c>
      <c r="E251" s="8">
        <v>3</v>
      </c>
      <c r="F251" s="8">
        <v>4</v>
      </c>
      <c r="G251" s="8">
        <v>3773</v>
      </c>
      <c r="H251" s="8">
        <v>3</v>
      </c>
      <c r="I251" s="8">
        <v>0</v>
      </c>
      <c r="J251" s="8">
        <v>0</v>
      </c>
      <c r="K251" s="8">
        <v>1</v>
      </c>
      <c r="L251" s="8">
        <v>0</v>
      </c>
      <c r="M251" s="8">
        <v>1</v>
      </c>
      <c r="N251" s="8">
        <v>0</v>
      </c>
      <c r="O251" s="8">
        <v>0</v>
      </c>
      <c r="P251" s="8">
        <v>0</v>
      </c>
      <c r="Q251" s="8">
        <v>1</v>
      </c>
      <c r="R251" s="8">
        <v>0</v>
      </c>
      <c r="S251" s="8">
        <v>0</v>
      </c>
      <c r="T251" s="8">
        <v>1</v>
      </c>
      <c r="U251" s="8">
        <v>0</v>
      </c>
      <c r="V251" s="8">
        <v>0</v>
      </c>
      <c r="W251" s="8">
        <v>0</v>
      </c>
      <c r="X251" s="8">
        <v>0</v>
      </c>
      <c r="Y251" s="8">
        <v>1</v>
      </c>
      <c r="Z251" s="8">
        <v>0</v>
      </c>
      <c r="AA251" s="8">
        <v>0</v>
      </c>
      <c r="AB251" s="8">
        <v>0</v>
      </c>
      <c r="AC251" s="8">
        <v>0</v>
      </c>
    </row>
    <row r="252" spans="3:29" x14ac:dyDescent="0.25">
      <c r="C252" s="9" t="s">
        <v>341</v>
      </c>
      <c r="D252" s="8">
        <v>7</v>
      </c>
      <c r="E252" s="8">
        <v>3</v>
      </c>
      <c r="F252" s="8">
        <v>5</v>
      </c>
      <c r="G252" s="8">
        <v>2959</v>
      </c>
      <c r="H252" s="8">
        <v>5</v>
      </c>
      <c r="I252" s="8">
        <v>1</v>
      </c>
      <c r="J252" s="8">
        <v>0</v>
      </c>
      <c r="K252" s="8">
        <v>0</v>
      </c>
      <c r="L252" s="8">
        <v>0</v>
      </c>
      <c r="M252" s="8">
        <v>0</v>
      </c>
      <c r="N252" s="8">
        <v>1</v>
      </c>
      <c r="O252" s="8">
        <v>0</v>
      </c>
      <c r="P252" s="8">
        <v>0</v>
      </c>
      <c r="Q252" s="8">
        <v>0</v>
      </c>
      <c r="R252" s="8">
        <v>0</v>
      </c>
      <c r="S252" s="8">
        <v>1</v>
      </c>
      <c r="T252" s="8">
        <v>0</v>
      </c>
      <c r="U252" s="8">
        <v>0</v>
      </c>
      <c r="V252" s="8">
        <v>1</v>
      </c>
      <c r="W252" s="8">
        <v>0</v>
      </c>
      <c r="X252" s="8">
        <v>0</v>
      </c>
      <c r="Y252" s="8">
        <v>0</v>
      </c>
      <c r="Z252" s="8">
        <v>1</v>
      </c>
      <c r="AA252" s="8">
        <v>0</v>
      </c>
      <c r="AB252" s="8">
        <v>0</v>
      </c>
      <c r="AC252" s="8">
        <v>0</v>
      </c>
    </row>
    <row r="253" spans="3:29" x14ac:dyDescent="0.25">
      <c r="C253" s="9" t="s">
        <v>342</v>
      </c>
      <c r="D253" s="8">
        <v>4</v>
      </c>
      <c r="E253" s="8">
        <v>3</v>
      </c>
      <c r="F253" s="8">
        <v>2</v>
      </c>
      <c r="G253" s="8">
        <v>2959</v>
      </c>
      <c r="H253" s="8">
        <v>8</v>
      </c>
      <c r="I253" s="8">
        <v>1</v>
      </c>
      <c r="J253" s="8">
        <v>0</v>
      </c>
      <c r="K253" s="8">
        <v>0</v>
      </c>
      <c r="L253" s="8">
        <v>0</v>
      </c>
      <c r="M253" s="8">
        <v>0</v>
      </c>
      <c r="N253" s="8">
        <v>0</v>
      </c>
      <c r="O253" s="8">
        <v>1</v>
      </c>
      <c r="P253" s="8">
        <v>0</v>
      </c>
      <c r="Q253" s="8">
        <v>0</v>
      </c>
      <c r="R253" s="8">
        <v>0</v>
      </c>
      <c r="S253" s="8">
        <v>1</v>
      </c>
      <c r="T253" s="8">
        <v>0</v>
      </c>
      <c r="U253" s="8">
        <v>0</v>
      </c>
      <c r="V253" s="8">
        <v>1</v>
      </c>
      <c r="W253" s="8">
        <v>0</v>
      </c>
      <c r="X253" s="8">
        <v>0</v>
      </c>
      <c r="Y253" s="8">
        <v>0</v>
      </c>
      <c r="Z253" s="8">
        <v>0</v>
      </c>
      <c r="AA253" s="8">
        <v>0</v>
      </c>
      <c r="AB253" s="8">
        <v>1</v>
      </c>
      <c r="AC253" s="8">
        <v>0</v>
      </c>
    </row>
    <row r="254" spans="3:29" x14ac:dyDescent="0.25">
      <c r="C254" s="9" t="s">
        <v>343</v>
      </c>
      <c r="D254" s="8">
        <v>6</v>
      </c>
      <c r="E254" s="8">
        <v>0</v>
      </c>
      <c r="F254" s="8">
        <v>5</v>
      </c>
      <c r="G254" s="8">
        <v>732</v>
      </c>
      <c r="H254" s="8">
        <v>10</v>
      </c>
      <c r="I254" s="8">
        <v>0</v>
      </c>
      <c r="J254" s="8">
        <v>0</v>
      </c>
      <c r="K254" s="8">
        <v>1</v>
      </c>
      <c r="L254" s="8">
        <v>0</v>
      </c>
      <c r="M254" s="8">
        <v>0</v>
      </c>
      <c r="N254" s="8">
        <v>0</v>
      </c>
      <c r="O254" s="8">
        <v>1</v>
      </c>
      <c r="P254" s="8">
        <v>0</v>
      </c>
      <c r="Q254" s="8">
        <v>1</v>
      </c>
      <c r="R254" s="8">
        <v>0</v>
      </c>
      <c r="S254" s="8">
        <v>0</v>
      </c>
      <c r="T254" s="8">
        <v>0</v>
      </c>
      <c r="U254" s="8">
        <v>0</v>
      </c>
      <c r="V254" s="8">
        <v>1</v>
      </c>
      <c r="W254" s="8">
        <v>0</v>
      </c>
      <c r="X254" s="8">
        <v>0</v>
      </c>
      <c r="Y254" s="8">
        <v>0</v>
      </c>
      <c r="Z254" s="8">
        <v>0</v>
      </c>
      <c r="AA254" s="8">
        <v>0</v>
      </c>
      <c r="AB254" s="8">
        <v>0</v>
      </c>
      <c r="AC254" s="8">
        <v>1</v>
      </c>
    </row>
    <row r="255" spans="3:29" x14ac:dyDescent="0.25">
      <c r="C255" s="9" t="s">
        <v>470</v>
      </c>
      <c r="D255" s="8">
        <v>3</v>
      </c>
      <c r="E255" s="8">
        <v>0</v>
      </c>
      <c r="F255" s="8">
        <v>2</v>
      </c>
      <c r="G255" s="8">
        <v>3933</v>
      </c>
      <c r="H255" s="8">
        <v>3</v>
      </c>
      <c r="I255" s="8">
        <v>0</v>
      </c>
      <c r="J255" s="8">
        <v>0</v>
      </c>
      <c r="K255" s="8">
        <v>1</v>
      </c>
      <c r="L255" s="8">
        <v>0</v>
      </c>
      <c r="M255" s="8">
        <v>0</v>
      </c>
      <c r="N255" s="8">
        <v>1</v>
      </c>
      <c r="O255" s="8">
        <v>0</v>
      </c>
      <c r="P255" s="8">
        <v>0</v>
      </c>
      <c r="Q255" s="8">
        <v>0</v>
      </c>
      <c r="R255" s="8">
        <v>0</v>
      </c>
      <c r="S255" s="8">
        <v>1</v>
      </c>
      <c r="T255" s="8">
        <v>0</v>
      </c>
      <c r="U255" s="8">
        <v>1</v>
      </c>
      <c r="V255" s="8">
        <v>0</v>
      </c>
      <c r="W255" s="8">
        <v>0</v>
      </c>
      <c r="X255" s="8">
        <v>0</v>
      </c>
      <c r="Y255" s="8">
        <v>0</v>
      </c>
      <c r="Z255" s="8">
        <v>0</v>
      </c>
      <c r="AA255" s="8">
        <v>0</v>
      </c>
      <c r="AB255" s="8">
        <v>1</v>
      </c>
      <c r="AC255" s="8">
        <v>0</v>
      </c>
    </row>
    <row r="256" spans="3:29" x14ac:dyDescent="0.25">
      <c r="C256" s="9" t="s">
        <v>344</v>
      </c>
      <c r="D256" s="8">
        <v>15</v>
      </c>
      <c r="E256" s="8">
        <v>14</v>
      </c>
      <c r="F256" s="8">
        <v>4</v>
      </c>
      <c r="G256" s="8">
        <v>2884</v>
      </c>
      <c r="H256" s="8">
        <v>9</v>
      </c>
      <c r="I256" s="8">
        <v>0</v>
      </c>
      <c r="J256" s="8">
        <v>0</v>
      </c>
      <c r="K256" s="8">
        <v>1</v>
      </c>
      <c r="L256" s="8">
        <v>0</v>
      </c>
      <c r="M256" s="8">
        <v>1</v>
      </c>
      <c r="N256" s="8">
        <v>0</v>
      </c>
      <c r="O256" s="8">
        <v>0</v>
      </c>
      <c r="P256" s="8">
        <v>1</v>
      </c>
      <c r="Q256" s="8">
        <v>0</v>
      </c>
      <c r="R256" s="8">
        <v>1</v>
      </c>
      <c r="S256" s="8">
        <v>0</v>
      </c>
      <c r="T256" s="8">
        <v>0</v>
      </c>
      <c r="U256" s="8">
        <v>0</v>
      </c>
      <c r="V256" s="8">
        <v>1</v>
      </c>
      <c r="W256" s="8">
        <v>0</v>
      </c>
      <c r="X256" s="8">
        <v>0</v>
      </c>
      <c r="Y256" s="8">
        <v>0</v>
      </c>
      <c r="Z256" s="8">
        <v>0</v>
      </c>
      <c r="AA256" s="8">
        <v>0</v>
      </c>
      <c r="AB256" s="8">
        <v>1</v>
      </c>
      <c r="AC256" s="8">
        <v>0</v>
      </c>
    </row>
    <row r="257" spans="3:29" x14ac:dyDescent="0.25">
      <c r="C257" s="9" t="s">
        <v>345</v>
      </c>
      <c r="D257" s="8">
        <v>23</v>
      </c>
      <c r="E257" s="8">
        <v>12</v>
      </c>
      <c r="F257" s="8">
        <v>5</v>
      </c>
      <c r="G257" s="8">
        <v>787</v>
      </c>
      <c r="H257" s="8">
        <v>7</v>
      </c>
      <c r="I257" s="8">
        <v>0</v>
      </c>
      <c r="J257" s="8">
        <v>1</v>
      </c>
      <c r="K257" s="8">
        <v>0</v>
      </c>
      <c r="L257" s="8">
        <v>0</v>
      </c>
      <c r="M257" s="8">
        <v>0</v>
      </c>
      <c r="N257" s="8">
        <v>1</v>
      </c>
      <c r="O257" s="8">
        <v>0</v>
      </c>
      <c r="P257" s="8">
        <v>1</v>
      </c>
      <c r="Q257" s="8">
        <v>1</v>
      </c>
      <c r="R257" s="8">
        <v>0</v>
      </c>
      <c r="S257" s="8">
        <v>0</v>
      </c>
      <c r="T257" s="8">
        <v>1</v>
      </c>
      <c r="U257" s="8">
        <v>0</v>
      </c>
      <c r="V257" s="8">
        <v>0</v>
      </c>
      <c r="W257" s="8">
        <v>0</v>
      </c>
      <c r="X257" s="8">
        <v>0</v>
      </c>
      <c r="Y257" s="8">
        <v>1</v>
      </c>
      <c r="Z257" s="8">
        <v>0</v>
      </c>
      <c r="AA257" s="8">
        <v>0</v>
      </c>
      <c r="AB257" s="8">
        <v>0</v>
      </c>
      <c r="AC257" s="8">
        <v>0</v>
      </c>
    </row>
    <row r="258" spans="3:29" x14ac:dyDescent="0.25">
      <c r="C258" s="9" t="s">
        <v>465</v>
      </c>
      <c r="D258" s="8">
        <v>20</v>
      </c>
      <c r="E258" s="8">
        <v>12</v>
      </c>
      <c r="F258" s="8">
        <v>5</v>
      </c>
      <c r="G258" s="8">
        <v>732</v>
      </c>
      <c r="H258" s="8">
        <v>1</v>
      </c>
      <c r="I258" s="8">
        <v>0</v>
      </c>
      <c r="J258" s="8">
        <v>1</v>
      </c>
      <c r="K258" s="8">
        <v>0</v>
      </c>
      <c r="L258" s="8">
        <v>0</v>
      </c>
      <c r="M258" s="8">
        <v>0</v>
      </c>
      <c r="N258" s="8">
        <v>1</v>
      </c>
      <c r="O258" s="8">
        <v>0</v>
      </c>
      <c r="P258" s="8">
        <v>0</v>
      </c>
      <c r="Q258" s="8">
        <v>1</v>
      </c>
      <c r="R258" s="8">
        <v>0</v>
      </c>
      <c r="S258" s="8">
        <v>0</v>
      </c>
      <c r="T258" s="8">
        <v>1</v>
      </c>
      <c r="U258" s="8">
        <v>0</v>
      </c>
      <c r="V258" s="8">
        <v>0</v>
      </c>
      <c r="W258" s="8">
        <v>0</v>
      </c>
      <c r="X258" s="8">
        <v>0</v>
      </c>
      <c r="Y258" s="8">
        <v>0</v>
      </c>
      <c r="Z258" s="8">
        <v>0</v>
      </c>
      <c r="AA258" s="8">
        <v>0</v>
      </c>
      <c r="AB258" s="8">
        <v>0</v>
      </c>
      <c r="AC258" s="8">
        <v>1</v>
      </c>
    </row>
    <row r="259" spans="3:29" x14ac:dyDescent="0.25">
      <c r="C259" s="9" t="s">
        <v>346</v>
      </c>
      <c r="D259" s="8">
        <v>34</v>
      </c>
      <c r="E259" s="8">
        <v>10</v>
      </c>
      <c r="F259" s="8">
        <v>4</v>
      </c>
      <c r="G259" s="8">
        <v>2034</v>
      </c>
      <c r="H259" s="8">
        <v>4</v>
      </c>
      <c r="I259" s="8">
        <v>0</v>
      </c>
      <c r="J259" s="8">
        <v>0</v>
      </c>
      <c r="K259" s="8">
        <v>0</v>
      </c>
      <c r="L259" s="8">
        <v>1</v>
      </c>
      <c r="M259" s="8">
        <v>1</v>
      </c>
      <c r="N259" s="8">
        <v>0</v>
      </c>
      <c r="O259" s="8">
        <v>0</v>
      </c>
      <c r="P259" s="8">
        <v>0</v>
      </c>
      <c r="Q259" s="8">
        <v>0</v>
      </c>
      <c r="R259" s="8">
        <v>0</v>
      </c>
      <c r="S259" s="8">
        <v>1</v>
      </c>
      <c r="T259" s="8">
        <v>0</v>
      </c>
      <c r="U259" s="8">
        <v>1</v>
      </c>
      <c r="V259" s="8">
        <v>0</v>
      </c>
      <c r="W259" s="8">
        <v>0</v>
      </c>
      <c r="X259" s="8">
        <v>0</v>
      </c>
      <c r="Y259" s="8">
        <v>0</v>
      </c>
      <c r="Z259" s="8">
        <v>0</v>
      </c>
      <c r="AA259" s="8">
        <v>1</v>
      </c>
      <c r="AB259" s="8">
        <v>0</v>
      </c>
      <c r="AC259" s="8">
        <v>0</v>
      </c>
    </row>
    <row r="260" spans="3:29" x14ac:dyDescent="0.25">
      <c r="C260" s="9" t="s">
        <v>347</v>
      </c>
      <c r="D260" s="8">
        <v>11</v>
      </c>
      <c r="E260" s="8">
        <v>6</v>
      </c>
      <c r="F260" s="8">
        <v>5</v>
      </c>
      <c r="G260" s="8">
        <v>1228</v>
      </c>
      <c r="H260" s="8">
        <v>1</v>
      </c>
      <c r="I260" s="8">
        <v>0</v>
      </c>
      <c r="J260" s="8">
        <v>1</v>
      </c>
      <c r="K260" s="8">
        <v>0</v>
      </c>
      <c r="L260" s="8">
        <v>0</v>
      </c>
      <c r="M260" s="8">
        <v>1</v>
      </c>
      <c r="N260" s="8">
        <v>0</v>
      </c>
      <c r="O260" s="8">
        <v>0</v>
      </c>
      <c r="P260" s="8">
        <v>0</v>
      </c>
      <c r="Q260" s="8">
        <v>1</v>
      </c>
      <c r="R260" s="8">
        <v>0</v>
      </c>
      <c r="S260" s="8">
        <v>0</v>
      </c>
      <c r="T260" s="8">
        <v>0</v>
      </c>
      <c r="U260" s="8">
        <v>0</v>
      </c>
      <c r="V260" s="8">
        <v>1</v>
      </c>
      <c r="W260" s="8">
        <v>0</v>
      </c>
      <c r="X260" s="8">
        <v>1</v>
      </c>
      <c r="Y260" s="8">
        <v>0</v>
      </c>
      <c r="Z260" s="8">
        <v>0</v>
      </c>
      <c r="AA260" s="8">
        <v>0</v>
      </c>
      <c r="AB260" s="8">
        <v>0</v>
      </c>
      <c r="AC260" s="8">
        <v>0</v>
      </c>
    </row>
    <row r="261" spans="3:29" x14ac:dyDescent="0.25">
      <c r="C261" s="9" t="s">
        <v>348</v>
      </c>
      <c r="D261" s="8">
        <v>6</v>
      </c>
      <c r="E261" s="8">
        <v>6</v>
      </c>
      <c r="F261" s="8">
        <v>5</v>
      </c>
      <c r="G261" s="8">
        <v>2959</v>
      </c>
      <c r="H261" s="8">
        <v>7</v>
      </c>
      <c r="I261" s="8">
        <v>0</v>
      </c>
      <c r="J261" s="8">
        <v>0</v>
      </c>
      <c r="K261" s="8">
        <v>0</v>
      </c>
      <c r="L261" s="8">
        <v>1</v>
      </c>
      <c r="M261" s="8">
        <v>0</v>
      </c>
      <c r="N261" s="8">
        <v>0</v>
      </c>
      <c r="O261" s="8">
        <v>1</v>
      </c>
      <c r="P261" s="8">
        <v>0</v>
      </c>
      <c r="Q261" s="8">
        <v>0</v>
      </c>
      <c r="R261" s="8">
        <v>0</v>
      </c>
      <c r="S261" s="8">
        <v>1</v>
      </c>
      <c r="T261" s="8">
        <v>0</v>
      </c>
      <c r="U261" s="8">
        <v>1</v>
      </c>
      <c r="V261" s="8">
        <v>0</v>
      </c>
      <c r="W261" s="8">
        <v>0</v>
      </c>
      <c r="X261" s="8">
        <v>0</v>
      </c>
      <c r="Y261" s="8">
        <v>0</v>
      </c>
      <c r="Z261" s="8">
        <v>0</v>
      </c>
      <c r="AA261" s="8">
        <v>0</v>
      </c>
      <c r="AB261" s="8">
        <v>1</v>
      </c>
      <c r="AC261" s="8">
        <v>0</v>
      </c>
    </row>
    <row r="262" spans="3:29" x14ac:dyDescent="0.25">
      <c r="C262" s="9" t="s">
        <v>349</v>
      </c>
      <c r="D262" s="8">
        <v>7</v>
      </c>
      <c r="E262" s="8">
        <v>5</v>
      </c>
      <c r="F262" s="8">
        <v>4</v>
      </c>
      <c r="G262" s="8">
        <v>3003</v>
      </c>
      <c r="H262" s="8">
        <v>9</v>
      </c>
      <c r="I262" s="8">
        <v>0</v>
      </c>
      <c r="J262" s="8">
        <v>1</v>
      </c>
      <c r="K262" s="8">
        <v>0</v>
      </c>
      <c r="L262" s="8">
        <v>0</v>
      </c>
      <c r="M262" s="8">
        <v>0</v>
      </c>
      <c r="N262" s="8">
        <v>0</v>
      </c>
      <c r="O262" s="8">
        <v>1</v>
      </c>
      <c r="P262" s="8">
        <v>0</v>
      </c>
      <c r="Q262" s="8">
        <v>0</v>
      </c>
      <c r="R262" s="8">
        <v>1</v>
      </c>
      <c r="S262" s="8">
        <v>0</v>
      </c>
      <c r="T262" s="8">
        <v>0</v>
      </c>
      <c r="U262" s="8">
        <v>1</v>
      </c>
      <c r="V262" s="8">
        <v>0</v>
      </c>
      <c r="W262" s="8">
        <v>0</v>
      </c>
      <c r="X262" s="8">
        <v>0</v>
      </c>
      <c r="Y262" s="8">
        <v>0</v>
      </c>
      <c r="Z262" s="8">
        <v>0</v>
      </c>
      <c r="AA262" s="8">
        <v>0</v>
      </c>
      <c r="AB262" s="8">
        <v>1</v>
      </c>
      <c r="AC262" s="8">
        <v>0</v>
      </c>
    </row>
    <row r="263" spans="3:29" x14ac:dyDescent="0.25">
      <c r="C263" s="9" t="s">
        <v>431</v>
      </c>
      <c r="D263" s="8">
        <v>12</v>
      </c>
      <c r="E263" s="8">
        <v>3</v>
      </c>
      <c r="F263" s="8">
        <v>4</v>
      </c>
      <c r="G263" s="8">
        <v>2884</v>
      </c>
      <c r="H263" s="8">
        <v>4</v>
      </c>
      <c r="I263" s="8">
        <v>1</v>
      </c>
      <c r="J263" s="8">
        <v>0</v>
      </c>
      <c r="K263" s="8">
        <v>0</v>
      </c>
      <c r="L263" s="8">
        <v>0</v>
      </c>
      <c r="M263" s="8">
        <v>1</v>
      </c>
      <c r="N263" s="8">
        <v>0</v>
      </c>
      <c r="O263" s="8">
        <v>0</v>
      </c>
      <c r="P263" s="8">
        <v>1</v>
      </c>
      <c r="Q263" s="8">
        <v>0</v>
      </c>
      <c r="R263" s="8">
        <v>1</v>
      </c>
      <c r="S263" s="8">
        <v>0</v>
      </c>
      <c r="T263" s="8">
        <v>0</v>
      </c>
      <c r="U263" s="8">
        <v>0</v>
      </c>
      <c r="V263" s="8">
        <v>1</v>
      </c>
      <c r="W263" s="8">
        <v>0</v>
      </c>
      <c r="X263" s="8">
        <v>0</v>
      </c>
      <c r="Y263" s="8">
        <v>1</v>
      </c>
      <c r="Z263" s="8">
        <v>0</v>
      </c>
      <c r="AA263" s="8">
        <v>0</v>
      </c>
      <c r="AB263" s="8">
        <v>0</v>
      </c>
      <c r="AC263" s="8">
        <v>0</v>
      </c>
    </row>
    <row r="264" spans="3:29" x14ac:dyDescent="0.25">
      <c r="C264" s="9" t="s">
        <v>350</v>
      </c>
      <c r="D264" s="8">
        <v>6</v>
      </c>
      <c r="E264" s="8">
        <v>3</v>
      </c>
      <c r="F264" s="8">
        <v>4</v>
      </c>
      <c r="G264" s="8">
        <v>3981</v>
      </c>
      <c r="H264" s="8">
        <v>1</v>
      </c>
      <c r="I264" s="8">
        <v>0</v>
      </c>
      <c r="J264" s="8">
        <v>1</v>
      </c>
      <c r="K264" s="8">
        <v>0</v>
      </c>
      <c r="L264" s="8">
        <v>0</v>
      </c>
      <c r="M264" s="8">
        <v>1</v>
      </c>
      <c r="N264" s="8">
        <v>0</v>
      </c>
      <c r="O264" s="8">
        <v>0</v>
      </c>
      <c r="P264" s="8">
        <v>0</v>
      </c>
      <c r="Q264" s="8">
        <v>1</v>
      </c>
      <c r="R264" s="8">
        <v>0</v>
      </c>
      <c r="S264" s="8">
        <v>0</v>
      </c>
      <c r="T264" s="8">
        <v>1</v>
      </c>
      <c r="U264" s="8">
        <v>0</v>
      </c>
      <c r="V264" s="8">
        <v>0</v>
      </c>
      <c r="W264" s="8">
        <v>0</v>
      </c>
      <c r="X264" s="8">
        <v>0</v>
      </c>
      <c r="Y264" s="8">
        <v>0</v>
      </c>
      <c r="Z264" s="8">
        <v>0</v>
      </c>
      <c r="AA264" s="8">
        <v>1</v>
      </c>
      <c r="AB264" s="8">
        <v>0</v>
      </c>
      <c r="AC264" s="8">
        <v>0</v>
      </c>
    </row>
    <row r="265" spans="3:29" x14ac:dyDescent="0.25">
      <c r="C265" s="9" t="s">
        <v>351</v>
      </c>
      <c r="D265" s="8">
        <v>11</v>
      </c>
      <c r="E265" s="8">
        <v>10</v>
      </c>
      <c r="F265" s="8">
        <v>5</v>
      </c>
      <c r="G265" s="8">
        <v>2034</v>
      </c>
      <c r="H265" s="8">
        <v>7</v>
      </c>
      <c r="I265" s="8">
        <v>1</v>
      </c>
      <c r="J265" s="8">
        <v>0</v>
      </c>
      <c r="K265" s="8">
        <v>0</v>
      </c>
      <c r="L265" s="8">
        <v>0</v>
      </c>
      <c r="M265" s="8">
        <v>1</v>
      </c>
      <c r="N265" s="8">
        <v>0</v>
      </c>
      <c r="O265" s="8">
        <v>0</v>
      </c>
      <c r="P265" s="8">
        <v>0</v>
      </c>
      <c r="Q265" s="8">
        <v>0</v>
      </c>
      <c r="R265" s="8">
        <v>0</v>
      </c>
      <c r="S265" s="8">
        <v>1</v>
      </c>
      <c r="T265" s="8">
        <v>0</v>
      </c>
      <c r="U265" s="8">
        <v>0</v>
      </c>
      <c r="V265" s="8">
        <v>1</v>
      </c>
      <c r="W265" s="8">
        <v>0</v>
      </c>
      <c r="X265" s="8">
        <v>0</v>
      </c>
      <c r="Y265" s="8">
        <v>0</v>
      </c>
      <c r="Z265" s="8">
        <v>0</v>
      </c>
      <c r="AA265" s="8">
        <v>0</v>
      </c>
      <c r="AB265" s="8">
        <v>1</v>
      </c>
      <c r="AC265" s="8">
        <v>0</v>
      </c>
    </row>
    <row r="266" spans="3:29" x14ac:dyDescent="0.25">
      <c r="C266" s="9" t="s">
        <v>352</v>
      </c>
      <c r="D266" s="8">
        <v>24</v>
      </c>
      <c r="E266" s="8">
        <v>7</v>
      </c>
      <c r="F266" s="8">
        <v>4</v>
      </c>
      <c r="G266" s="8">
        <v>2916</v>
      </c>
      <c r="H266" s="8">
        <v>1</v>
      </c>
      <c r="I266" s="8">
        <v>1</v>
      </c>
      <c r="J266" s="8">
        <v>0</v>
      </c>
      <c r="K266" s="8">
        <v>0</v>
      </c>
      <c r="L266" s="8">
        <v>0</v>
      </c>
      <c r="M266" s="8">
        <v>1</v>
      </c>
      <c r="N266" s="8">
        <v>0</v>
      </c>
      <c r="O266" s="8">
        <v>0</v>
      </c>
      <c r="P266" s="8">
        <v>0</v>
      </c>
      <c r="Q266" s="8">
        <v>0</v>
      </c>
      <c r="R266" s="8">
        <v>1</v>
      </c>
      <c r="S266" s="8">
        <v>0</v>
      </c>
      <c r="T266" s="8">
        <v>0</v>
      </c>
      <c r="U266" s="8">
        <v>0</v>
      </c>
      <c r="V266" s="8">
        <v>1</v>
      </c>
      <c r="W266" s="8">
        <v>0</v>
      </c>
      <c r="X266" s="8">
        <v>0</v>
      </c>
      <c r="Y266" s="8">
        <v>0</v>
      </c>
      <c r="Z266" s="8">
        <v>0</v>
      </c>
      <c r="AA266" s="8">
        <v>1</v>
      </c>
      <c r="AB266" s="8">
        <v>0</v>
      </c>
      <c r="AC266" s="8">
        <v>0</v>
      </c>
    </row>
    <row r="267" spans="3:29" x14ac:dyDescent="0.25">
      <c r="C267" s="9" t="s">
        <v>426</v>
      </c>
      <c r="D267" s="8">
        <v>16</v>
      </c>
      <c r="E267" s="8">
        <v>7</v>
      </c>
      <c r="F267" s="8">
        <v>4</v>
      </c>
      <c r="G267" s="8">
        <v>1282</v>
      </c>
      <c r="H267" s="8">
        <v>7</v>
      </c>
      <c r="I267" s="8">
        <v>0</v>
      </c>
      <c r="J267" s="8">
        <v>0</v>
      </c>
      <c r="K267" s="8">
        <v>1</v>
      </c>
      <c r="L267" s="8">
        <v>0</v>
      </c>
      <c r="M267" s="8">
        <v>0</v>
      </c>
      <c r="N267" s="8">
        <v>0</v>
      </c>
      <c r="O267" s="8">
        <v>1</v>
      </c>
      <c r="P267" s="8">
        <v>0</v>
      </c>
      <c r="Q267" s="8">
        <v>0</v>
      </c>
      <c r="R267" s="8">
        <v>0</v>
      </c>
      <c r="S267" s="8">
        <v>1</v>
      </c>
      <c r="T267" s="8">
        <v>1</v>
      </c>
      <c r="U267" s="8">
        <v>0</v>
      </c>
      <c r="V267" s="8">
        <v>0</v>
      </c>
      <c r="W267" s="8">
        <v>0</v>
      </c>
      <c r="X267" s="8">
        <v>1</v>
      </c>
      <c r="Y267" s="8">
        <v>0</v>
      </c>
      <c r="Z267" s="8">
        <v>0</v>
      </c>
      <c r="AA267" s="8">
        <v>0</v>
      </c>
      <c r="AB267" s="8">
        <v>0</v>
      </c>
      <c r="AC267" s="8">
        <v>0</v>
      </c>
    </row>
    <row r="268" spans="3:29" x14ac:dyDescent="0.25">
      <c r="C268" s="9" t="s">
        <v>353</v>
      </c>
      <c r="D268" s="8">
        <v>14</v>
      </c>
      <c r="E268" s="8">
        <v>7</v>
      </c>
      <c r="F268" s="8">
        <v>5</v>
      </c>
      <c r="G268" s="8">
        <v>2916</v>
      </c>
      <c r="H268" s="8">
        <v>2</v>
      </c>
      <c r="I268" s="8">
        <v>0</v>
      </c>
      <c r="J268" s="8">
        <v>0</v>
      </c>
      <c r="K268" s="8">
        <v>1</v>
      </c>
      <c r="L268" s="8">
        <v>0</v>
      </c>
      <c r="M268" s="8">
        <v>0</v>
      </c>
      <c r="N268" s="8">
        <v>0</v>
      </c>
      <c r="O268" s="8">
        <v>1</v>
      </c>
      <c r="P268" s="8">
        <v>0</v>
      </c>
      <c r="Q268" s="8">
        <v>0</v>
      </c>
      <c r="R268" s="8">
        <v>1</v>
      </c>
      <c r="S268" s="8">
        <v>0</v>
      </c>
      <c r="T268" s="8">
        <v>0</v>
      </c>
      <c r="U268" s="8">
        <v>0</v>
      </c>
      <c r="V268" s="8">
        <v>1</v>
      </c>
      <c r="W268" s="8">
        <v>1</v>
      </c>
      <c r="X268" s="8">
        <v>0</v>
      </c>
      <c r="Y268" s="8">
        <v>0</v>
      </c>
      <c r="Z268" s="8">
        <v>0</v>
      </c>
      <c r="AA268" s="8">
        <v>0</v>
      </c>
      <c r="AB268" s="8">
        <v>0</v>
      </c>
      <c r="AC268" s="8">
        <v>0</v>
      </c>
    </row>
    <row r="269" spans="3:29" x14ac:dyDescent="0.25">
      <c r="C269" s="9" t="s">
        <v>354</v>
      </c>
      <c r="D269" s="8">
        <v>22</v>
      </c>
      <c r="E269" s="8">
        <v>6</v>
      </c>
      <c r="F269" s="8">
        <v>5</v>
      </c>
      <c r="G269" s="8">
        <v>1467</v>
      </c>
      <c r="H269" s="8">
        <v>1</v>
      </c>
      <c r="I269" s="8">
        <v>0</v>
      </c>
      <c r="J269" s="8">
        <v>0</v>
      </c>
      <c r="K269" s="8">
        <v>0</v>
      </c>
      <c r="L269" s="8">
        <v>1</v>
      </c>
      <c r="M269" s="8">
        <v>1</v>
      </c>
      <c r="N269" s="8">
        <v>0</v>
      </c>
      <c r="O269" s="8">
        <v>0</v>
      </c>
      <c r="P269" s="8">
        <v>1</v>
      </c>
      <c r="Q269" s="8">
        <v>0</v>
      </c>
      <c r="R269" s="8">
        <v>1</v>
      </c>
      <c r="S269" s="8">
        <v>0</v>
      </c>
      <c r="T269" s="8">
        <v>0</v>
      </c>
      <c r="U269" s="8">
        <v>1</v>
      </c>
      <c r="V269" s="8">
        <v>0</v>
      </c>
      <c r="W269" s="8">
        <v>0</v>
      </c>
      <c r="X269" s="8">
        <v>0</v>
      </c>
      <c r="Y269" s="8">
        <v>0</v>
      </c>
      <c r="Z269" s="8">
        <v>0</v>
      </c>
      <c r="AA269" s="8">
        <v>0</v>
      </c>
      <c r="AB269" s="8">
        <v>1</v>
      </c>
      <c r="AC269" s="8">
        <v>0</v>
      </c>
    </row>
    <row r="270" spans="3:29" x14ac:dyDescent="0.25">
      <c r="C270" s="9" t="s">
        <v>355</v>
      </c>
      <c r="D270" s="8">
        <v>7</v>
      </c>
      <c r="E270" s="8">
        <v>5</v>
      </c>
      <c r="F270" s="8">
        <v>5</v>
      </c>
      <c r="G270" s="8">
        <v>4027</v>
      </c>
      <c r="H270" s="8">
        <v>1</v>
      </c>
      <c r="I270" s="8">
        <v>0</v>
      </c>
      <c r="J270" s="8">
        <v>1</v>
      </c>
      <c r="K270" s="8">
        <v>0</v>
      </c>
      <c r="L270" s="8">
        <v>0</v>
      </c>
      <c r="M270" s="8">
        <v>0</v>
      </c>
      <c r="N270" s="8">
        <v>0</v>
      </c>
      <c r="O270" s="8">
        <v>1</v>
      </c>
      <c r="P270" s="8">
        <v>0</v>
      </c>
      <c r="Q270" s="8">
        <v>0</v>
      </c>
      <c r="R270" s="8">
        <v>0</v>
      </c>
      <c r="S270" s="8">
        <v>1</v>
      </c>
      <c r="T270" s="8">
        <v>0</v>
      </c>
      <c r="U270" s="8">
        <v>0</v>
      </c>
      <c r="V270" s="8">
        <v>1</v>
      </c>
      <c r="W270" s="8">
        <v>0</v>
      </c>
      <c r="X270" s="8">
        <v>1</v>
      </c>
      <c r="Y270" s="8">
        <v>0</v>
      </c>
      <c r="Z270" s="8">
        <v>0</v>
      </c>
      <c r="AA270" s="8">
        <v>0</v>
      </c>
      <c r="AB270" s="8">
        <v>0</v>
      </c>
      <c r="AC270" s="8">
        <v>0</v>
      </c>
    </row>
    <row r="271" spans="3:29" x14ac:dyDescent="0.25">
      <c r="C271" s="9" t="s">
        <v>356</v>
      </c>
      <c r="D271" s="8">
        <v>15</v>
      </c>
      <c r="E271" s="8">
        <v>4</v>
      </c>
      <c r="F271" s="8">
        <v>5</v>
      </c>
      <c r="G271" s="8">
        <v>1467</v>
      </c>
      <c r="H271" s="8">
        <v>0</v>
      </c>
      <c r="I271" s="8">
        <v>0</v>
      </c>
      <c r="J271" s="8">
        <v>1</v>
      </c>
      <c r="K271" s="8">
        <v>0</v>
      </c>
      <c r="L271" s="8">
        <v>0</v>
      </c>
      <c r="M271" s="8">
        <v>0</v>
      </c>
      <c r="N271" s="8">
        <v>0</v>
      </c>
      <c r="O271" s="8">
        <v>1</v>
      </c>
      <c r="P271" s="8">
        <v>1</v>
      </c>
      <c r="Q271" s="8">
        <v>0</v>
      </c>
      <c r="R271" s="8">
        <v>1</v>
      </c>
      <c r="S271" s="8">
        <v>0</v>
      </c>
      <c r="T271" s="8">
        <v>1</v>
      </c>
      <c r="U271" s="8">
        <v>0</v>
      </c>
      <c r="V271" s="8">
        <v>0</v>
      </c>
      <c r="W271" s="8">
        <v>1</v>
      </c>
      <c r="X271" s="8">
        <v>0</v>
      </c>
      <c r="Y271" s="8">
        <v>0</v>
      </c>
      <c r="Z271" s="8">
        <v>0</v>
      </c>
      <c r="AA271" s="8">
        <v>0</v>
      </c>
      <c r="AB271" s="8">
        <v>0</v>
      </c>
      <c r="AC271" s="8">
        <v>0</v>
      </c>
    </row>
    <row r="272" spans="3:29" x14ac:dyDescent="0.25">
      <c r="C272" s="9" t="s">
        <v>357</v>
      </c>
      <c r="D272" s="8">
        <v>13</v>
      </c>
      <c r="E272" s="8">
        <v>4</v>
      </c>
      <c r="F272" s="8">
        <v>5</v>
      </c>
      <c r="G272" s="8">
        <v>716</v>
      </c>
      <c r="H272" s="8">
        <v>0</v>
      </c>
      <c r="I272" s="8">
        <v>0</v>
      </c>
      <c r="J272" s="8">
        <v>0</v>
      </c>
      <c r="K272" s="8">
        <v>0</v>
      </c>
      <c r="L272" s="8">
        <v>1</v>
      </c>
      <c r="M272" s="8">
        <v>0</v>
      </c>
      <c r="N272" s="8">
        <v>0</v>
      </c>
      <c r="O272" s="8">
        <v>1</v>
      </c>
      <c r="P272" s="8">
        <v>1</v>
      </c>
      <c r="Q272" s="8">
        <v>1</v>
      </c>
      <c r="R272" s="8">
        <v>0</v>
      </c>
      <c r="S272" s="8">
        <v>0</v>
      </c>
      <c r="T272" s="8">
        <v>0</v>
      </c>
      <c r="U272" s="8">
        <v>0</v>
      </c>
      <c r="V272" s="8">
        <v>1</v>
      </c>
      <c r="W272" s="8">
        <v>0</v>
      </c>
      <c r="X272" s="8">
        <v>0</v>
      </c>
      <c r="Y272" s="8">
        <v>0</v>
      </c>
      <c r="Z272" s="8">
        <v>0</v>
      </c>
      <c r="AA272" s="8">
        <v>0</v>
      </c>
      <c r="AB272" s="8">
        <v>0</v>
      </c>
      <c r="AC272" s="8">
        <v>1</v>
      </c>
    </row>
    <row r="273" spans="3:29" x14ac:dyDescent="0.25">
      <c r="C273" s="9" t="s">
        <v>358</v>
      </c>
      <c r="D273" s="8">
        <v>12</v>
      </c>
      <c r="E273" s="8">
        <v>4</v>
      </c>
      <c r="F273" s="8">
        <v>5</v>
      </c>
      <c r="G273" s="8">
        <v>787</v>
      </c>
      <c r="H273" s="8">
        <v>2</v>
      </c>
      <c r="I273" s="8">
        <v>0</v>
      </c>
      <c r="J273" s="8">
        <v>1</v>
      </c>
      <c r="K273" s="8">
        <v>0</v>
      </c>
      <c r="L273" s="8">
        <v>0</v>
      </c>
      <c r="M273" s="8">
        <v>0</v>
      </c>
      <c r="N273" s="8">
        <v>0</v>
      </c>
      <c r="O273" s="8">
        <v>1</v>
      </c>
      <c r="P273" s="8">
        <v>1</v>
      </c>
      <c r="Q273" s="8">
        <v>1</v>
      </c>
      <c r="R273" s="8">
        <v>0</v>
      </c>
      <c r="S273" s="8">
        <v>0</v>
      </c>
      <c r="T273" s="8">
        <v>0</v>
      </c>
      <c r="U273" s="8">
        <v>0</v>
      </c>
      <c r="V273" s="8">
        <v>1</v>
      </c>
      <c r="W273" s="8">
        <v>0</v>
      </c>
      <c r="X273" s="8">
        <v>1</v>
      </c>
      <c r="Y273" s="8">
        <v>0</v>
      </c>
      <c r="Z273" s="8">
        <v>0</v>
      </c>
      <c r="AA273" s="8">
        <v>0</v>
      </c>
      <c r="AB273" s="8">
        <v>0</v>
      </c>
      <c r="AC273" s="8">
        <v>0</v>
      </c>
    </row>
    <row r="274" spans="3:29" x14ac:dyDescent="0.25">
      <c r="C274" s="9" t="s">
        <v>359</v>
      </c>
      <c r="D274" s="8">
        <v>9</v>
      </c>
      <c r="E274" s="8">
        <v>8</v>
      </c>
      <c r="F274" s="8">
        <v>5</v>
      </c>
      <c r="G274" s="8">
        <v>716</v>
      </c>
      <c r="H274" s="8">
        <v>4</v>
      </c>
      <c r="I274" s="8">
        <v>1</v>
      </c>
      <c r="J274" s="8">
        <v>0</v>
      </c>
      <c r="K274" s="8">
        <v>0</v>
      </c>
      <c r="L274" s="8">
        <v>0</v>
      </c>
      <c r="M274" s="8">
        <v>0</v>
      </c>
      <c r="N274" s="8">
        <v>1</v>
      </c>
      <c r="O274" s="8">
        <v>0</v>
      </c>
      <c r="P274" s="8">
        <v>1</v>
      </c>
      <c r="Q274" s="8">
        <v>1</v>
      </c>
      <c r="R274" s="8">
        <v>0</v>
      </c>
      <c r="S274" s="8">
        <v>0</v>
      </c>
      <c r="T274" s="8">
        <v>0</v>
      </c>
      <c r="U274" s="8">
        <v>0</v>
      </c>
      <c r="V274" s="8">
        <v>1</v>
      </c>
      <c r="W274" s="8">
        <v>0</v>
      </c>
      <c r="X274" s="8">
        <v>0</v>
      </c>
      <c r="Y274" s="8">
        <v>0</v>
      </c>
      <c r="Z274" s="8">
        <v>1</v>
      </c>
      <c r="AA274" s="8">
        <v>0</v>
      </c>
      <c r="AB274" s="8">
        <v>0</v>
      </c>
      <c r="AC274" s="8">
        <v>0</v>
      </c>
    </row>
    <row r="275" spans="3:29" x14ac:dyDescent="0.25">
      <c r="C275" s="9" t="s">
        <v>360</v>
      </c>
      <c r="D275" s="8">
        <v>19</v>
      </c>
      <c r="E275" s="8">
        <v>7</v>
      </c>
      <c r="F275" s="8">
        <v>5</v>
      </c>
      <c r="G275" s="8">
        <v>4027</v>
      </c>
      <c r="H275" s="8">
        <v>5</v>
      </c>
      <c r="I275" s="8">
        <v>0</v>
      </c>
      <c r="J275" s="8">
        <v>0</v>
      </c>
      <c r="K275" s="8">
        <v>1</v>
      </c>
      <c r="L275" s="8">
        <v>0</v>
      </c>
      <c r="M275" s="8">
        <v>0</v>
      </c>
      <c r="N275" s="8">
        <v>0</v>
      </c>
      <c r="O275" s="8">
        <v>1</v>
      </c>
      <c r="P275" s="8">
        <v>0</v>
      </c>
      <c r="Q275" s="8">
        <v>0</v>
      </c>
      <c r="R275" s="8">
        <v>0</v>
      </c>
      <c r="S275" s="8">
        <v>1</v>
      </c>
      <c r="T275" s="8">
        <v>0</v>
      </c>
      <c r="U275" s="8">
        <v>0</v>
      </c>
      <c r="V275" s="8">
        <v>1</v>
      </c>
      <c r="W275" s="8">
        <v>0</v>
      </c>
      <c r="X275" s="8">
        <v>0</v>
      </c>
      <c r="Y275" s="8">
        <v>0</v>
      </c>
      <c r="Z275" s="8">
        <v>0</v>
      </c>
      <c r="AA275" s="8">
        <v>0</v>
      </c>
      <c r="AB275" s="8">
        <v>0</v>
      </c>
      <c r="AC275" s="8">
        <v>1</v>
      </c>
    </row>
    <row r="276" spans="3:29" x14ac:dyDescent="0.25">
      <c r="C276" s="9" t="s">
        <v>361</v>
      </c>
      <c r="D276" s="8">
        <v>19</v>
      </c>
      <c r="E276" s="8">
        <v>5</v>
      </c>
      <c r="F276" s="8">
        <v>5</v>
      </c>
      <c r="G276" s="8">
        <v>2700</v>
      </c>
      <c r="H276" s="8">
        <v>3</v>
      </c>
      <c r="I276" s="8">
        <v>0</v>
      </c>
      <c r="J276" s="8">
        <v>0</v>
      </c>
      <c r="K276" s="8">
        <v>1</v>
      </c>
      <c r="L276" s="8">
        <v>0</v>
      </c>
      <c r="M276" s="8">
        <v>0</v>
      </c>
      <c r="N276" s="8">
        <v>0</v>
      </c>
      <c r="O276" s="8">
        <v>1</v>
      </c>
      <c r="P276" s="8">
        <v>1</v>
      </c>
      <c r="Q276" s="8">
        <v>0</v>
      </c>
      <c r="R276" s="8">
        <v>0</v>
      </c>
      <c r="S276" s="8">
        <v>1</v>
      </c>
      <c r="T276" s="8">
        <v>0</v>
      </c>
      <c r="U276" s="8">
        <v>1</v>
      </c>
      <c r="V276" s="8">
        <v>0</v>
      </c>
      <c r="W276" s="8">
        <v>0</v>
      </c>
      <c r="X276" s="8">
        <v>1</v>
      </c>
      <c r="Y276" s="8">
        <v>0</v>
      </c>
      <c r="Z276" s="8">
        <v>0</v>
      </c>
      <c r="AA276" s="8">
        <v>0</v>
      </c>
      <c r="AB276" s="8">
        <v>0</v>
      </c>
      <c r="AC276" s="8">
        <v>0</v>
      </c>
    </row>
    <row r="277" spans="3:29" x14ac:dyDescent="0.25">
      <c r="C277" s="9" t="s">
        <v>468</v>
      </c>
      <c r="D277" s="8">
        <v>7</v>
      </c>
      <c r="E277" s="8">
        <v>5</v>
      </c>
      <c r="F277" s="8">
        <v>3</v>
      </c>
      <c r="G277" s="8">
        <v>2034</v>
      </c>
      <c r="H277" s="8">
        <v>7</v>
      </c>
      <c r="I277" s="8">
        <v>0</v>
      </c>
      <c r="J277" s="8">
        <v>0</v>
      </c>
      <c r="K277" s="8">
        <v>1</v>
      </c>
      <c r="L277" s="8">
        <v>0</v>
      </c>
      <c r="M277" s="8">
        <v>0</v>
      </c>
      <c r="N277" s="8">
        <v>1</v>
      </c>
      <c r="O277" s="8">
        <v>0</v>
      </c>
      <c r="P277" s="8">
        <v>0</v>
      </c>
      <c r="Q277" s="8">
        <v>0</v>
      </c>
      <c r="R277" s="8">
        <v>0</v>
      </c>
      <c r="S277" s="8">
        <v>1</v>
      </c>
      <c r="T277" s="8">
        <v>0</v>
      </c>
      <c r="U277" s="8">
        <v>1</v>
      </c>
      <c r="V277" s="8">
        <v>0</v>
      </c>
      <c r="W277" s="8">
        <v>0</v>
      </c>
      <c r="X277" s="8">
        <v>1</v>
      </c>
      <c r="Y277" s="8">
        <v>0</v>
      </c>
      <c r="Z277" s="8">
        <v>0</v>
      </c>
      <c r="AA277" s="8">
        <v>0</v>
      </c>
      <c r="AB277" s="8">
        <v>0</v>
      </c>
      <c r="AC277" s="8">
        <v>0</v>
      </c>
    </row>
    <row r="278" spans="3:29" x14ac:dyDescent="0.25">
      <c r="C278" s="9" t="s">
        <v>362</v>
      </c>
      <c r="D278" s="8">
        <v>6</v>
      </c>
      <c r="E278" s="8">
        <v>5</v>
      </c>
      <c r="F278" s="8">
        <v>4</v>
      </c>
      <c r="G278" s="8">
        <v>2884</v>
      </c>
      <c r="H278" s="8">
        <v>2</v>
      </c>
      <c r="I278" s="8">
        <v>0</v>
      </c>
      <c r="J278" s="8">
        <v>1</v>
      </c>
      <c r="K278" s="8">
        <v>0</v>
      </c>
      <c r="L278" s="8">
        <v>0</v>
      </c>
      <c r="M278" s="8">
        <v>0</v>
      </c>
      <c r="N278" s="8">
        <v>0</v>
      </c>
      <c r="O278" s="8">
        <v>1</v>
      </c>
      <c r="P278" s="8">
        <v>1</v>
      </c>
      <c r="Q278" s="8">
        <v>0</v>
      </c>
      <c r="R278" s="8">
        <v>1</v>
      </c>
      <c r="S278" s="8">
        <v>0</v>
      </c>
      <c r="T278" s="8">
        <v>0</v>
      </c>
      <c r="U278" s="8">
        <v>0</v>
      </c>
      <c r="V278" s="8">
        <v>1</v>
      </c>
      <c r="W278" s="8">
        <v>0</v>
      </c>
      <c r="X278" s="8">
        <v>0</v>
      </c>
      <c r="Y278" s="8">
        <v>0</v>
      </c>
      <c r="Z278" s="8">
        <v>0</v>
      </c>
      <c r="AA278" s="8">
        <v>0</v>
      </c>
      <c r="AB278" s="8">
        <v>1</v>
      </c>
      <c r="AC278" s="8">
        <v>0</v>
      </c>
    </row>
    <row r="279" spans="3:29" x14ac:dyDescent="0.25">
      <c r="C279" s="9" t="s">
        <v>363</v>
      </c>
      <c r="D279" s="8">
        <v>24</v>
      </c>
      <c r="E279" s="8">
        <v>3</v>
      </c>
      <c r="F279" s="8">
        <v>5</v>
      </c>
      <c r="G279" s="8">
        <v>2916</v>
      </c>
      <c r="H279" s="8">
        <v>0</v>
      </c>
      <c r="I279" s="8">
        <v>0</v>
      </c>
      <c r="J279" s="8">
        <v>0</v>
      </c>
      <c r="K279" s="8">
        <v>0</v>
      </c>
      <c r="L279" s="8">
        <v>1</v>
      </c>
      <c r="M279" s="8">
        <v>0</v>
      </c>
      <c r="N279" s="8">
        <v>0</v>
      </c>
      <c r="O279" s="8">
        <v>1</v>
      </c>
      <c r="P279" s="8">
        <v>0</v>
      </c>
      <c r="Q279" s="8">
        <v>0</v>
      </c>
      <c r="R279" s="8">
        <v>1</v>
      </c>
      <c r="S279" s="8">
        <v>0</v>
      </c>
      <c r="T279" s="8">
        <v>0</v>
      </c>
      <c r="U279" s="8">
        <v>0</v>
      </c>
      <c r="V279" s="8">
        <v>1</v>
      </c>
      <c r="W279" s="8">
        <v>0</v>
      </c>
      <c r="X279" s="8">
        <v>0</v>
      </c>
      <c r="Y279" s="8">
        <v>0</v>
      </c>
      <c r="Z279" s="8">
        <v>1</v>
      </c>
      <c r="AA279" s="8">
        <v>0</v>
      </c>
      <c r="AB279" s="8">
        <v>0</v>
      </c>
      <c r="AC279" s="8">
        <v>0</v>
      </c>
    </row>
    <row r="280" spans="3:29" x14ac:dyDescent="0.25">
      <c r="C280" s="9" t="s">
        <v>432</v>
      </c>
      <c r="D280" s="8">
        <v>6</v>
      </c>
      <c r="E280" s="8">
        <v>3</v>
      </c>
      <c r="F280" s="8">
        <v>5</v>
      </c>
      <c r="G280" s="8">
        <v>732</v>
      </c>
      <c r="H280" s="8">
        <v>0</v>
      </c>
      <c r="I280" s="8">
        <v>0</v>
      </c>
      <c r="J280" s="8">
        <v>0</v>
      </c>
      <c r="K280" s="8">
        <v>0</v>
      </c>
      <c r="L280" s="8">
        <v>1</v>
      </c>
      <c r="M280" s="8">
        <v>1</v>
      </c>
      <c r="N280" s="8">
        <v>0</v>
      </c>
      <c r="O280" s="8">
        <v>0</v>
      </c>
      <c r="P280" s="8">
        <v>0</v>
      </c>
      <c r="Q280" s="8">
        <v>1</v>
      </c>
      <c r="R280" s="8">
        <v>0</v>
      </c>
      <c r="S280" s="8">
        <v>0</v>
      </c>
      <c r="T280" s="8">
        <v>0</v>
      </c>
      <c r="U280" s="8">
        <v>0</v>
      </c>
      <c r="V280" s="8">
        <v>1</v>
      </c>
      <c r="W280" s="8">
        <v>0</v>
      </c>
      <c r="X280" s="8">
        <v>0</v>
      </c>
      <c r="Y280" s="8">
        <v>0</v>
      </c>
      <c r="Z280" s="8">
        <v>0</v>
      </c>
      <c r="AA280" s="8">
        <v>0</v>
      </c>
      <c r="AB280" s="8">
        <v>1</v>
      </c>
      <c r="AC280" s="8">
        <v>0</v>
      </c>
    </row>
    <row r="281" spans="3:29" x14ac:dyDescent="0.25">
      <c r="C281" s="9" t="s">
        <v>364</v>
      </c>
      <c r="D281" s="8">
        <v>11</v>
      </c>
      <c r="E281" s="8">
        <v>0</v>
      </c>
      <c r="F281" s="8">
        <v>5</v>
      </c>
      <c r="G281" s="8">
        <v>732</v>
      </c>
      <c r="H281" s="8">
        <v>0</v>
      </c>
      <c r="I281" s="8">
        <v>0</v>
      </c>
      <c r="J281" s="8">
        <v>1</v>
      </c>
      <c r="K281" s="8">
        <v>0</v>
      </c>
      <c r="L281" s="8">
        <v>0</v>
      </c>
      <c r="M281" s="8">
        <v>0</v>
      </c>
      <c r="N281" s="8">
        <v>1</v>
      </c>
      <c r="O281" s="8">
        <v>0</v>
      </c>
      <c r="P281" s="8">
        <v>0</v>
      </c>
      <c r="Q281" s="8">
        <v>1</v>
      </c>
      <c r="R281" s="8">
        <v>0</v>
      </c>
      <c r="S281" s="8">
        <v>0</v>
      </c>
      <c r="T281" s="8">
        <v>1</v>
      </c>
      <c r="U281" s="8">
        <v>0</v>
      </c>
      <c r="V281" s="8">
        <v>0</v>
      </c>
      <c r="W281" s="8">
        <v>0</v>
      </c>
      <c r="X281" s="8">
        <v>0</v>
      </c>
      <c r="Y281" s="8">
        <v>0</v>
      </c>
      <c r="Z281" s="8">
        <v>0</v>
      </c>
      <c r="AA281" s="8">
        <v>1</v>
      </c>
      <c r="AB281" s="8">
        <v>0</v>
      </c>
      <c r="AC281" s="8">
        <v>0</v>
      </c>
    </row>
    <row r="282" spans="3:29" x14ac:dyDescent="0.25">
      <c r="C282" s="9" t="s">
        <v>411</v>
      </c>
      <c r="D282" s="8">
        <v>10</v>
      </c>
      <c r="E282" s="8">
        <v>0</v>
      </c>
      <c r="F282" s="8">
        <v>4</v>
      </c>
      <c r="G282" s="8">
        <v>2884</v>
      </c>
      <c r="H282" s="8">
        <v>3</v>
      </c>
      <c r="I282" s="8">
        <v>0</v>
      </c>
      <c r="J282" s="8">
        <v>0</v>
      </c>
      <c r="K282" s="8">
        <v>1</v>
      </c>
      <c r="L282" s="8">
        <v>0</v>
      </c>
      <c r="M282" s="8">
        <v>1</v>
      </c>
      <c r="N282" s="8">
        <v>0</v>
      </c>
      <c r="O282" s="8">
        <v>0</v>
      </c>
      <c r="P282" s="8">
        <v>1</v>
      </c>
      <c r="Q282" s="8">
        <v>0</v>
      </c>
      <c r="R282" s="8">
        <v>1</v>
      </c>
      <c r="S282" s="8">
        <v>0</v>
      </c>
      <c r="T282" s="8">
        <v>0</v>
      </c>
      <c r="U282" s="8">
        <v>1</v>
      </c>
      <c r="V282" s="8">
        <v>0</v>
      </c>
      <c r="W282" s="8">
        <v>0</v>
      </c>
      <c r="X282" s="8">
        <v>0</v>
      </c>
      <c r="Y282" s="8">
        <v>0</v>
      </c>
      <c r="Z282" s="8">
        <v>1</v>
      </c>
      <c r="AA282" s="8">
        <v>0</v>
      </c>
      <c r="AB282" s="8">
        <v>0</v>
      </c>
      <c r="AC282" s="8">
        <v>0</v>
      </c>
    </row>
    <row r="283" spans="3:29" x14ac:dyDescent="0.25">
      <c r="C283" s="9" t="s">
        <v>437</v>
      </c>
      <c r="D283" s="8">
        <v>5</v>
      </c>
      <c r="E283" s="8">
        <v>0</v>
      </c>
      <c r="F283" s="8">
        <v>5</v>
      </c>
      <c r="G283" s="8">
        <v>3933</v>
      </c>
      <c r="H283" s="8">
        <v>0</v>
      </c>
      <c r="I283" s="8">
        <v>0</v>
      </c>
      <c r="J283" s="8">
        <v>1</v>
      </c>
      <c r="K283" s="8">
        <v>0</v>
      </c>
      <c r="L283" s="8">
        <v>0</v>
      </c>
      <c r="M283" s="8">
        <v>0</v>
      </c>
      <c r="N283" s="8">
        <v>1</v>
      </c>
      <c r="O283" s="8">
        <v>0</v>
      </c>
      <c r="P283" s="8">
        <v>0</v>
      </c>
      <c r="Q283" s="8">
        <v>0</v>
      </c>
      <c r="R283" s="8">
        <v>0</v>
      </c>
      <c r="S283" s="8">
        <v>1</v>
      </c>
      <c r="T283" s="8">
        <v>0</v>
      </c>
      <c r="U283" s="8">
        <v>1</v>
      </c>
      <c r="V283" s="8">
        <v>0</v>
      </c>
      <c r="W283" s="8">
        <v>0</v>
      </c>
      <c r="X283" s="8">
        <v>0</v>
      </c>
      <c r="Y283" s="8">
        <v>0</v>
      </c>
      <c r="Z283" s="8">
        <v>0</v>
      </c>
      <c r="AA283" s="8">
        <v>0</v>
      </c>
      <c r="AB283" s="8">
        <v>0</v>
      </c>
      <c r="AC283" s="8">
        <v>1</v>
      </c>
    </row>
    <row r="284" spans="3:29" x14ac:dyDescent="0.25">
      <c r="C284" s="9" t="s">
        <v>365</v>
      </c>
      <c r="D284" s="8">
        <v>14</v>
      </c>
      <c r="E284" s="8">
        <v>8</v>
      </c>
      <c r="F284" s="8">
        <v>5</v>
      </c>
      <c r="G284" s="8">
        <v>3348</v>
      </c>
      <c r="H284" s="8">
        <v>1</v>
      </c>
      <c r="I284" s="8">
        <v>0</v>
      </c>
      <c r="J284" s="8">
        <v>1</v>
      </c>
      <c r="K284" s="8">
        <v>0</v>
      </c>
      <c r="L284" s="8">
        <v>0</v>
      </c>
      <c r="M284" s="8">
        <v>0</v>
      </c>
      <c r="N284" s="8">
        <v>0</v>
      </c>
      <c r="O284" s="8">
        <v>1</v>
      </c>
      <c r="P284" s="8">
        <v>0</v>
      </c>
      <c r="Q284" s="8">
        <v>0</v>
      </c>
      <c r="R284" s="8">
        <v>0</v>
      </c>
      <c r="S284" s="8">
        <v>1</v>
      </c>
      <c r="T284" s="8">
        <v>0</v>
      </c>
      <c r="U284" s="8">
        <v>0</v>
      </c>
      <c r="V284" s="8">
        <v>1</v>
      </c>
      <c r="W284" s="8">
        <v>0</v>
      </c>
      <c r="X284" s="8">
        <v>1</v>
      </c>
      <c r="Y284" s="8">
        <v>0</v>
      </c>
      <c r="Z284" s="8">
        <v>0</v>
      </c>
      <c r="AA284" s="8">
        <v>0</v>
      </c>
      <c r="AB284" s="8">
        <v>0</v>
      </c>
      <c r="AC284" s="8">
        <v>0</v>
      </c>
    </row>
    <row r="285" spans="3:29" x14ac:dyDescent="0.25">
      <c r="C285" s="9" t="s">
        <v>366</v>
      </c>
      <c r="D285" s="8">
        <v>9</v>
      </c>
      <c r="E285" s="8">
        <v>7</v>
      </c>
      <c r="F285" s="8">
        <v>5</v>
      </c>
      <c r="G285" s="8">
        <v>315</v>
      </c>
      <c r="H285" s="8">
        <v>2</v>
      </c>
      <c r="I285" s="8">
        <v>0</v>
      </c>
      <c r="J285" s="8">
        <v>0</v>
      </c>
      <c r="K285" s="8">
        <v>1</v>
      </c>
      <c r="L285" s="8">
        <v>0</v>
      </c>
      <c r="M285" s="8">
        <v>0</v>
      </c>
      <c r="N285" s="8">
        <v>0</v>
      </c>
      <c r="O285" s="8">
        <v>1</v>
      </c>
      <c r="P285" s="8">
        <v>0</v>
      </c>
      <c r="Q285" s="8">
        <v>1</v>
      </c>
      <c r="R285" s="8">
        <v>0</v>
      </c>
      <c r="S285" s="8">
        <v>0</v>
      </c>
      <c r="T285" s="8">
        <v>0</v>
      </c>
      <c r="U285" s="8">
        <v>0</v>
      </c>
      <c r="V285" s="8">
        <v>1</v>
      </c>
      <c r="W285" s="8">
        <v>0</v>
      </c>
      <c r="X285" s="8">
        <v>0</v>
      </c>
      <c r="Y285" s="8">
        <v>0</v>
      </c>
      <c r="Z285" s="8">
        <v>0</v>
      </c>
      <c r="AA285" s="8">
        <v>0</v>
      </c>
      <c r="AB285" s="8">
        <v>1</v>
      </c>
      <c r="AC285" s="8">
        <v>0</v>
      </c>
    </row>
    <row r="286" spans="3:29" x14ac:dyDescent="0.25">
      <c r="C286" s="9" t="s">
        <v>367</v>
      </c>
      <c r="D286" s="8">
        <v>10</v>
      </c>
      <c r="E286" s="8">
        <v>5</v>
      </c>
      <c r="F286" s="8">
        <v>4</v>
      </c>
      <c r="G286" s="8">
        <v>3003</v>
      </c>
      <c r="H286" s="8">
        <v>1</v>
      </c>
      <c r="I286" s="8">
        <v>0</v>
      </c>
      <c r="J286" s="8">
        <v>1</v>
      </c>
      <c r="K286" s="8">
        <v>0</v>
      </c>
      <c r="L286" s="8">
        <v>0</v>
      </c>
      <c r="M286" s="8">
        <v>0</v>
      </c>
      <c r="N286" s="8">
        <v>1</v>
      </c>
      <c r="O286" s="8">
        <v>0</v>
      </c>
      <c r="P286" s="8">
        <v>0</v>
      </c>
      <c r="Q286" s="8">
        <v>0</v>
      </c>
      <c r="R286" s="8">
        <v>1</v>
      </c>
      <c r="S286" s="8">
        <v>0</v>
      </c>
      <c r="T286" s="8">
        <v>0</v>
      </c>
      <c r="U286" s="8">
        <v>1</v>
      </c>
      <c r="V286" s="8">
        <v>0</v>
      </c>
      <c r="W286" s="8">
        <v>1</v>
      </c>
      <c r="X286" s="8">
        <v>0</v>
      </c>
      <c r="Y286" s="8">
        <v>0</v>
      </c>
      <c r="Z286" s="8">
        <v>0</v>
      </c>
      <c r="AA286" s="8">
        <v>0</v>
      </c>
      <c r="AB286" s="8">
        <v>0</v>
      </c>
      <c r="AC286" s="8">
        <v>0</v>
      </c>
    </row>
    <row r="287" spans="3:29" x14ac:dyDescent="0.25">
      <c r="C287" s="9" t="s">
        <v>368</v>
      </c>
      <c r="D287" s="8">
        <v>9</v>
      </c>
      <c r="E287" s="8">
        <v>5</v>
      </c>
      <c r="F287" s="8">
        <v>5</v>
      </c>
      <c r="G287" s="8">
        <v>2916</v>
      </c>
      <c r="H287" s="8">
        <v>6</v>
      </c>
      <c r="I287" s="8">
        <v>0</v>
      </c>
      <c r="J287" s="8">
        <v>0</v>
      </c>
      <c r="K287" s="8">
        <v>1</v>
      </c>
      <c r="L287" s="8">
        <v>0</v>
      </c>
      <c r="M287" s="8">
        <v>1</v>
      </c>
      <c r="N287" s="8">
        <v>0</v>
      </c>
      <c r="O287" s="8">
        <v>0</v>
      </c>
      <c r="P287" s="8">
        <v>0</v>
      </c>
      <c r="Q287" s="8">
        <v>0</v>
      </c>
      <c r="R287" s="8">
        <v>1</v>
      </c>
      <c r="S287" s="8">
        <v>0</v>
      </c>
      <c r="T287" s="8">
        <v>0</v>
      </c>
      <c r="U287" s="8">
        <v>0</v>
      </c>
      <c r="V287" s="8">
        <v>1</v>
      </c>
      <c r="W287" s="8">
        <v>0</v>
      </c>
      <c r="X287" s="8">
        <v>0</v>
      </c>
      <c r="Y287" s="8">
        <v>0</v>
      </c>
      <c r="Z287" s="8">
        <v>0</v>
      </c>
      <c r="AA287" s="8">
        <v>1</v>
      </c>
      <c r="AB287" s="8">
        <v>0</v>
      </c>
      <c r="AC287" s="8">
        <v>0</v>
      </c>
    </row>
    <row r="288" spans="3:29" x14ac:dyDescent="0.25">
      <c r="C288" s="9" t="s">
        <v>369</v>
      </c>
      <c r="D288" s="8">
        <v>5</v>
      </c>
      <c r="E288" s="8">
        <v>5</v>
      </c>
      <c r="F288" s="8">
        <v>5</v>
      </c>
      <c r="G288" s="8">
        <v>3348</v>
      </c>
      <c r="H288" s="8">
        <v>3</v>
      </c>
      <c r="I288" s="8">
        <v>0</v>
      </c>
      <c r="J288" s="8">
        <v>0</v>
      </c>
      <c r="K288" s="8">
        <v>1</v>
      </c>
      <c r="L288" s="8">
        <v>0</v>
      </c>
      <c r="M288" s="8">
        <v>0</v>
      </c>
      <c r="N288" s="8">
        <v>0</v>
      </c>
      <c r="O288" s="8">
        <v>1</v>
      </c>
      <c r="P288" s="8">
        <v>0</v>
      </c>
      <c r="Q288" s="8">
        <v>0</v>
      </c>
      <c r="R288" s="8">
        <v>0</v>
      </c>
      <c r="S288" s="8">
        <v>1</v>
      </c>
      <c r="T288" s="8">
        <v>0</v>
      </c>
      <c r="U288" s="8">
        <v>0</v>
      </c>
      <c r="V288" s="8">
        <v>1</v>
      </c>
      <c r="W288" s="8">
        <v>0</v>
      </c>
      <c r="X288" s="8">
        <v>0</v>
      </c>
      <c r="Y288" s="8">
        <v>0</v>
      </c>
      <c r="Z288" s="8">
        <v>0</v>
      </c>
      <c r="AA288" s="8">
        <v>1</v>
      </c>
      <c r="AB288" s="8">
        <v>0</v>
      </c>
      <c r="AC288" s="8">
        <v>0</v>
      </c>
    </row>
    <row r="289" spans="3:29" x14ac:dyDescent="0.25">
      <c r="C289" s="9" t="s">
        <v>370</v>
      </c>
      <c r="D289" s="8">
        <v>17</v>
      </c>
      <c r="E289" s="8">
        <v>4</v>
      </c>
      <c r="F289" s="8">
        <v>4</v>
      </c>
      <c r="G289" s="8">
        <v>315</v>
      </c>
      <c r="H289" s="8">
        <v>0</v>
      </c>
      <c r="I289" s="8">
        <v>0</v>
      </c>
      <c r="J289" s="8">
        <v>1</v>
      </c>
      <c r="K289" s="8">
        <v>0</v>
      </c>
      <c r="L289" s="8">
        <v>0</v>
      </c>
      <c r="M289" s="8">
        <v>0</v>
      </c>
      <c r="N289" s="8">
        <v>1</v>
      </c>
      <c r="O289" s="8">
        <v>0</v>
      </c>
      <c r="P289" s="8">
        <v>0</v>
      </c>
      <c r="Q289" s="8">
        <v>1</v>
      </c>
      <c r="R289" s="8">
        <v>0</v>
      </c>
      <c r="S289" s="8">
        <v>0</v>
      </c>
      <c r="T289" s="8">
        <v>0</v>
      </c>
      <c r="U289" s="8">
        <v>0</v>
      </c>
      <c r="V289" s="8">
        <v>1</v>
      </c>
      <c r="W289" s="8">
        <v>0</v>
      </c>
      <c r="X289" s="8">
        <v>0</v>
      </c>
      <c r="Y289" s="8">
        <v>0</v>
      </c>
      <c r="Z289" s="8">
        <v>1</v>
      </c>
      <c r="AA289" s="8">
        <v>0</v>
      </c>
      <c r="AB289" s="8">
        <v>0</v>
      </c>
      <c r="AC289" s="8">
        <v>0</v>
      </c>
    </row>
    <row r="290" spans="3:29" x14ac:dyDescent="0.25">
      <c r="C290" s="9" t="s">
        <v>371</v>
      </c>
      <c r="D290" s="8">
        <v>7</v>
      </c>
      <c r="E290" s="8">
        <v>4</v>
      </c>
      <c r="F290" s="8">
        <v>5</v>
      </c>
      <c r="G290" s="8">
        <v>1228</v>
      </c>
      <c r="H290" s="8">
        <v>1</v>
      </c>
      <c r="I290" s="8">
        <v>1</v>
      </c>
      <c r="J290" s="8">
        <v>0</v>
      </c>
      <c r="K290" s="8">
        <v>0</v>
      </c>
      <c r="L290" s="8">
        <v>0</v>
      </c>
      <c r="M290" s="8">
        <v>0</v>
      </c>
      <c r="N290" s="8">
        <v>0</v>
      </c>
      <c r="O290" s="8">
        <v>1</v>
      </c>
      <c r="P290" s="8">
        <v>0</v>
      </c>
      <c r="Q290" s="8">
        <v>1</v>
      </c>
      <c r="R290" s="8">
        <v>0</v>
      </c>
      <c r="S290" s="8">
        <v>0</v>
      </c>
      <c r="T290" s="8">
        <v>0</v>
      </c>
      <c r="U290" s="8">
        <v>0</v>
      </c>
      <c r="V290" s="8">
        <v>1</v>
      </c>
      <c r="W290" s="8">
        <v>1</v>
      </c>
      <c r="X290" s="8">
        <v>0</v>
      </c>
      <c r="Y290" s="8">
        <v>0</v>
      </c>
      <c r="Z290" s="8">
        <v>0</v>
      </c>
      <c r="AA290" s="8">
        <v>0</v>
      </c>
      <c r="AB290" s="8">
        <v>0</v>
      </c>
      <c r="AC290" s="8">
        <v>0</v>
      </c>
    </row>
    <row r="291" spans="3:29" x14ac:dyDescent="0.25">
      <c r="C291" s="9" t="s">
        <v>433</v>
      </c>
      <c r="D291" s="8">
        <v>6</v>
      </c>
      <c r="E291" s="8">
        <v>4</v>
      </c>
      <c r="F291" s="8">
        <v>5</v>
      </c>
      <c r="G291" s="8">
        <v>3025</v>
      </c>
      <c r="H291" s="8">
        <v>7</v>
      </c>
      <c r="I291" s="8">
        <v>1</v>
      </c>
      <c r="J291" s="8">
        <v>0</v>
      </c>
      <c r="K291" s="8">
        <v>0</v>
      </c>
      <c r="L291" s="8">
        <v>0</v>
      </c>
      <c r="M291" s="8">
        <v>0</v>
      </c>
      <c r="N291" s="8">
        <v>0</v>
      </c>
      <c r="O291" s="8">
        <v>1</v>
      </c>
      <c r="P291" s="8">
        <v>0</v>
      </c>
      <c r="Q291" s="8">
        <v>0</v>
      </c>
      <c r="R291" s="8">
        <v>0</v>
      </c>
      <c r="S291" s="8">
        <v>1</v>
      </c>
      <c r="T291" s="8">
        <v>0</v>
      </c>
      <c r="U291" s="8">
        <v>0</v>
      </c>
      <c r="V291" s="8">
        <v>1</v>
      </c>
      <c r="W291" s="8">
        <v>0</v>
      </c>
      <c r="X291" s="8">
        <v>0</v>
      </c>
      <c r="Y291" s="8">
        <v>0</v>
      </c>
      <c r="Z291" s="8">
        <v>0</v>
      </c>
      <c r="AA291" s="8">
        <v>1</v>
      </c>
      <c r="AB291" s="8">
        <v>0</v>
      </c>
      <c r="AC291" s="8">
        <v>0</v>
      </c>
    </row>
    <row r="292" spans="3:29" x14ac:dyDescent="0.25">
      <c r="C292" s="9" t="s">
        <v>372</v>
      </c>
      <c r="D292" s="8">
        <v>15</v>
      </c>
      <c r="E292" s="8">
        <v>3</v>
      </c>
      <c r="F292" s="8">
        <v>3</v>
      </c>
      <c r="G292" s="8">
        <v>826</v>
      </c>
      <c r="H292" s="8">
        <v>7</v>
      </c>
      <c r="I292" s="8">
        <v>1</v>
      </c>
      <c r="J292" s="8">
        <v>0</v>
      </c>
      <c r="K292" s="8">
        <v>0</v>
      </c>
      <c r="L292" s="8">
        <v>0</v>
      </c>
      <c r="M292" s="8">
        <v>0</v>
      </c>
      <c r="N292" s="8">
        <v>1</v>
      </c>
      <c r="O292" s="8">
        <v>0</v>
      </c>
      <c r="P292" s="8">
        <v>0</v>
      </c>
      <c r="Q292" s="8">
        <v>0</v>
      </c>
      <c r="R292" s="8">
        <v>1</v>
      </c>
      <c r="S292" s="8">
        <v>0</v>
      </c>
      <c r="T292" s="8">
        <v>0</v>
      </c>
      <c r="U292" s="8">
        <v>0</v>
      </c>
      <c r="V292" s="8">
        <v>1</v>
      </c>
      <c r="W292" s="8">
        <v>0</v>
      </c>
      <c r="X292" s="8">
        <v>0</v>
      </c>
      <c r="Y292" s="8">
        <v>0</v>
      </c>
      <c r="Z292" s="8">
        <v>0</v>
      </c>
      <c r="AA292" s="8">
        <v>0</v>
      </c>
      <c r="AB292" s="8">
        <v>1</v>
      </c>
      <c r="AC292" s="8">
        <v>0</v>
      </c>
    </row>
    <row r="293" spans="3:29" x14ac:dyDescent="0.25">
      <c r="C293" s="9" t="s">
        <v>373</v>
      </c>
      <c r="D293" s="8">
        <v>4</v>
      </c>
      <c r="E293" s="8">
        <v>3</v>
      </c>
      <c r="F293" s="8">
        <v>5</v>
      </c>
      <c r="G293" s="8">
        <v>3348</v>
      </c>
      <c r="H293" s="8">
        <v>3</v>
      </c>
      <c r="I293" s="8">
        <v>0</v>
      </c>
      <c r="J293" s="8">
        <v>0</v>
      </c>
      <c r="K293" s="8">
        <v>0</v>
      </c>
      <c r="L293" s="8">
        <v>1</v>
      </c>
      <c r="M293" s="8">
        <v>0</v>
      </c>
      <c r="N293" s="8">
        <v>0</v>
      </c>
      <c r="O293" s="8">
        <v>1</v>
      </c>
      <c r="P293" s="8">
        <v>0</v>
      </c>
      <c r="Q293" s="8">
        <v>0</v>
      </c>
      <c r="R293" s="8">
        <v>0</v>
      </c>
      <c r="S293" s="8">
        <v>1</v>
      </c>
      <c r="T293" s="8">
        <v>0</v>
      </c>
      <c r="U293" s="8">
        <v>0</v>
      </c>
      <c r="V293" s="8">
        <v>1</v>
      </c>
      <c r="W293" s="8">
        <v>0</v>
      </c>
      <c r="X293" s="8">
        <v>1</v>
      </c>
      <c r="Y293" s="8">
        <v>0</v>
      </c>
      <c r="Z293" s="8">
        <v>0</v>
      </c>
      <c r="AA293" s="8">
        <v>0</v>
      </c>
      <c r="AB293" s="8">
        <v>0</v>
      </c>
      <c r="AC293" s="8">
        <v>0</v>
      </c>
    </row>
    <row r="294" spans="3:29" x14ac:dyDescent="0.25">
      <c r="C294" s="9" t="s">
        <v>374</v>
      </c>
      <c r="D294" s="8">
        <v>2</v>
      </c>
      <c r="E294" s="8">
        <v>1</v>
      </c>
      <c r="F294" s="8">
        <v>4</v>
      </c>
      <c r="G294" s="8">
        <v>3773</v>
      </c>
      <c r="H294" s="8">
        <v>0</v>
      </c>
      <c r="I294" s="8">
        <v>0</v>
      </c>
      <c r="J294" s="8">
        <v>0</v>
      </c>
      <c r="K294" s="8">
        <v>1</v>
      </c>
      <c r="L294" s="8">
        <v>0</v>
      </c>
      <c r="M294" s="8">
        <v>0</v>
      </c>
      <c r="N294" s="8">
        <v>1</v>
      </c>
      <c r="O294" s="8">
        <v>0</v>
      </c>
      <c r="P294" s="8">
        <v>0</v>
      </c>
      <c r="Q294" s="8">
        <v>1</v>
      </c>
      <c r="R294" s="8">
        <v>0</v>
      </c>
      <c r="S294" s="8">
        <v>0</v>
      </c>
      <c r="T294" s="8">
        <v>0</v>
      </c>
      <c r="U294" s="8">
        <v>0</v>
      </c>
      <c r="V294" s="8">
        <v>1</v>
      </c>
      <c r="W294" s="8">
        <v>0</v>
      </c>
      <c r="X294" s="8">
        <v>0</v>
      </c>
      <c r="Y294" s="8">
        <v>0</v>
      </c>
      <c r="Z294" s="8">
        <v>0</v>
      </c>
      <c r="AA294" s="8">
        <v>0</v>
      </c>
      <c r="AB294" s="8">
        <v>1</v>
      </c>
      <c r="AC294" s="8">
        <v>0</v>
      </c>
    </row>
    <row r="295" spans="3:29" x14ac:dyDescent="0.25">
      <c r="C295" s="9" t="s">
        <v>460</v>
      </c>
      <c r="D295" s="8">
        <v>6</v>
      </c>
      <c r="E295" s="8">
        <v>0</v>
      </c>
      <c r="F295" s="8">
        <v>4</v>
      </c>
      <c r="G295" s="8">
        <v>3981</v>
      </c>
      <c r="H295" s="8">
        <v>1</v>
      </c>
      <c r="I295" s="8">
        <v>0</v>
      </c>
      <c r="J295" s="8">
        <v>0</v>
      </c>
      <c r="K295" s="8">
        <v>0</v>
      </c>
      <c r="L295" s="8">
        <v>1</v>
      </c>
      <c r="M295" s="8">
        <v>1</v>
      </c>
      <c r="N295" s="8">
        <v>0</v>
      </c>
      <c r="O295" s="8">
        <v>0</v>
      </c>
      <c r="P295" s="8">
        <v>0</v>
      </c>
      <c r="Q295" s="8">
        <v>1</v>
      </c>
      <c r="R295" s="8">
        <v>0</v>
      </c>
      <c r="S295" s="8">
        <v>0</v>
      </c>
      <c r="T295" s="8">
        <v>0</v>
      </c>
      <c r="U295" s="8">
        <v>1</v>
      </c>
      <c r="V295" s="8">
        <v>0</v>
      </c>
      <c r="W295" s="8">
        <v>0</v>
      </c>
      <c r="X295" s="8">
        <v>0</v>
      </c>
      <c r="Y295" s="8">
        <v>0</v>
      </c>
      <c r="Z295" s="8">
        <v>1</v>
      </c>
      <c r="AA295" s="8">
        <v>0</v>
      </c>
      <c r="AB295" s="8">
        <v>0</v>
      </c>
      <c r="AC295" s="8">
        <v>0</v>
      </c>
    </row>
    <row r="296" spans="3:29" x14ac:dyDescent="0.25">
      <c r="C296" s="9" t="s">
        <v>375</v>
      </c>
      <c r="D296" s="8">
        <v>4</v>
      </c>
      <c r="E296" s="8">
        <v>0</v>
      </c>
      <c r="F296" s="8">
        <v>5</v>
      </c>
      <c r="G296" s="8">
        <v>3025</v>
      </c>
      <c r="H296" s="8">
        <v>9</v>
      </c>
      <c r="I296" s="8">
        <v>1</v>
      </c>
      <c r="J296" s="8">
        <v>0</v>
      </c>
      <c r="K296" s="8">
        <v>0</v>
      </c>
      <c r="L296" s="8">
        <v>0</v>
      </c>
      <c r="M296" s="8">
        <v>0</v>
      </c>
      <c r="N296" s="8">
        <v>0</v>
      </c>
      <c r="O296" s="8">
        <v>1</v>
      </c>
      <c r="P296" s="8">
        <v>0</v>
      </c>
      <c r="Q296" s="8">
        <v>0</v>
      </c>
      <c r="R296" s="8">
        <v>0</v>
      </c>
      <c r="S296" s="8">
        <v>1</v>
      </c>
      <c r="T296" s="8">
        <v>0</v>
      </c>
      <c r="U296" s="8">
        <v>0</v>
      </c>
      <c r="V296" s="8">
        <v>1</v>
      </c>
      <c r="W296" s="8">
        <v>1</v>
      </c>
      <c r="X296" s="8">
        <v>0</v>
      </c>
      <c r="Y296" s="8">
        <v>0</v>
      </c>
      <c r="Z296" s="8">
        <v>0</v>
      </c>
      <c r="AA296" s="8">
        <v>0</v>
      </c>
      <c r="AB296" s="8">
        <v>0</v>
      </c>
      <c r="AC296" s="8">
        <v>0</v>
      </c>
    </row>
    <row r="297" spans="3:29" x14ac:dyDescent="0.25">
      <c r="C297" s="9" t="s">
        <v>376</v>
      </c>
      <c r="D297" s="8">
        <v>35</v>
      </c>
      <c r="E297" s="8">
        <v>12</v>
      </c>
      <c r="F297" s="8">
        <v>5</v>
      </c>
      <c r="G297" s="8">
        <v>2034</v>
      </c>
      <c r="H297" s="8">
        <v>2</v>
      </c>
      <c r="I297" s="8">
        <v>0</v>
      </c>
      <c r="J297" s="8">
        <v>0</v>
      </c>
      <c r="K297" s="8">
        <v>1</v>
      </c>
      <c r="L297" s="8">
        <v>0</v>
      </c>
      <c r="M297" s="8">
        <v>1</v>
      </c>
      <c r="N297" s="8">
        <v>0</v>
      </c>
      <c r="O297" s="8">
        <v>0</v>
      </c>
      <c r="P297" s="8">
        <v>0</v>
      </c>
      <c r="Q297" s="8">
        <v>0</v>
      </c>
      <c r="R297" s="8">
        <v>0</v>
      </c>
      <c r="S297" s="8">
        <v>1</v>
      </c>
      <c r="T297" s="8">
        <v>0</v>
      </c>
      <c r="U297" s="8">
        <v>0</v>
      </c>
      <c r="V297" s="8">
        <v>1</v>
      </c>
      <c r="W297" s="8">
        <v>1</v>
      </c>
      <c r="X297" s="8">
        <v>0</v>
      </c>
      <c r="Y297" s="8">
        <v>0</v>
      </c>
      <c r="Z297" s="8">
        <v>0</v>
      </c>
      <c r="AA297" s="8">
        <v>0</v>
      </c>
      <c r="AB297" s="8">
        <v>0</v>
      </c>
      <c r="AC297" s="8">
        <v>0</v>
      </c>
    </row>
    <row r="298" spans="3:29" x14ac:dyDescent="0.25">
      <c r="C298" s="9" t="s">
        <v>377</v>
      </c>
      <c r="D298" s="8">
        <v>15</v>
      </c>
      <c r="E298" s="8">
        <v>9</v>
      </c>
      <c r="F298" s="8">
        <v>5</v>
      </c>
      <c r="G298" s="8">
        <v>2700</v>
      </c>
      <c r="H298" s="8">
        <v>2</v>
      </c>
      <c r="I298" s="8">
        <v>0</v>
      </c>
      <c r="J298" s="8">
        <v>0</v>
      </c>
      <c r="K298" s="8">
        <v>0</v>
      </c>
      <c r="L298" s="8">
        <v>1</v>
      </c>
      <c r="M298" s="8">
        <v>1</v>
      </c>
      <c r="N298" s="8">
        <v>0</v>
      </c>
      <c r="O298" s="8">
        <v>0</v>
      </c>
      <c r="P298" s="8">
        <v>1</v>
      </c>
      <c r="Q298" s="8">
        <v>0</v>
      </c>
      <c r="R298" s="8">
        <v>0</v>
      </c>
      <c r="S298" s="8">
        <v>1</v>
      </c>
      <c r="T298" s="8">
        <v>0</v>
      </c>
      <c r="U298" s="8">
        <v>0</v>
      </c>
      <c r="V298" s="8">
        <v>1</v>
      </c>
      <c r="W298" s="8">
        <v>0</v>
      </c>
      <c r="X298" s="8">
        <v>1</v>
      </c>
      <c r="Y298" s="8">
        <v>0</v>
      </c>
      <c r="Z298" s="8">
        <v>0</v>
      </c>
      <c r="AA298" s="8">
        <v>0</v>
      </c>
      <c r="AB298" s="8">
        <v>0</v>
      </c>
      <c r="AC298" s="8">
        <v>0</v>
      </c>
    </row>
    <row r="299" spans="3:29" x14ac:dyDescent="0.25">
      <c r="C299" s="9" t="s">
        <v>378</v>
      </c>
      <c r="D299" s="8">
        <v>12</v>
      </c>
      <c r="E299" s="8">
        <v>8</v>
      </c>
      <c r="F299" s="8">
        <v>4</v>
      </c>
      <c r="G299" s="8">
        <v>2884</v>
      </c>
      <c r="H299" s="8">
        <v>2</v>
      </c>
      <c r="I299" s="8">
        <v>0</v>
      </c>
      <c r="J299" s="8">
        <v>0</v>
      </c>
      <c r="K299" s="8">
        <v>1</v>
      </c>
      <c r="L299" s="8">
        <v>0</v>
      </c>
      <c r="M299" s="8">
        <v>1</v>
      </c>
      <c r="N299" s="8">
        <v>0</v>
      </c>
      <c r="O299" s="8">
        <v>0</v>
      </c>
      <c r="P299" s="8">
        <v>1</v>
      </c>
      <c r="Q299" s="8">
        <v>0</v>
      </c>
      <c r="R299" s="8">
        <v>1</v>
      </c>
      <c r="S299" s="8">
        <v>0</v>
      </c>
      <c r="T299" s="8">
        <v>0</v>
      </c>
      <c r="U299" s="8">
        <v>0</v>
      </c>
      <c r="V299" s="8">
        <v>1</v>
      </c>
      <c r="W299" s="8">
        <v>0</v>
      </c>
      <c r="X299" s="8">
        <v>0</v>
      </c>
      <c r="Y299" s="8">
        <v>1</v>
      </c>
      <c r="Z299" s="8">
        <v>0</v>
      </c>
      <c r="AA299" s="8">
        <v>0</v>
      </c>
      <c r="AB299" s="8">
        <v>0</v>
      </c>
      <c r="AC299" s="8">
        <v>0</v>
      </c>
    </row>
    <row r="300" spans="3:29" x14ac:dyDescent="0.25">
      <c r="C300" s="9" t="s">
        <v>379</v>
      </c>
      <c r="D300" s="8">
        <v>8</v>
      </c>
      <c r="E300" s="8">
        <v>7</v>
      </c>
      <c r="F300" s="8">
        <v>5</v>
      </c>
      <c r="G300" s="8">
        <v>1467</v>
      </c>
      <c r="H300" s="8">
        <v>1</v>
      </c>
      <c r="I300" s="8">
        <v>0</v>
      </c>
      <c r="J300" s="8">
        <v>1</v>
      </c>
      <c r="K300" s="8">
        <v>0</v>
      </c>
      <c r="L300" s="8">
        <v>0</v>
      </c>
      <c r="M300" s="8">
        <v>1</v>
      </c>
      <c r="N300" s="8">
        <v>0</v>
      </c>
      <c r="O300" s="8">
        <v>0</v>
      </c>
      <c r="P300" s="8">
        <v>1</v>
      </c>
      <c r="Q300" s="8">
        <v>0</v>
      </c>
      <c r="R300" s="8">
        <v>1</v>
      </c>
      <c r="S300" s="8">
        <v>0</v>
      </c>
      <c r="T300" s="8">
        <v>1</v>
      </c>
      <c r="U300" s="8">
        <v>0</v>
      </c>
      <c r="V300" s="8">
        <v>0</v>
      </c>
      <c r="W300" s="8">
        <v>0</v>
      </c>
      <c r="X300" s="8">
        <v>0</v>
      </c>
      <c r="Y300" s="8">
        <v>1</v>
      </c>
      <c r="Z300" s="8">
        <v>0</v>
      </c>
      <c r="AA300" s="8">
        <v>0</v>
      </c>
      <c r="AB300" s="8">
        <v>0</v>
      </c>
      <c r="AC300" s="8">
        <v>0</v>
      </c>
    </row>
    <row r="301" spans="3:29" x14ac:dyDescent="0.25">
      <c r="C301" s="9" t="s">
        <v>380</v>
      </c>
      <c r="D301" s="8">
        <v>16</v>
      </c>
      <c r="E301" s="8">
        <v>6</v>
      </c>
      <c r="F301" s="8">
        <v>4</v>
      </c>
      <c r="G301" s="8">
        <v>3933</v>
      </c>
      <c r="H301" s="8">
        <v>3</v>
      </c>
      <c r="I301" s="8">
        <v>1</v>
      </c>
      <c r="J301" s="8">
        <v>0</v>
      </c>
      <c r="K301" s="8">
        <v>0</v>
      </c>
      <c r="L301" s="8">
        <v>0</v>
      </c>
      <c r="M301" s="8">
        <v>1</v>
      </c>
      <c r="N301" s="8">
        <v>0</v>
      </c>
      <c r="O301" s="8">
        <v>0</v>
      </c>
      <c r="P301" s="8">
        <v>0</v>
      </c>
      <c r="Q301" s="8">
        <v>0</v>
      </c>
      <c r="R301" s="8">
        <v>0</v>
      </c>
      <c r="S301" s="8">
        <v>1</v>
      </c>
      <c r="T301" s="8">
        <v>1</v>
      </c>
      <c r="U301" s="8">
        <v>0</v>
      </c>
      <c r="V301" s="8">
        <v>0</v>
      </c>
      <c r="W301" s="8">
        <v>0</v>
      </c>
      <c r="X301" s="8">
        <v>0</v>
      </c>
      <c r="Y301" s="8">
        <v>1</v>
      </c>
      <c r="Z301" s="8">
        <v>0</v>
      </c>
      <c r="AA301" s="8">
        <v>0</v>
      </c>
      <c r="AB301" s="8">
        <v>0</v>
      </c>
      <c r="AC301" s="8">
        <v>0</v>
      </c>
    </row>
    <row r="302" spans="3:29" x14ac:dyDescent="0.25">
      <c r="C302" s="9" t="s">
        <v>381</v>
      </c>
      <c r="D302" s="8">
        <v>9</v>
      </c>
      <c r="E302" s="8">
        <v>6</v>
      </c>
      <c r="F302" s="8">
        <v>5</v>
      </c>
      <c r="G302" s="8">
        <v>4027</v>
      </c>
      <c r="H302" s="8">
        <v>5</v>
      </c>
      <c r="I302" s="8">
        <v>0</v>
      </c>
      <c r="J302" s="8">
        <v>0</v>
      </c>
      <c r="K302" s="8">
        <v>0</v>
      </c>
      <c r="L302" s="8">
        <v>1</v>
      </c>
      <c r="M302" s="8">
        <v>1</v>
      </c>
      <c r="N302" s="8">
        <v>0</v>
      </c>
      <c r="O302" s="8">
        <v>0</v>
      </c>
      <c r="P302" s="8">
        <v>0</v>
      </c>
      <c r="Q302" s="8">
        <v>0</v>
      </c>
      <c r="R302" s="8">
        <v>0</v>
      </c>
      <c r="S302" s="8">
        <v>1</v>
      </c>
      <c r="T302" s="8">
        <v>0</v>
      </c>
      <c r="U302" s="8">
        <v>1</v>
      </c>
      <c r="V302" s="8">
        <v>0</v>
      </c>
      <c r="W302" s="8">
        <v>0</v>
      </c>
      <c r="X302" s="8">
        <v>0</v>
      </c>
      <c r="Y302" s="8">
        <v>1</v>
      </c>
      <c r="Z302" s="8">
        <v>0</v>
      </c>
      <c r="AA302" s="8">
        <v>0</v>
      </c>
      <c r="AB302" s="8">
        <v>0</v>
      </c>
      <c r="AC302" s="8">
        <v>0</v>
      </c>
    </row>
    <row r="303" spans="3:29" x14ac:dyDescent="0.25">
      <c r="C303" s="9" t="s">
        <v>446</v>
      </c>
      <c r="D303" s="8">
        <v>5</v>
      </c>
      <c r="E303" s="8">
        <v>4</v>
      </c>
      <c r="F303" s="8">
        <v>5</v>
      </c>
      <c r="G303" s="8">
        <v>716</v>
      </c>
      <c r="H303" s="8">
        <v>8</v>
      </c>
      <c r="I303" s="8">
        <v>0</v>
      </c>
      <c r="J303" s="8">
        <v>0</v>
      </c>
      <c r="K303" s="8">
        <v>1</v>
      </c>
      <c r="L303" s="8">
        <v>0</v>
      </c>
      <c r="M303" s="8">
        <v>1</v>
      </c>
      <c r="N303" s="8">
        <v>0</v>
      </c>
      <c r="O303" s="8">
        <v>0</v>
      </c>
      <c r="P303" s="8">
        <v>1</v>
      </c>
      <c r="Q303" s="8">
        <v>1</v>
      </c>
      <c r="R303" s="8">
        <v>0</v>
      </c>
      <c r="S303" s="8">
        <v>0</v>
      </c>
      <c r="T303" s="8">
        <v>0</v>
      </c>
      <c r="U303" s="8">
        <v>0</v>
      </c>
      <c r="V303" s="8">
        <v>1</v>
      </c>
      <c r="W303" s="8">
        <v>0</v>
      </c>
      <c r="X303" s="8">
        <v>0</v>
      </c>
      <c r="Y303" s="8">
        <v>0</v>
      </c>
      <c r="Z303" s="8">
        <v>1</v>
      </c>
      <c r="AA303" s="8">
        <v>0</v>
      </c>
      <c r="AB303" s="8">
        <v>0</v>
      </c>
      <c r="AC303" s="8">
        <v>0</v>
      </c>
    </row>
    <row r="304" spans="3:29" x14ac:dyDescent="0.25">
      <c r="C304" s="9" t="s">
        <v>474</v>
      </c>
      <c r="D304" s="8">
        <v>4</v>
      </c>
      <c r="E304" s="8">
        <v>4</v>
      </c>
      <c r="F304" s="8">
        <v>2</v>
      </c>
      <c r="G304" s="8">
        <v>3773</v>
      </c>
      <c r="H304" s="8">
        <v>5</v>
      </c>
      <c r="I304" s="8">
        <v>1</v>
      </c>
      <c r="J304" s="8">
        <v>0</v>
      </c>
      <c r="K304" s="8">
        <v>0</v>
      </c>
      <c r="L304" s="8">
        <v>0</v>
      </c>
      <c r="M304" s="8">
        <v>0</v>
      </c>
      <c r="N304" s="8">
        <v>0</v>
      </c>
      <c r="O304" s="8">
        <v>1</v>
      </c>
      <c r="P304" s="8">
        <v>0</v>
      </c>
      <c r="Q304" s="8">
        <v>1</v>
      </c>
      <c r="R304" s="8">
        <v>0</v>
      </c>
      <c r="S304" s="8">
        <v>0</v>
      </c>
      <c r="T304" s="8">
        <v>0</v>
      </c>
      <c r="U304" s="8">
        <v>0</v>
      </c>
      <c r="V304" s="8">
        <v>1</v>
      </c>
      <c r="W304" s="8">
        <v>0</v>
      </c>
      <c r="X304" s="8">
        <v>0</v>
      </c>
      <c r="Y304" s="8">
        <v>0</v>
      </c>
      <c r="Z304" s="8">
        <v>1</v>
      </c>
      <c r="AA304" s="8">
        <v>0</v>
      </c>
      <c r="AB304" s="8">
        <v>0</v>
      </c>
      <c r="AC304" s="8">
        <v>0</v>
      </c>
    </row>
    <row r="305" spans="3:29" x14ac:dyDescent="0.25">
      <c r="C305" s="9" t="s">
        <v>413</v>
      </c>
      <c r="D305" s="8">
        <v>8</v>
      </c>
      <c r="E305" s="8">
        <v>3</v>
      </c>
      <c r="F305" s="8">
        <v>5</v>
      </c>
      <c r="G305" s="8">
        <v>315</v>
      </c>
      <c r="H305" s="8">
        <v>3</v>
      </c>
      <c r="I305" s="8">
        <v>1</v>
      </c>
      <c r="J305" s="8">
        <v>0</v>
      </c>
      <c r="K305" s="8">
        <v>0</v>
      </c>
      <c r="L305" s="8">
        <v>0</v>
      </c>
      <c r="M305" s="8">
        <v>0</v>
      </c>
      <c r="N305" s="8">
        <v>0</v>
      </c>
      <c r="O305" s="8">
        <v>1</v>
      </c>
      <c r="P305" s="8">
        <v>0</v>
      </c>
      <c r="Q305" s="8">
        <v>1</v>
      </c>
      <c r="R305" s="8">
        <v>0</v>
      </c>
      <c r="S305" s="8">
        <v>0</v>
      </c>
      <c r="T305" s="8">
        <v>0</v>
      </c>
      <c r="U305" s="8">
        <v>0</v>
      </c>
      <c r="V305" s="8">
        <v>1</v>
      </c>
      <c r="W305" s="8">
        <v>0</v>
      </c>
      <c r="X305" s="8">
        <v>0</v>
      </c>
      <c r="Y305" s="8">
        <v>0</v>
      </c>
      <c r="Z305" s="8">
        <v>0</v>
      </c>
      <c r="AA305" s="8">
        <v>1</v>
      </c>
      <c r="AB305" s="8">
        <v>0</v>
      </c>
      <c r="AC305" s="8">
        <v>0</v>
      </c>
    </row>
    <row r="306" spans="3:29" x14ac:dyDescent="0.25">
      <c r="C306" s="9" t="s">
        <v>453</v>
      </c>
      <c r="D306" s="8">
        <v>4</v>
      </c>
      <c r="E306" s="8">
        <v>3</v>
      </c>
      <c r="F306" s="8">
        <v>1</v>
      </c>
      <c r="G306" s="8">
        <v>3773</v>
      </c>
      <c r="H306" s="8">
        <v>3</v>
      </c>
      <c r="I306" s="8">
        <v>0</v>
      </c>
      <c r="J306" s="8">
        <v>0</v>
      </c>
      <c r="K306" s="8">
        <v>0</v>
      </c>
      <c r="L306" s="8">
        <v>1</v>
      </c>
      <c r="M306" s="8">
        <v>0</v>
      </c>
      <c r="N306" s="8">
        <v>0</v>
      </c>
      <c r="O306" s="8">
        <v>1</v>
      </c>
      <c r="P306" s="8">
        <v>0</v>
      </c>
      <c r="Q306" s="8">
        <v>1</v>
      </c>
      <c r="R306" s="8">
        <v>0</v>
      </c>
      <c r="S306" s="8">
        <v>0</v>
      </c>
      <c r="T306" s="8">
        <v>1</v>
      </c>
      <c r="U306" s="8">
        <v>0</v>
      </c>
      <c r="V306" s="8">
        <v>0</v>
      </c>
      <c r="W306" s="8">
        <v>0</v>
      </c>
      <c r="X306" s="8">
        <v>1</v>
      </c>
      <c r="Y306" s="8">
        <v>0</v>
      </c>
      <c r="Z306" s="8">
        <v>0</v>
      </c>
      <c r="AA306" s="8">
        <v>0</v>
      </c>
      <c r="AB306" s="8">
        <v>0</v>
      </c>
      <c r="AC306" s="8">
        <v>0</v>
      </c>
    </row>
    <row r="307" spans="3:29" x14ac:dyDescent="0.25">
      <c r="C307" s="9" t="s">
        <v>382</v>
      </c>
      <c r="D307" s="8">
        <v>3</v>
      </c>
      <c r="E307" s="8">
        <v>3</v>
      </c>
      <c r="F307" s="8">
        <v>3</v>
      </c>
      <c r="G307" s="8">
        <v>3981</v>
      </c>
      <c r="H307" s="8">
        <v>4</v>
      </c>
      <c r="I307" s="8">
        <v>0</v>
      </c>
      <c r="J307" s="8">
        <v>0</v>
      </c>
      <c r="K307" s="8">
        <v>0</v>
      </c>
      <c r="L307" s="8">
        <v>1</v>
      </c>
      <c r="M307" s="8">
        <v>0</v>
      </c>
      <c r="N307" s="8">
        <v>1</v>
      </c>
      <c r="O307" s="8">
        <v>0</v>
      </c>
      <c r="P307" s="8">
        <v>0</v>
      </c>
      <c r="Q307" s="8">
        <v>1</v>
      </c>
      <c r="R307" s="8">
        <v>0</v>
      </c>
      <c r="S307" s="8">
        <v>0</v>
      </c>
      <c r="T307" s="8">
        <v>0</v>
      </c>
      <c r="U307" s="8">
        <v>1</v>
      </c>
      <c r="V307" s="8">
        <v>0</v>
      </c>
      <c r="W307" s="8">
        <v>0</v>
      </c>
      <c r="X307" s="8">
        <v>0</v>
      </c>
      <c r="Y307" s="8">
        <v>1</v>
      </c>
      <c r="Z307" s="8">
        <v>0</v>
      </c>
      <c r="AA307" s="8">
        <v>0</v>
      </c>
      <c r="AB307" s="8">
        <v>0</v>
      </c>
      <c r="AC307" s="8">
        <v>0</v>
      </c>
    </row>
    <row r="308" spans="3:29" x14ac:dyDescent="0.25">
      <c r="C308" s="9" t="s">
        <v>383</v>
      </c>
      <c r="D308" s="8">
        <v>1</v>
      </c>
      <c r="E308" s="8">
        <v>0</v>
      </c>
      <c r="F308" s="8">
        <v>2</v>
      </c>
      <c r="G308" s="8">
        <v>716</v>
      </c>
      <c r="H308" s="8">
        <v>0</v>
      </c>
      <c r="I308" s="8">
        <v>0</v>
      </c>
      <c r="J308" s="8">
        <v>0</v>
      </c>
      <c r="K308" s="8">
        <v>1</v>
      </c>
      <c r="L308" s="8">
        <v>0</v>
      </c>
      <c r="M308" s="8">
        <v>0</v>
      </c>
      <c r="N308" s="8">
        <v>1</v>
      </c>
      <c r="O308" s="8">
        <v>0</v>
      </c>
      <c r="P308" s="8">
        <v>1</v>
      </c>
      <c r="Q308" s="8">
        <v>1</v>
      </c>
      <c r="R308" s="8">
        <v>0</v>
      </c>
      <c r="S308" s="8">
        <v>0</v>
      </c>
      <c r="T308" s="8">
        <v>1</v>
      </c>
      <c r="U308" s="8">
        <v>0</v>
      </c>
      <c r="V308" s="8">
        <v>0</v>
      </c>
      <c r="W308" s="8">
        <v>0</v>
      </c>
      <c r="X308" s="8">
        <v>0</v>
      </c>
      <c r="Y308" s="8">
        <v>0</v>
      </c>
      <c r="Z308" s="8">
        <v>0</v>
      </c>
      <c r="AA308" s="8">
        <v>1</v>
      </c>
      <c r="AB308" s="8">
        <v>0</v>
      </c>
      <c r="AC308" s="8">
        <v>0</v>
      </c>
    </row>
    <row r="309" spans="3:29" x14ac:dyDescent="0.25">
      <c r="C309" s="9" t="s">
        <v>384</v>
      </c>
      <c r="D309" s="8">
        <v>23</v>
      </c>
      <c r="E309" s="8">
        <v>7</v>
      </c>
      <c r="F309" s="8">
        <v>4</v>
      </c>
      <c r="G309" s="8">
        <v>3348</v>
      </c>
      <c r="H309" s="8">
        <v>3</v>
      </c>
      <c r="I309" s="8">
        <v>1</v>
      </c>
      <c r="J309" s="8">
        <v>0</v>
      </c>
      <c r="K309" s="8">
        <v>0</v>
      </c>
      <c r="L309" s="8">
        <v>0</v>
      </c>
      <c r="M309" s="8">
        <v>0</v>
      </c>
      <c r="N309" s="8">
        <v>1</v>
      </c>
      <c r="O309" s="8">
        <v>0</v>
      </c>
      <c r="P309" s="8">
        <v>0</v>
      </c>
      <c r="Q309" s="8">
        <v>0</v>
      </c>
      <c r="R309" s="8">
        <v>0</v>
      </c>
      <c r="S309" s="8">
        <v>1</v>
      </c>
      <c r="T309" s="8">
        <v>0</v>
      </c>
      <c r="U309" s="8">
        <v>0</v>
      </c>
      <c r="V309" s="8">
        <v>1</v>
      </c>
      <c r="W309" s="8">
        <v>1</v>
      </c>
      <c r="X309" s="8">
        <v>0</v>
      </c>
      <c r="Y309" s="8">
        <v>0</v>
      </c>
      <c r="Z309" s="8">
        <v>0</v>
      </c>
      <c r="AA309" s="8">
        <v>0</v>
      </c>
      <c r="AB309" s="8">
        <v>0</v>
      </c>
      <c r="AC309" s="8">
        <v>0</v>
      </c>
    </row>
    <row r="310" spans="3:29" x14ac:dyDescent="0.25">
      <c r="C310" s="9" t="s">
        <v>385</v>
      </c>
      <c r="D310" s="8">
        <v>10</v>
      </c>
      <c r="E310" s="8">
        <v>5</v>
      </c>
      <c r="F310" s="8">
        <v>4</v>
      </c>
      <c r="G310" s="8">
        <v>3773</v>
      </c>
      <c r="H310" s="8">
        <v>7</v>
      </c>
      <c r="I310" s="8">
        <v>0</v>
      </c>
      <c r="J310" s="8">
        <v>0</v>
      </c>
      <c r="K310" s="8">
        <v>0</v>
      </c>
      <c r="L310" s="8">
        <v>1</v>
      </c>
      <c r="M310" s="8">
        <v>0</v>
      </c>
      <c r="N310" s="8">
        <v>0</v>
      </c>
      <c r="O310" s="8">
        <v>1</v>
      </c>
      <c r="P310" s="8">
        <v>0</v>
      </c>
      <c r="Q310" s="8">
        <v>1</v>
      </c>
      <c r="R310" s="8">
        <v>0</v>
      </c>
      <c r="S310" s="8">
        <v>0</v>
      </c>
      <c r="T310" s="8">
        <v>0</v>
      </c>
      <c r="U310" s="8">
        <v>1</v>
      </c>
      <c r="V310" s="8">
        <v>0</v>
      </c>
      <c r="W310" s="8">
        <v>0</v>
      </c>
      <c r="X310" s="8">
        <v>0</v>
      </c>
      <c r="Y310" s="8">
        <v>1</v>
      </c>
      <c r="Z310" s="8">
        <v>0</v>
      </c>
      <c r="AA310" s="8">
        <v>0</v>
      </c>
      <c r="AB310" s="8">
        <v>0</v>
      </c>
      <c r="AC310" s="8">
        <v>0</v>
      </c>
    </row>
    <row r="311" spans="3:29" x14ac:dyDescent="0.25">
      <c r="C311" s="9" t="s">
        <v>386</v>
      </c>
      <c r="D311" s="8">
        <v>5</v>
      </c>
      <c r="E311" s="8">
        <v>5</v>
      </c>
      <c r="F311" s="8">
        <v>4</v>
      </c>
      <c r="G311" s="8">
        <v>3773</v>
      </c>
      <c r="H311" s="8">
        <v>7</v>
      </c>
      <c r="I311" s="8">
        <v>0</v>
      </c>
      <c r="J311" s="8">
        <v>0</v>
      </c>
      <c r="K311" s="8">
        <v>1</v>
      </c>
      <c r="L311" s="8">
        <v>0</v>
      </c>
      <c r="M311" s="8">
        <v>1</v>
      </c>
      <c r="N311" s="8">
        <v>0</v>
      </c>
      <c r="O311" s="8">
        <v>0</v>
      </c>
      <c r="P311" s="8">
        <v>0</v>
      </c>
      <c r="Q311" s="8">
        <v>1</v>
      </c>
      <c r="R311" s="8">
        <v>0</v>
      </c>
      <c r="S311" s="8">
        <v>0</v>
      </c>
      <c r="T311" s="8">
        <v>0</v>
      </c>
      <c r="U311" s="8">
        <v>0</v>
      </c>
      <c r="V311" s="8">
        <v>1</v>
      </c>
      <c r="W311" s="8">
        <v>0</v>
      </c>
      <c r="X311" s="8">
        <v>0</v>
      </c>
      <c r="Y311" s="8">
        <v>0</v>
      </c>
      <c r="Z311" s="8">
        <v>0</v>
      </c>
      <c r="AA311" s="8">
        <v>0</v>
      </c>
      <c r="AB311" s="8">
        <v>1</v>
      </c>
      <c r="AC311" s="8">
        <v>0</v>
      </c>
    </row>
    <row r="312" spans="3:29" x14ac:dyDescent="0.25">
      <c r="C312" s="9" t="s">
        <v>387</v>
      </c>
      <c r="D312" s="8">
        <v>4</v>
      </c>
      <c r="E312" s="8">
        <v>4</v>
      </c>
      <c r="F312" s="8">
        <v>2</v>
      </c>
      <c r="G312" s="8">
        <v>2916</v>
      </c>
      <c r="H312" s="8">
        <v>1</v>
      </c>
      <c r="I312" s="8">
        <v>1</v>
      </c>
      <c r="J312" s="8">
        <v>0</v>
      </c>
      <c r="K312" s="8">
        <v>0</v>
      </c>
      <c r="L312" s="8">
        <v>0</v>
      </c>
      <c r="M312" s="8">
        <v>0</v>
      </c>
      <c r="N312" s="8">
        <v>0</v>
      </c>
      <c r="O312" s="8">
        <v>1</v>
      </c>
      <c r="P312" s="8">
        <v>0</v>
      </c>
      <c r="Q312" s="8">
        <v>0</v>
      </c>
      <c r="R312" s="8">
        <v>1</v>
      </c>
      <c r="S312" s="8">
        <v>0</v>
      </c>
      <c r="T312" s="8">
        <v>0</v>
      </c>
      <c r="U312" s="8">
        <v>0</v>
      </c>
      <c r="V312" s="8">
        <v>1</v>
      </c>
      <c r="W312" s="8">
        <v>0</v>
      </c>
      <c r="X312" s="8">
        <v>0</v>
      </c>
      <c r="Y312" s="8">
        <v>0</v>
      </c>
      <c r="Z312" s="8">
        <v>0</v>
      </c>
      <c r="AA312" s="8">
        <v>0</v>
      </c>
      <c r="AB312" s="8">
        <v>0</v>
      </c>
      <c r="AC312" s="8">
        <v>1</v>
      </c>
    </row>
    <row r="313" spans="3:29" x14ac:dyDescent="0.25">
      <c r="C313" s="9" t="s">
        <v>421</v>
      </c>
      <c r="D313" s="8">
        <v>13</v>
      </c>
      <c r="E313" s="8">
        <v>3</v>
      </c>
      <c r="F313" s="8">
        <v>5</v>
      </c>
      <c r="G313" s="8">
        <v>3933</v>
      </c>
      <c r="H313" s="8">
        <v>6</v>
      </c>
      <c r="I313" s="8">
        <v>0</v>
      </c>
      <c r="J313" s="8">
        <v>0</v>
      </c>
      <c r="K313" s="8">
        <v>0</v>
      </c>
      <c r="L313" s="8">
        <v>1</v>
      </c>
      <c r="M313" s="8">
        <v>0</v>
      </c>
      <c r="N313" s="8">
        <v>0</v>
      </c>
      <c r="O313" s="8">
        <v>1</v>
      </c>
      <c r="P313" s="8">
        <v>0</v>
      </c>
      <c r="Q313" s="8">
        <v>0</v>
      </c>
      <c r="R313" s="8">
        <v>0</v>
      </c>
      <c r="S313" s="8">
        <v>1</v>
      </c>
      <c r="T313" s="8">
        <v>0</v>
      </c>
      <c r="U313" s="8">
        <v>1</v>
      </c>
      <c r="V313" s="8">
        <v>0</v>
      </c>
      <c r="W313" s="8">
        <v>0</v>
      </c>
      <c r="X313" s="8">
        <v>0</v>
      </c>
      <c r="Y313" s="8">
        <v>0</v>
      </c>
      <c r="Z313" s="8">
        <v>0</v>
      </c>
      <c r="AA313" s="8">
        <v>0</v>
      </c>
      <c r="AB313" s="8">
        <v>1</v>
      </c>
      <c r="AC313" s="8">
        <v>0</v>
      </c>
    </row>
    <row r="314" spans="3:29" x14ac:dyDescent="0.25">
      <c r="C314" s="9" t="s">
        <v>388</v>
      </c>
      <c r="D314" s="8">
        <v>5</v>
      </c>
      <c r="E314" s="8">
        <v>3</v>
      </c>
      <c r="F314" s="8">
        <v>5</v>
      </c>
      <c r="G314" s="8">
        <v>1467</v>
      </c>
      <c r="H314" s="8">
        <v>5</v>
      </c>
      <c r="I314" s="8">
        <v>0</v>
      </c>
      <c r="J314" s="8">
        <v>0</v>
      </c>
      <c r="K314" s="8">
        <v>0</v>
      </c>
      <c r="L314" s="8">
        <v>1</v>
      </c>
      <c r="M314" s="8">
        <v>0</v>
      </c>
      <c r="N314" s="8">
        <v>0</v>
      </c>
      <c r="O314" s="8">
        <v>1</v>
      </c>
      <c r="P314" s="8">
        <v>1</v>
      </c>
      <c r="Q314" s="8">
        <v>0</v>
      </c>
      <c r="R314" s="8">
        <v>1</v>
      </c>
      <c r="S314" s="8">
        <v>0</v>
      </c>
      <c r="T314" s="8">
        <v>1</v>
      </c>
      <c r="U314" s="8">
        <v>0</v>
      </c>
      <c r="V314" s="8">
        <v>0</v>
      </c>
      <c r="W314" s="8">
        <v>0</v>
      </c>
      <c r="X314" s="8">
        <v>0</v>
      </c>
      <c r="Y314" s="8">
        <v>0</v>
      </c>
      <c r="Z314" s="8">
        <v>0</v>
      </c>
      <c r="AA314" s="8">
        <v>0</v>
      </c>
      <c r="AB314" s="8">
        <v>0</v>
      </c>
      <c r="AC314" s="8">
        <v>1</v>
      </c>
    </row>
    <row r="315" spans="3:29" x14ac:dyDescent="0.25">
      <c r="C315" s="9" t="s">
        <v>389</v>
      </c>
      <c r="D315" s="8">
        <v>4</v>
      </c>
      <c r="E315" s="8">
        <v>3</v>
      </c>
      <c r="F315" s="8">
        <v>5</v>
      </c>
      <c r="G315" s="8">
        <v>1228</v>
      </c>
      <c r="H315" s="8">
        <v>6</v>
      </c>
      <c r="I315" s="8">
        <v>1</v>
      </c>
      <c r="J315" s="8">
        <v>0</v>
      </c>
      <c r="K315" s="8">
        <v>0</v>
      </c>
      <c r="L315" s="8">
        <v>0</v>
      </c>
      <c r="M315" s="8">
        <v>0</v>
      </c>
      <c r="N315" s="8">
        <v>0</v>
      </c>
      <c r="O315" s="8">
        <v>1</v>
      </c>
      <c r="P315" s="8">
        <v>0</v>
      </c>
      <c r="Q315" s="8">
        <v>1</v>
      </c>
      <c r="R315" s="8">
        <v>0</v>
      </c>
      <c r="S315" s="8">
        <v>0</v>
      </c>
      <c r="T315" s="8">
        <v>0</v>
      </c>
      <c r="U315" s="8">
        <v>0</v>
      </c>
      <c r="V315" s="8">
        <v>1</v>
      </c>
      <c r="W315" s="8">
        <v>1</v>
      </c>
      <c r="X315" s="8">
        <v>0</v>
      </c>
      <c r="Y315" s="8">
        <v>0</v>
      </c>
      <c r="Z315" s="8">
        <v>0</v>
      </c>
      <c r="AA315" s="8">
        <v>0</v>
      </c>
      <c r="AB315" s="8">
        <v>0</v>
      </c>
      <c r="AC315" s="8">
        <v>0</v>
      </c>
    </row>
    <row r="316" spans="3:29" x14ac:dyDescent="0.25">
      <c r="C316" s="9" t="s">
        <v>428</v>
      </c>
      <c r="D316" s="8">
        <v>4</v>
      </c>
      <c r="E316" s="8">
        <v>3</v>
      </c>
      <c r="F316" s="8">
        <v>3</v>
      </c>
      <c r="G316" s="8">
        <v>3981</v>
      </c>
      <c r="H316" s="8">
        <v>0</v>
      </c>
      <c r="I316" s="8">
        <v>0</v>
      </c>
      <c r="J316" s="8">
        <v>0</v>
      </c>
      <c r="K316" s="8">
        <v>1</v>
      </c>
      <c r="L316" s="8">
        <v>0</v>
      </c>
      <c r="M316" s="8">
        <v>0</v>
      </c>
      <c r="N316" s="8">
        <v>0</v>
      </c>
      <c r="O316" s="8">
        <v>1</v>
      </c>
      <c r="P316" s="8">
        <v>0</v>
      </c>
      <c r="Q316" s="8">
        <v>1</v>
      </c>
      <c r="R316" s="8">
        <v>0</v>
      </c>
      <c r="S316" s="8">
        <v>0</v>
      </c>
      <c r="T316" s="8">
        <v>1</v>
      </c>
      <c r="U316" s="8">
        <v>0</v>
      </c>
      <c r="V316" s="8">
        <v>0</v>
      </c>
      <c r="W316" s="8">
        <v>1</v>
      </c>
      <c r="X316" s="8">
        <v>0</v>
      </c>
      <c r="Y316" s="8">
        <v>0</v>
      </c>
      <c r="Z316" s="8">
        <v>0</v>
      </c>
      <c r="AA316" s="8">
        <v>0</v>
      </c>
      <c r="AB316" s="8">
        <v>0</v>
      </c>
      <c r="AC316" s="8">
        <v>0</v>
      </c>
    </row>
    <row r="317" spans="3:29" x14ac:dyDescent="0.25">
      <c r="C317" s="9" t="s">
        <v>390</v>
      </c>
      <c r="D317" s="8">
        <v>2</v>
      </c>
      <c r="E317" s="8">
        <v>0</v>
      </c>
      <c r="F317" s="8">
        <v>4</v>
      </c>
      <c r="G317" s="8">
        <v>188</v>
      </c>
      <c r="H317" s="8">
        <v>1</v>
      </c>
      <c r="I317" s="8">
        <v>1</v>
      </c>
      <c r="J317" s="8">
        <v>0</v>
      </c>
      <c r="K317" s="8">
        <v>0</v>
      </c>
      <c r="L317" s="8">
        <v>0</v>
      </c>
      <c r="M317" s="8">
        <v>1</v>
      </c>
      <c r="N317" s="8">
        <v>0</v>
      </c>
      <c r="O317" s="8">
        <v>0</v>
      </c>
      <c r="P317" s="8">
        <v>0</v>
      </c>
      <c r="Q317" s="8">
        <v>0</v>
      </c>
      <c r="R317" s="8">
        <v>1</v>
      </c>
      <c r="S317" s="8">
        <v>0</v>
      </c>
      <c r="T317" s="8">
        <v>0</v>
      </c>
      <c r="U317" s="8">
        <v>0</v>
      </c>
      <c r="V317" s="8">
        <v>1</v>
      </c>
      <c r="W317" s="8">
        <v>0</v>
      </c>
      <c r="X317" s="8">
        <v>0</v>
      </c>
      <c r="Y317" s="8">
        <v>1</v>
      </c>
      <c r="Z317" s="8">
        <v>0</v>
      </c>
      <c r="AA317" s="8">
        <v>0</v>
      </c>
      <c r="AB317" s="8">
        <v>0</v>
      </c>
      <c r="AC317" s="8">
        <v>0</v>
      </c>
    </row>
    <row r="318" spans="3:29" x14ac:dyDescent="0.25">
      <c r="C318" s="9" t="s">
        <v>445</v>
      </c>
      <c r="D318" s="8">
        <v>2</v>
      </c>
      <c r="E318" s="8">
        <v>0</v>
      </c>
      <c r="F318" s="8">
        <v>5</v>
      </c>
      <c r="G318" s="8">
        <v>188</v>
      </c>
      <c r="H318" s="8">
        <v>0</v>
      </c>
      <c r="I318" s="8">
        <v>0</v>
      </c>
      <c r="J318" s="8">
        <v>1</v>
      </c>
      <c r="K318" s="8">
        <v>0</v>
      </c>
      <c r="L318" s="8">
        <v>0</v>
      </c>
      <c r="M318" s="8">
        <v>1</v>
      </c>
      <c r="N318" s="8">
        <v>0</v>
      </c>
      <c r="O318" s="8">
        <v>0</v>
      </c>
      <c r="P318" s="8">
        <v>0</v>
      </c>
      <c r="Q318" s="8">
        <v>0</v>
      </c>
      <c r="R318" s="8">
        <v>1</v>
      </c>
      <c r="S318" s="8">
        <v>0</v>
      </c>
      <c r="T318" s="8">
        <v>0</v>
      </c>
      <c r="U318" s="8">
        <v>0</v>
      </c>
      <c r="V318" s="8">
        <v>1</v>
      </c>
      <c r="W318" s="8">
        <v>0</v>
      </c>
      <c r="X318" s="8">
        <v>0</v>
      </c>
      <c r="Y318" s="8">
        <v>0</v>
      </c>
      <c r="Z318" s="8">
        <v>0</v>
      </c>
      <c r="AA318" s="8">
        <v>0</v>
      </c>
      <c r="AB318" s="8">
        <v>0</v>
      </c>
      <c r="AC318" s="8">
        <v>1</v>
      </c>
    </row>
    <row r="319" spans="3:29" x14ac:dyDescent="0.25">
      <c r="C319" s="9" t="s">
        <v>391</v>
      </c>
      <c r="D319" s="8">
        <v>1</v>
      </c>
      <c r="E319" s="8">
        <v>0</v>
      </c>
      <c r="F319" s="8">
        <v>5</v>
      </c>
      <c r="G319" s="8">
        <v>1282</v>
      </c>
      <c r="H319" s="8">
        <v>0</v>
      </c>
      <c r="I319" s="8">
        <v>1</v>
      </c>
      <c r="J319" s="8">
        <v>0</v>
      </c>
      <c r="K319" s="8">
        <v>0</v>
      </c>
      <c r="L319" s="8">
        <v>0</v>
      </c>
      <c r="M319" s="8">
        <v>0</v>
      </c>
      <c r="N319" s="8">
        <v>1</v>
      </c>
      <c r="O319" s="8">
        <v>0</v>
      </c>
      <c r="P319" s="8">
        <v>0</v>
      </c>
      <c r="Q319" s="8">
        <v>0</v>
      </c>
      <c r="R319" s="8">
        <v>0</v>
      </c>
      <c r="S319" s="8">
        <v>1</v>
      </c>
      <c r="T319" s="8">
        <v>0</v>
      </c>
      <c r="U319" s="8">
        <v>0</v>
      </c>
      <c r="V319" s="8">
        <v>1</v>
      </c>
      <c r="W319" s="8">
        <v>0</v>
      </c>
      <c r="X319" s="8">
        <v>0</v>
      </c>
      <c r="Y319" s="8">
        <v>0</v>
      </c>
      <c r="Z319" s="8">
        <v>0</v>
      </c>
      <c r="AA319" s="8">
        <v>0</v>
      </c>
      <c r="AB319" s="8">
        <v>1</v>
      </c>
      <c r="AC319" s="8">
        <v>0</v>
      </c>
    </row>
    <row r="320" spans="3:29" x14ac:dyDescent="0.25">
      <c r="C320" s="9" t="s">
        <v>392</v>
      </c>
      <c r="D320" s="8">
        <v>1</v>
      </c>
      <c r="E320" s="8">
        <v>0</v>
      </c>
      <c r="F320" s="8">
        <v>5</v>
      </c>
      <c r="G320" s="8">
        <v>4027</v>
      </c>
      <c r="H320" s="8">
        <v>0</v>
      </c>
      <c r="I320" s="8">
        <v>1</v>
      </c>
      <c r="J320" s="8">
        <v>0</v>
      </c>
      <c r="K320" s="8">
        <v>0</v>
      </c>
      <c r="L320" s="8">
        <v>0</v>
      </c>
      <c r="M320" s="8">
        <v>0</v>
      </c>
      <c r="N320" s="8">
        <v>0</v>
      </c>
      <c r="O320" s="8">
        <v>1</v>
      </c>
      <c r="P320" s="8">
        <v>0</v>
      </c>
      <c r="Q320" s="8">
        <v>0</v>
      </c>
      <c r="R320" s="8">
        <v>0</v>
      </c>
      <c r="S320" s="8">
        <v>1</v>
      </c>
      <c r="T320" s="8">
        <v>0</v>
      </c>
      <c r="U320" s="8">
        <v>0</v>
      </c>
      <c r="V320" s="8">
        <v>1</v>
      </c>
      <c r="W320" s="8">
        <v>0</v>
      </c>
      <c r="X320" s="8">
        <v>0</v>
      </c>
      <c r="Y320" s="8">
        <v>0</v>
      </c>
      <c r="Z320" s="8">
        <v>1</v>
      </c>
      <c r="AA320" s="8">
        <v>0</v>
      </c>
      <c r="AB320" s="8">
        <v>0</v>
      </c>
      <c r="AC320" s="8">
        <v>0</v>
      </c>
    </row>
    <row r="321" spans="3:29" x14ac:dyDescent="0.25">
      <c r="C321" s="9" t="s">
        <v>393</v>
      </c>
      <c r="D321" s="8">
        <v>1</v>
      </c>
      <c r="E321" s="8">
        <v>0</v>
      </c>
      <c r="F321" s="8">
        <v>1</v>
      </c>
      <c r="G321" s="8">
        <v>3003</v>
      </c>
      <c r="H321" s="8">
        <v>0</v>
      </c>
      <c r="I321" s="8">
        <v>0</v>
      </c>
      <c r="J321" s="8">
        <v>0</v>
      </c>
      <c r="K321" s="8">
        <v>0</v>
      </c>
      <c r="L321" s="8">
        <v>1</v>
      </c>
      <c r="M321" s="8">
        <v>1</v>
      </c>
      <c r="N321" s="8">
        <v>0</v>
      </c>
      <c r="O321" s="8">
        <v>0</v>
      </c>
      <c r="P321" s="8">
        <v>0</v>
      </c>
      <c r="Q321" s="8">
        <v>0</v>
      </c>
      <c r="R321" s="8">
        <v>1</v>
      </c>
      <c r="S321" s="8">
        <v>0</v>
      </c>
      <c r="T321" s="8">
        <v>1</v>
      </c>
      <c r="U321" s="8">
        <v>0</v>
      </c>
      <c r="V321" s="8">
        <v>0</v>
      </c>
      <c r="W321" s="8">
        <v>0</v>
      </c>
      <c r="X321" s="8">
        <v>0</v>
      </c>
      <c r="Y321" s="8">
        <v>0</v>
      </c>
      <c r="Z321" s="8">
        <v>0</v>
      </c>
      <c r="AA321" s="8">
        <v>0</v>
      </c>
      <c r="AB321" s="8">
        <v>0</v>
      </c>
      <c r="AC321" s="8">
        <v>1</v>
      </c>
    </row>
    <row r="322" spans="3:29" x14ac:dyDescent="0.25">
      <c r="C322" s="9" t="s">
        <v>394</v>
      </c>
      <c r="D322" s="8">
        <v>26</v>
      </c>
      <c r="E322" s="8">
        <v>8</v>
      </c>
      <c r="F322" s="8">
        <v>4</v>
      </c>
      <c r="G322" s="8">
        <v>1282</v>
      </c>
      <c r="H322" s="8">
        <v>6</v>
      </c>
      <c r="I322" s="8">
        <v>0</v>
      </c>
      <c r="J322" s="8">
        <v>1</v>
      </c>
      <c r="K322" s="8">
        <v>0</v>
      </c>
      <c r="L322" s="8">
        <v>0</v>
      </c>
      <c r="M322" s="8">
        <v>0</v>
      </c>
      <c r="N322" s="8">
        <v>1</v>
      </c>
      <c r="O322" s="8">
        <v>0</v>
      </c>
      <c r="P322" s="8">
        <v>0</v>
      </c>
      <c r="Q322" s="8">
        <v>0</v>
      </c>
      <c r="R322" s="8">
        <v>0</v>
      </c>
      <c r="S322" s="8">
        <v>1</v>
      </c>
      <c r="T322" s="8">
        <v>0</v>
      </c>
      <c r="U322" s="8">
        <v>0</v>
      </c>
      <c r="V322" s="8">
        <v>1</v>
      </c>
      <c r="W322" s="8">
        <v>0</v>
      </c>
      <c r="X322" s="8">
        <v>1</v>
      </c>
      <c r="Y322" s="8">
        <v>0</v>
      </c>
      <c r="Z322" s="8">
        <v>0</v>
      </c>
      <c r="AA322" s="8">
        <v>0</v>
      </c>
      <c r="AB322" s="8">
        <v>0</v>
      </c>
      <c r="AC322" s="8">
        <v>0</v>
      </c>
    </row>
    <row r="323" spans="3:29" x14ac:dyDescent="0.25">
      <c r="C323" s="9" t="s">
        <v>430</v>
      </c>
      <c r="D323" s="8">
        <v>9</v>
      </c>
      <c r="E323" s="8">
        <v>8</v>
      </c>
      <c r="F323" s="8">
        <v>5</v>
      </c>
      <c r="G323" s="8">
        <v>826</v>
      </c>
      <c r="H323" s="8">
        <v>6</v>
      </c>
      <c r="I323" s="8">
        <v>0</v>
      </c>
      <c r="J323" s="8">
        <v>1</v>
      </c>
      <c r="K323" s="8">
        <v>0</v>
      </c>
      <c r="L323" s="8">
        <v>0</v>
      </c>
      <c r="M323" s="8">
        <v>0</v>
      </c>
      <c r="N323" s="8">
        <v>0</v>
      </c>
      <c r="O323" s="8">
        <v>1</v>
      </c>
      <c r="P323" s="8">
        <v>0</v>
      </c>
      <c r="Q323" s="8">
        <v>0</v>
      </c>
      <c r="R323" s="8">
        <v>1</v>
      </c>
      <c r="S323" s="8">
        <v>0</v>
      </c>
      <c r="T323" s="8">
        <v>0</v>
      </c>
      <c r="U323" s="8">
        <v>0</v>
      </c>
      <c r="V323" s="8">
        <v>1</v>
      </c>
      <c r="W323" s="8">
        <v>0</v>
      </c>
      <c r="X323" s="8">
        <v>1</v>
      </c>
      <c r="Y323" s="8">
        <v>0</v>
      </c>
      <c r="Z323" s="8">
        <v>0</v>
      </c>
      <c r="AA323" s="8">
        <v>0</v>
      </c>
      <c r="AB323" s="8">
        <v>0</v>
      </c>
      <c r="AC323" s="8">
        <v>0</v>
      </c>
    </row>
    <row r="324" spans="3:29" x14ac:dyDescent="0.25">
      <c r="C324" s="9" t="s">
        <v>395</v>
      </c>
      <c r="D324" s="8">
        <v>13</v>
      </c>
      <c r="E324" s="8">
        <v>7</v>
      </c>
      <c r="F324" s="8">
        <v>5</v>
      </c>
      <c r="G324" s="8">
        <v>315</v>
      </c>
      <c r="H324" s="8">
        <v>4</v>
      </c>
      <c r="I324" s="8">
        <v>0</v>
      </c>
      <c r="J324" s="8">
        <v>0</v>
      </c>
      <c r="K324" s="8">
        <v>0</v>
      </c>
      <c r="L324" s="8">
        <v>1</v>
      </c>
      <c r="M324" s="8">
        <v>1</v>
      </c>
      <c r="N324" s="8">
        <v>0</v>
      </c>
      <c r="O324" s="8">
        <v>0</v>
      </c>
      <c r="P324" s="8">
        <v>0</v>
      </c>
      <c r="Q324" s="8">
        <v>1</v>
      </c>
      <c r="R324" s="8">
        <v>0</v>
      </c>
      <c r="S324" s="8">
        <v>0</v>
      </c>
      <c r="T324" s="8">
        <v>0</v>
      </c>
      <c r="U324" s="8">
        <v>0</v>
      </c>
      <c r="V324" s="8">
        <v>1</v>
      </c>
      <c r="W324" s="8">
        <v>0</v>
      </c>
      <c r="X324" s="8">
        <v>0</v>
      </c>
      <c r="Y324" s="8">
        <v>0</v>
      </c>
      <c r="Z324" s="8">
        <v>1</v>
      </c>
      <c r="AA324" s="8">
        <v>0</v>
      </c>
      <c r="AB324" s="8">
        <v>0</v>
      </c>
      <c r="AC324" s="8">
        <v>0</v>
      </c>
    </row>
    <row r="325" spans="3:29" x14ac:dyDescent="0.25">
      <c r="C325" s="9" t="s">
        <v>396</v>
      </c>
      <c r="D325" s="8">
        <v>12</v>
      </c>
      <c r="E325" s="8">
        <v>6</v>
      </c>
      <c r="F325" s="8">
        <v>5</v>
      </c>
      <c r="G325" s="8">
        <v>1467</v>
      </c>
      <c r="H325" s="8">
        <v>2</v>
      </c>
      <c r="I325" s="8">
        <v>1</v>
      </c>
      <c r="J325" s="8">
        <v>0</v>
      </c>
      <c r="K325" s="8">
        <v>0</v>
      </c>
      <c r="L325" s="8">
        <v>0</v>
      </c>
      <c r="M325" s="8">
        <v>1</v>
      </c>
      <c r="N325" s="8">
        <v>0</v>
      </c>
      <c r="O325" s="8">
        <v>0</v>
      </c>
      <c r="P325" s="8">
        <v>1</v>
      </c>
      <c r="Q325" s="8">
        <v>0</v>
      </c>
      <c r="R325" s="8">
        <v>1</v>
      </c>
      <c r="S325" s="8">
        <v>0</v>
      </c>
      <c r="T325" s="8">
        <v>0</v>
      </c>
      <c r="U325" s="8">
        <v>0</v>
      </c>
      <c r="V325" s="8">
        <v>1</v>
      </c>
      <c r="W325" s="8">
        <v>0</v>
      </c>
      <c r="X325" s="8">
        <v>0</v>
      </c>
      <c r="Y325" s="8">
        <v>0</v>
      </c>
      <c r="Z325" s="8">
        <v>1</v>
      </c>
      <c r="AA325" s="8">
        <v>0</v>
      </c>
      <c r="AB325" s="8">
        <v>0</v>
      </c>
      <c r="AC325" s="8">
        <v>0</v>
      </c>
    </row>
    <row r="326" spans="3:29" x14ac:dyDescent="0.25">
      <c r="C326" s="9" t="s">
        <v>397</v>
      </c>
      <c r="D326" s="8">
        <v>12</v>
      </c>
      <c r="E326" s="8">
        <v>5</v>
      </c>
      <c r="F326" s="8">
        <v>5</v>
      </c>
      <c r="G326" s="8">
        <v>2959</v>
      </c>
      <c r="H326" s="8">
        <v>1</v>
      </c>
      <c r="I326" s="8">
        <v>0</v>
      </c>
      <c r="J326" s="8">
        <v>0</v>
      </c>
      <c r="K326" s="8">
        <v>1</v>
      </c>
      <c r="L326" s="8">
        <v>0</v>
      </c>
      <c r="M326" s="8">
        <v>0</v>
      </c>
      <c r="N326" s="8">
        <v>0</v>
      </c>
      <c r="O326" s="8">
        <v>1</v>
      </c>
      <c r="P326" s="8">
        <v>0</v>
      </c>
      <c r="Q326" s="8">
        <v>0</v>
      </c>
      <c r="R326" s="8">
        <v>0</v>
      </c>
      <c r="S326" s="8">
        <v>1</v>
      </c>
      <c r="T326" s="8">
        <v>0</v>
      </c>
      <c r="U326" s="8">
        <v>0</v>
      </c>
      <c r="V326" s="8">
        <v>1</v>
      </c>
      <c r="W326" s="8">
        <v>0</v>
      </c>
      <c r="X326" s="8">
        <v>1</v>
      </c>
      <c r="Y326" s="8">
        <v>0</v>
      </c>
      <c r="Z326" s="8">
        <v>0</v>
      </c>
      <c r="AA326" s="8">
        <v>0</v>
      </c>
      <c r="AB326" s="8">
        <v>0</v>
      </c>
      <c r="AC326" s="8">
        <v>0</v>
      </c>
    </row>
    <row r="327" spans="3:29" x14ac:dyDescent="0.25">
      <c r="C327" s="9" t="s">
        <v>398</v>
      </c>
      <c r="D327" s="8">
        <v>13</v>
      </c>
      <c r="E327" s="8">
        <v>4</v>
      </c>
      <c r="F327" s="8">
        <v>4</v>
      </c>
      <c r="G327" s="8">
        <v>188</v>
      </c>
      <c r="H327" s="8">
        <v>2</v>
      </c>
      <c r="I327" s="8">
        <v>1</v>
      </c>
      <c r="J327" s="8">
        <v>0</v>
      </c>
      <c r="K327" s="8">
        <v>0</v>
      </c>
      <c r="L327" s="8">
        <v>0</v>
      </c>
      <c r="M327" s="8">
        <v>0</v>
      </c>
      <c r="N327" s="8">
        <v>0</v>
      </c>
      <c r="O327" s="8">
        <v>1</v>
      </c>
      <c r="P327" s="8">
        <v>0</v>
      </c>
      <c r="Q327" s="8">
        <v>0</v>
      </c>
      <c r="R327" s="8">
        <v>1</v>
      </c>
      <c r="S327" s="8">
        <v>0</v>
      </c>
      <c r="T327" s="8">
        <v>0</v>
      </c>
      <c r="U327" s="8">
        <v>0</v>
      </c>
      <c r="V327" s="8">
        <v>1</v>
      </c>
      <c r="W327" s="8">
        <v>0</v>
      </c>
      <c r="X327" s="8">
        <v>0</v>
      </c>
      <c r="Y327" s="8">
        <v>0</v>
      </c>
      <c r="Z327" s="8">
        <v>0</v>
      </c>
      <c r="AA327" s="8">
        <v>0</v>
      </c>
      <c r="AB327" s="8">
        <v>0</v>
      </c>
      <c r="AC327" s="8">
        <v>1</v>
      </c>
    </row>
    <row r="328" spans="3:29" x14ac:dyDescent="0.25">
      <c r="C328" s="9" t="s">
        <v>399</v>
      </c>
      <c r="D328" s="8">
        <v>4</v>
      </c>
      <c r="E328" s="8">
        <v>4</v>
      </c>
      <c r="F328" s="8">
        <v>3</v>
      </c>
      <c r="G328" s="8">
        <v>1228</v>
      </c>
      <c r="H328" s="8">
        <v>0</v>
      </c>
      <c r="I328" s="8">
        <v>0</v>
      </c>
      <c r="J328" s="8">
        <v>0</v>
      </c>
      <c r="K328" s="8">
        <v>0</v>
      </c>
      <c r="L328" s="8">
        <v>1</v>
      </c>
      <c r="M328" s="8">
        <v>0</v>
      </c>
      <c r="N328" s="8">
        <v>1</v>
      </c>
      <c r="O328" s="8">
        <v>0</v>
      </c>
      <c r="P328" s="8">
        <v>0</v>
      </c>
      <c r="Q328" s="8">
        <v>1</v>
      </c>
      <c r="R328" s="8">
        <v>0</v>
      </c>
      <c r="S328" s="8">
        <v>0</v>
      </c>
      <c r="T328" s="8">
        <v>0</v>
      </c>
      <c r="U328" s="8">
        <v>0</v>
      </c>
      <c r="V328" s="8">
        <v>1</v>
      </c>
      <c r="W328" s="8">
        <v>0</v>
      </c>
      <c r="X328" s="8">
        <v>0</v>
      </c>
      <c r="Y328" s="8">
        <v>0</v>
      </c>
      <c r="Z328" s="8">
        <v>0</v>
      </c>
      <c r="AA328" s="8">
        <v>0</v>
      </c>
      <c r="AB328" s="8">
        <v>0</v>
      </c>
      <c r="AC328" s="8">
        <v>1</v>
      </c>
    </row>
    <row r="329" spans="3:29" x14ac:dyDescent="0.25">
      <c r="C329" s="9" t="s">
        <v>400</v>
      </c>
      <c r="D329" s="8">
        <v>4</v>
      </c>
      <c r="E329" s="8">
        <v>4</v>
      </c>
      <c r="F329" s="8">
        <v>4</v>
      </c>
      <c r="G329" s="8">
        <v>3933</v>
      </c>
      <c r="H329" s="8">
        <v>1</v>
      </c>
      <c r="I329" s="8">
        <v>1</v>
      </c>
      <c r="J329" s="8">
        <v>0</v>
      </c>
      <c r="K329" s="8">
        <v>0</v>
      </c>
      <c r="L329" s="8">
        <v>0</v>
      </c>
      <c r="M329" s="8">
        <v>1</v>
      </c>
      <c r="N329" s="8">
        <v>0</v>
      </c>
      <c r="O329" s="8">
        <v>0</v>
      </c>
      <c r="P329" s="8">
        <v>0</v>
      </c>
      <c r="Q329" s="8">
        <v>0</v>
      </c>
      <c r="R329" s="8">
        <v>0</v>
      </c>
      <c r="S329" s="8">
        <v>1</v>
      </c>
      <c r="T329" s="8">
        <v>1</v>
      </c>
      <c r="U329" s="8">
        <v>0</v>
      </c>
      <c r="V329" s="8">
        <v>0</v>
      </c>
      <c r="W329" s="8">
        <v>0</v>
      </c>
      <c r="X329" s="8">
        <v>1</v>
      </c>
      <c r="Y329" s="8">
        <v>0</v>
      </c>
      <c r="Z329" s="8">
        <v>0</v>
      </c>
      <c r="AA329" s="8">
        <v>0</v>
      </c>
      <c r="AB329" s="8">
        <v>0</v>
      </c>
      <c r="AC329" s="8">
        <v>0</v>
      </c>
    </row>
    <row r="330" spans="3:29" x14ac:dyDescent="0.25">
      <c r="C330" s="9" t="s">
        <v>401</v>
      </c>
      <c r="D330" s="8">
        <v>10</v>
      </c>
      <c r="E330" s="8">
        <v>3</v>
      </c>
      <c r="F330" s="8">
        <v>5</v>
      </c>
      <c r="G330" s="8">
        <v>1228</v>
      </c>
      <c r="H330" s="8">
        <v>4</v>
      </c>
      <c r="I330" s="8">
        <v>1</v>
      </c>
      <c r="J330" s="8">
        <v>0</v>
      </c>
      <c r="K330" s="8">
        <v>0</v>
      </c>
      <c r="L330" s="8">
        <v>0</v>
      </c>
      <c r="M330" s="8">
        <v>1</v>
      </c>
      <c r="N330" s="8">
        <v>0</v>
      </c>
      <c r="O330" s="8">
        <v>0</v>
      </c>
      <c r="P330" s="8">
        <v>0</v>
      </c>
      <c r="Q330" s="8">
        <v>1</v>
      </c>
      <c r="R330" s="8">
        <v>0</v>
      </c>
      <c r="S330" s="8">
        <v>0</v>
      </c>
      <c r="T330" s="8">
        <v>0</v>
      </c>
      <c r="U330" s="8">
        <v>0</v>
      </c>
      <c r="V330" s="8">
        <v>1</v>
      </c>
      <c r="W330" s="8">
        <v>0</v>
      </c>
      <c r="X330" s="8">
        <v>0</v>
      </c>
      <c r="Y330" s="8">
        <v>0</v>
      </c>
      <c r="Z330" s="8">
        <v>0</v>
      </c>
      <c r="AA330" s="8">
        <v>0</v>
      </c>
      <c r="AB330" s="8">
        <v>1</v>
      </c>
      <c r="AC330" s="8">
        <v>0</v>
      </c>
    </row>
    <row r="331" spans="3:29" x14ac:dyDescent="0.25">
      <c r="C331" s="9" t="s">
        <v>466</v>
      </c>
      <c r="D331" s="8">
        <v>4</v>
      </c>
      <c r="E331" s="8">
        <v>3</v>
      </c>
      <c r="F331" s="8">
        <v>5</v>
      </c>
      <c r="G331" s="8">
        <v>2884</v>
      </c>
      <c r="H331" s="8">
        <v>7</v>
      </c>
      <c r="I331" s="8">
        <v>0</v>
      </c>
      <c r="J331" s="8">
        <v>0</v>
      </c>
      <c r="K331" s="8">
        <v>0</v>
      </c>
      <c r="L331" s="8">
        <v>1</v>
      </c>
      <c r="M331" s="8">
        <v>0</v>
      </c>
      <c r="N331" s="8">
        <v>0</v>
      </c>
      <c r="O331" s="8">
        <v>1</v>
      </c>
      <c r="P331" s="8">
        <v>1</v>
      </c>
      <c r="Q331" s="8">
        <v>0</v>
      </c>
      <c r="R331" s="8">
        <v>1</v>
      </c>
      <c r="S331" s="8">
        <v>0</v>
      </c>
      <c r="T331" s="8">
        <v>1</v>
      </c>
      <c r="U331" s="8">
        <v>0</v>
      </c>
      <c r="V331" s="8">
        <v>0</v>
      </c>
      <c r="W331" s="8">
        <v>1</v>
      </c>
      <c r="X331" s="8">
        <v>0</v>
      </c>
      <c r="Y331" s="8">
        <v>0</v>
      </c>
      <c r="Z331" s="8">
        <v>0</v>
      </c>
      <c r="AA331" s="8">
        <v>0</v>
      </c>
      <c r="AB331" s="8">
        <v>0</v>
      </c>
      <c r="AC331" s="8">
        <v>0</v>
      </c>
    </row>
    <row r="332" spans="3:29" x14ac:dyDescent="0.25">
      <c r="C332" s="9" t="s">
        <v>461</v>
      </c>
      <c r="D332" s="8">
        <v>2</v>
      </c>
      <c r="E332" s="8">
        <v>0</v>
      </c>
      <c r="F332" s="8">
        <v>5</v>
      </c>
      <c r="G332" s="8">
        <v>188</v>
      </c>
      <c r="H332" s="8">
        <v>0</v>
      </c>
      <c r="I332" s="8">
        <v>0</v>
      </c>
      <c r="J332" s="8">
        <v>1</v>
      </c>
      <c r="K332" s="8">
        <v>0</v>
      </c>
      <c r="L332" s="8">
        <v>0</v>
      </c>
      <c r="M332" s="8">
        <v>0</v>
      </c>
      <c r="N332" s="8">
        <v>0</v>
      </c>
      <c r="O332" s="8">
        <v>1</v>
      </c>
      <c r="P332" s="8">
        <v>0</v>
      </c>
      <c r="Q332" s="8">
        <v>0</v>
      </c>
      <c r="R332" s="8">
        <v>1</v>
      </c>
      <c r="S332" s="8">
        <v>0</v>
      </c>
      <c r="T332" s="8">
        <v>0</v>
      </c>
      <c r="U332" s="8">
        <v>0</v>
      </c>
      <c r="V332" s="8">
        <v>1</v>
      </c>
      <c r="W332" s="8">
        <v>0</v>
      </c>
      <c r="X332" s="8">
        <v>0</v>
      </c>
      <c r="Y332" s="8">
        <v>0</v>
      </c>
      <c r="Z332" s="8">
        <v>0</v>
      </c>
      <c r="AA332" s="8">
        <v>0</v>
      </c>
      <c r="AB332" s="8">
        <v>0</v>
      </c>
      <c r="AC332" s="8">
        <v>1</v>
      </c>
    </row>
    <row r="333" spans="3:29" x14ac:dyDescent="0.25">
      <c r="C333" s="9" t="s">
        <v>402</v>
      </c>
      <c r="D333" s="8">
        <v>1</v>
      </c>
      <c r="E333" s="8">
        <v>0</v>
      </c>
      <c r="F333" s="8">
        <v>2</v>
      </c>
      <c r="G333" s="8">
        <v>1282</v>
      </c>
      <c r="H333" s="8">
        <v>0</v>
      </c>
      <c r="I333" s="8">
        <v>0</v>
      </c>
      <c r="J333" s="8">
        <v>0</v>
      </c>
      <c r="K333" s="8">
        <v>0</v>
      </c>
      <c r="L333" s="8">
        <v>1</v>
      </c>
      <c r="M333" s="8">
        <v>0</v>
      </c>
      <c r="N333" s="8">
        <v>0</v>
      </c>
      <c r="O333" s="8">
        <v>1</v>
      </c>
      <c r="P333" s="8">
        <v>0</v>
      </c>
      <c r="Q333" s="8">
        <v>0</v>
      </c>
      <c r="R333" s="8">
        <v>0</v>
      </c>
      <c r="S333" s="8">
        <v>1</v>
      </c>
      <c r="T333" s="8">
        <v>0</v>
      </c>
      <c r="U333" s="8">
        <v>1</v>
      </c>
      <c r="V333" s="8">
        <v>0</v>
      </c>
      <c r="W333" s="8">
        <v>0</v>
      </c>
      <c r="X333" s="8">
        <v>0</v>
      </c>
      <c r="Y333" s="8">
        <v>0</v>
      </c>
      <c r="Z333" s="8">
        <v>0</v>
      </c>
      <c r="AA333" s="8">
        <v>0</v>
      </c>
      <c r="AB333" s="8">
        <v>0</v>
      </c>
      <c r="AC333" s="8">
        <v>1</v>
      </c>
    </row>
    <row r="334" spans="3:29" x14ac:dyDescent="0.25">
      <c r="C334" s="9" t="s">
        <v>403</v>
      </c>
      <c r="D334" s="8">
        <v>4</v>
      </c>
      <c r="E334" s="8">
        <v>4</v>
      </c>
      <c r="F334" s="8">
        <v>5</v>
      </c>
      <c r="G334" s="8">
        <v>188</v>
      </c>
      <c r="H334" s="8">
        <v>2</v>
      </c>
      <c r="I334" s="8">
        <v>1</v>
      </c>
      <c r="J334" s="8">
        <v>0</v>
      </c>
      <c r="K334" s="8">
        <v>0</v>
      </c>
      <c r="L334" s="8">
        <v>0</v>
      </c>
      <c r="M334" s="8">
        <v>0</v>
      </c>
      <c r="N334" s="8">
        <v>0</v>
      </c>
      <c r="O334" s="8">
        <v>1</v>
      </c>
      <c r="P334" s="8">
        <v>0</v>
      </c>
      <c r="Q334" s="8">
        <v>0</v>
      </c>
      <c r="R334" s="8">
        <v>1</v>
      </c>
      <c r="S334" s="8">
        <v>0</v>
      </c>
      <c r="T334" s="8">
        <v>0</v>
      </c>
      <c r="U334" s="8">
        <v>0</v>
      </c>
      <c r="V334" s="8">
        <v>1</v>
      </c>
      <c r="W334" s="8">
        <v>0</v>
      </c>
      <c r="X334" s="8">
        <v>1</v>
      </c>
      <c r="Y334" s="8">
        <v>0</v>
      </c>
      <c r="Z334" s="8">
        <v>0</v>
      </c>
      <c r="AA334" s="8">
        <v>0</v>
      </c>
      <c r="AB334" s="8">
        <v>0</v>
      </c>
      <c r="AC334" s="8">
        <v>0</v>
      </c>
    </row>
    <row r="335" spans="3:29" x14ac:dyDescent="0.25">
      <c r="C335" s="9" t="s">
        <v>404</v>
      </c>
      <c r="D335" s="8">
        <v>3</v>
      </c>
      <c r="E335" s="8">
        <v>3</v>
      </c>
      <c r="F335" s="8">
        <v>4</v>
      </c>
      <c r="G335" s="8">
        <v>2959</v>
      </c>
      <c r="H335" s="8">
        <v>7</v>
      </c>
      <c r="I335" s="8">
        <v>0</v>
      </c>
      <c r="J335" s="8">
        <v>1</v>
      </c>
      <c r="K335" s="8">
        <v>0</v>
      </c>
      <c r="L335" s="8">
        <v>0</v>
      </c>
      <c r="M335" s="8">
        <v>1</v>
      </c>
      <c r="N335" s="8">
        <v>0</v>
      </c>
      <c r="O335" s="8">
        <v>0</v>
      </c>
      <c r="P335" s="8">
        <v>0</v>
      </c>
      <c r="Q335" s="8">
        <v>0</v>
      </c>
      <c r="R335" s="8">
        <v>0</v>
      </c>
      <c r="S335" s="8">
        <v>1</v>
      </c>
      <c r="T335" s="8">
        <v>1</v>
      </c>
      <c r="U335" s="8">
        <v>0</v>
      </c>
      <c r="V335" s="8">
        <v>0</v>
      </c>
      <c r="W335" s="8">
        <v>0</v>
      </c>
      <c r="X335" s="8">
        <v>0</v>
      </c>
      <c r="Y335" s="8">
        <v>0</v>
      </c>
      <c r="Z335" s="8">
        <v>0</v>
      </c>
      <c r="AA335" s="8">
        <v>0</v>
      </c>
      <c r="AB335" s="8">
        <v>1</v>
      </c>
      <c r="AC335" s="8">
        <v>0</v>
      </c>
    </row>
    <row r="336" spans="3:29" x14ac:dyDescent="0.25">
      <c r="C336" s="9" t="s">
        <v>405</v>
      </c>
      <c r="D336" s="8">
        <v>3</v>
      </c>
      <c r="E336" s="8">
        <v>3</v>
      </c>
      <c r="F336" s="8">
        <v>3</v>
      </c>
      <c r="G336" s="8">
        <v>3773</v>
      </c>
      <c r="H336" s="8">
        <v>1</v>
      </c>
      <c r="I336" s="8">
        <v>0</v>
      </c>
      <c r="J336" s="8">
        <v>1</v>
      </c>
      <c r="K336" s="8">
        <v>0</v>
      </c>
      <c r="L336" s="8">
        <v>0</v>
      </c>
      <c r="M336" s="8">
        <v>1</v>
      </c>
      <c r="N336" s="8">
        <v>0</v>
      </c>
      <c r="O336" s="8">
        <v>0</v>
      </c>
      <c r="P336" s="8">
        <v>0</v>
      </c>
      <c r="Q336" s="8">
        <v>1</v>
      </c>
      <c r="R336" s="8">
        <v>0</v>
      </c>
      <c r="S336" s="8">
        <v>0</v>
      </c>
      <c r="T336" s="8">
        <v>0</v>
      </c>
      <c r="U336" s="8">
        <v>1</v>
      </c>
      <c r="V336" s="8">
        <v>0</v>
      </c>
      <c r="W336" s="8">
        <v>0</v>
      </c>
      <c r="X336" s="8">
        <v>0</v>
      </c>
      <c r="Y336" s="8">
        <v>0</v>
      </c>
      <c r="Z336" s="8">
        <v>1</v>
      </c>
      <c r="AA336" s="8">
        <v>0</v>
      </c>
      <c r="AB336" s="8">
        <v>0</v>
      </c>
      <c r="AC336" s="8">
        <v>0</v>
      </c>
    </row>
    <row r="337" spans="3:29" x14ac:dyDescent="0.25">
      <c r="C337" s="9" t="s">
        <v>477</v>
      </c>
      <c r="D337" s="8">
        <v>28</v>
      </c>
      <c r="E337" s="8">
        <v>20</v>
      </c>
      <c r="F337" s="8">
        <v>3</v>
      </c>
      <c r="G337" s="8">
        <v>3025</v>
      </c>
      <c r="H337" s="8">
        <v>8</v>
      </c>
      <c r="I337" s="8">
        <v>0</v>
      </c>
      <c r="J337" s="8">
        <v>1</v>
      </c>
      <c r="K337" s="8">
        <v>0</v>
      </c>
      <c r="L337" s="8">
        <v>0</v>
      </c>
      <c r="M337" s="8">
        <v>0</v>
      </c>
      <c r="N337" s="8">
        <v>0</v>
      </c>
      <c r="O337" s="8">
        <v>1</v>
      </c>
      <c r="P337" s="8">
        <v>0</v>
      </c>
      <c r="Q337" s="8">
        <v>0</v>
      </c>
      <c r="R337" s="8">
        <v>0</v>
      </c>
      <c r="S337" s="8">
        <v>1</v>
      </c>
      <c r="T337" s="8">
        <v>0</v>
      </c>
      <c r="U337" s="8">
        <v>0</v>
      </c>
      <c r="V337" s="8">
        <v>1</v>
      </c>
      <c r="W337" s="8">
        <v>1</v>
      </c>
      <c r="X337" s="8">
        <v>0</v>
      </c>
      <c r="Y337" s="8">
        <v>0</v>
      </c>
      <c r="Z337" s="8">
        <v>0</v>
      </c>
      <c r="AA337" s="8">
        <v>0</v>
      </c>
      <c r="AB337" s="8">
        <v>0</v>
      </c>
      <c r="AC337" s="8">
        <v>0</v>
      </c>
    </row>
    <row r="338" spans="3:29" x14ac:dyDescent="0.25">
      <c r="C338" s="9" t="s">
        <v>478</v>
      </c>
      <c r="D338" s="8">
        <v>23</v>
      </c>
      <c r="E338" s="8">
        <v>23</v>
      </c>
      <c r="F338" s="8">
        <v>5</v>
      </c>
      <c r="G338" s="8">
        <v>315</v>
      </c>
      <c r="H338" s="8">
        <v>1</v>
      </c>
      <c r="I338" s="8">
        <v>0</v>
      </c>
      <c r="J338" s="8">
        <v>1</v>
      </c>
      <c r="K338" s="8">
        <v>0</v>
      </c>
      <c r="L338" s="8">
        <v>0</v>
      </c>
      <c r="M338" s="8">
        <v>0</v>
      </c>
      <c r="N338" s="8">
        <v>1</v>
      </c>
      <c r="O338" s="8">
        <v>0</v>
      </c>
      <c r="P338" s="8">
        <v>0</v>
      </c>
      <c r="Q338" s="8">
        <v>1</v>
      </c>
      <c r="R338" s="8">
        <v>0</v>
      </c>
      <c r="S338" s="8">
        <v>0</v>
      </c>
      <c r="T338" s="8">
        <v>0</v>
      </c>
      <c r="U338" s="8">
        <v>0</v>
      </c>
      <c r="V338" s="8">
        <v>1</v>
      </c>
      <c r="W338" s="8">
        <v>0</v>
      </c>
      <c r="X338" s="8">
        <v>0</v>
      </c>
      <c r="Y338" s="8">
        <v>0</v>
      </c>
      <c r="Z338" s="8">
        <v>1</v>
      </c>
      <c r="AA338" s="8">
        <v>0</v>
      </c>
      <c r="AB338" s="8">
        <v>0</v>
      </c>
      <c r="AC338" s="8">
        <v>0</v>
      </c>
    </row>
    <row r="339" spans="3:29" x14ac:dyDescent="0.25">
      <c r="C339" s="9" t="s">
        <v>479</v>
      </c>
      <c r="D339" s="8">
        <v>20</v>
      </c>
      <c r="E339" s="8">
        <v>6</v>
      </c>
      <c r="F339" s="8">
        <v>5</v>
      </c>
      <c r="G339" s="8">
        <v>4027</v>
      </c>
      <c r="H339" s="8">
        <v>0</v>
      </c>
      <c r="I339" s="8">
        <v>1</v>
      </c>
      <c r="J339" s="8">
        <v>0</v>
      </c>
      <c r="K339" s="8">
        <v>0</v>
      </c>
      <c r="L339" s="8">
        <v>0</v>
      </c>
      <c r="M339" s="8">
        <v>1</v>
      </c>
      <c r="N339" s="8">
        <v>0</v>
      </c>
      <c r="O339" s="8">
        <v>0</v>
      </c>
      <c r="P339" s="8">
        <v>0</v>
      </c>
      <c r="Q339" s="8">
        <v>0</v>
      </c>
      <c r="R339" s="8">
        <v>0</v>
      </c>
      <c r="S339" s="8">
        <v>1</v>
      </c>
      <c r="T339" s="8">
        <v>0</v>
      </c>
      <c r="U339" s="8">
        <v>0</v>
      </c>
      <c r="V339" s="8">
        <v>1</v>
      </c>
      <c r="W339" s="8">
        <v>0</v>
      </c>
      <c r="X339" s="8">
        <v>0</v>
      </c>
      <c r="Y339" s="8">
        <v>0</v>
      </c>
      <c r="Z339" s="8">
        <v>0</v>
      </c>
      <c r="AA339" s="8">
        <v>0</v>
      </c>
      <c r="AB339" s="8">
        <v>0</v>
      </c>
      <c r="AC339" s="8">
        <v>1</v>
      </c>
    </row>
    <row r="340" spans="3:29" x14ac:dyDescent="0.25">
      <c r="C340" s="9" t="s">
        <v>480</v>
      </c>
      <c r="D340" s="8">
        <v>26</v>
      </c>
      <c r="E340" s="8">
        <v>7</v>
      </c>
      <c r="F340" s="8">
        <v>4</v>
      </c>
      <c r="G340" s="8">
        <v>315</v>
      </c>
      <c r="H340" s="8">
        <v>0</v>
      </c>
      <c r="I340" s="8">
        <v>0</v>
      </c>
      <c r="J340" s="8">
        <v>0</v>
      </c>
      <c r="K340" s="8">
        <v>0</v>
      </c>
      <c r="L340" s="8">
        <v>1</v>
      </c>
      <c r="M340" s="8">
        <v>0</v>
      </c>
      <c r="N340" s="8">
        <v>1</v>
      </c>
      <c r="O340" s="8">
        <v>0</v>
      </c>
      <c r="P340" s="8">
        <v>0</v>
      </c>
      <c r="Q340" s="8">
        <v>1</v>
      </c>
      <c r="R340" s="8">
        <v>0</v>
      </c>
      <c r="S340" s="8">
        <v>0</v>
      </c>
      <c r="T340" s="8">
        <v>1</v>
      </c>
      <c r="U340" s="8">
        <v>0</v>
      </c>
      <c r="V340" s="8">
        <v>0</v>
      </c>
      <c r="W340" s="8">
        <v>1</v>
      </c>
      <c r="X340" s="8">
        <v>0</v>
      </c>
      <c r="Y340" s="8">
        <v>0</v>
      </c>
      <c r="Z340" s="8">
        <v>0</v>
      </c>
      <c r="AA340" s="8">
        <v>0</v>
      </c>
      <c r="AB340" s="8">
        <v>0</v>
      </c>
      <c r="AC340" s="8">
        <v>0</v>
      </c>
    </row>
    <row r="341" spans="3:29" x14ac:dyDescent="0.25">
      <c r="C341" s="9" t="s">
        <v>481</v>
      </c>
      <c r="D341" s="8">
        <v>8</v>
      </c>
      <c r="E341" s="8">
        <v>5</v>
      </c>
      <c r="F341" s="8">
        <v>4</v>
      </c>
      <c r="G341" s="8">
        <v>3003</v>
      </c>
      <c r="H341" s="8">
        <v>8</v>
      </c>
      <c r="I341" s="8">
        <v>0</v>
      </c>
      <c r="J341" s="8">
        <v>0</v>
      </c>
      <c r="K341" s="8">
        <v>0</v>
      </c>
      <c r="L341" s="8">
        <v>1</v>
      </c>
      <c r="M341" s="8">
        <v>0</v>
      </c>
      <c r="N341" s="8">
        <v>0</v>
      </c>
      <c r="O341" s="8">
        <v>1</v>
      </c>
      <c r="P341" s="8">
        <v>0</v>
      </c>
      <c r="Q341" s="8">
        <v>0</v>
      </c>
      <c r="R341" s="8">
        <v>1</v>
      </c>
      <c r="S341" s="8">
        <v>0</v>
      </c>
      <c r="T341" s="8">
        <v>0</v>
      </c>
      <c r="U341" s="8">
        <v>1</v>
      </c>
      <c r="V341" s="8">
        <v>0</v>
      </c>
      <c r="W341" s="8">
        <v>1</v>
      </c>
      <c r="X341" s="8">
        <v>0</v>
      </c>
      <c r="Y341" s="8">
        <v>0</v>
      </c>
      <c r="Z341" s="8">
        <v>0</v>
      </c>
      <c r="AA341" s="8">
        <v>0</v>
      </c>
      <c r="AB341" s="8">
        <v>0</v>
      </c>
      <c r="AC341" s="8">
        <v>0</v>
      </c>
    </row>
    <row r="342" spans="3:29" x14ac:dyDescent="0.25">
      <c r="C342" s="9" t="s">
        <v>482</v>
      </c>
      <c r="D342" s="8">
        <v>8</v>
      </c>
      <c r="E342" s="8">
        <v>4</v>
      </c>
      <c r="F342" s="8">
        <v>4</v>
      </c>
      <c r="G342" s="8">
        <v>1467</v>
      </c>
      <c r="H342" s="8">
        <v>1</v>
      </c>
      <c r="I342" s="8">
        <v>0</v>
      </c>
      <c r="J342" s="8">
        <v>0</v>
      </c>
      <c r="K342" s="8">
        <v>1</v>
      </c>
      <c r="L342" s="8">
        <v>0</v>
      </c>
      <c r="M342" s="8">
        <v>0</v>
      </c>
      <c r="N342" s="8">
        <v>0</v>
      </c>
      <c r="O342" s="8">
        <v>1</v>
      </c>
      <c r="P342" s="8">
        <v>1</v>
      </c>
      <c r="Q342" s="8">
        <v>0</v>
      </c>
      <c r="R342" s="8">
        <v>1</v>
      </c>
      <c r="S342" s="8">
        <v>0</v>
      </c>
      <c r="T342" s="8">
        <v>1</v>
      </c>
      <c r="U342" s="8">
        <v>0</v>
      </c>
      <c r="V342" s="8">
        <v>0</v>
      </c>
      <c r="W342" s="8">
        <v>0</v>
      </c>
      <c r="X342" s="8">
        <v>0</v>
      </c>
      <c r="Y342" s="8">
        <v>0</v>
      </c>
      <c r="Z342" s="8">
        <v>0</v>
      </c>
      <c r="AA342" s="8">
        <v>0</v>
      </c>
      <c r="AB342" s="8">
        <v>1</v>
      </c>
      <c r="AC342" s="8">
        <v>0</v>
      </c>
    </row>
    <row r="343" spans="3:29" x14ac:dyDescent="0.25">
      <c r="C343" s="9" t="s">
        <v>483</v>
      </c>
      <c r="D343" s="8">
        <v>41</v>
      </c>
      <c r="E343" s="8">
        <v>10</v>
      </c>
      <c r="F343" s="8">
        <v>5</v>
      </c>
      <c r="G343" s="8">
        <v>2959</v>
      </c>
      <c r="H343" s="8">
        <v>4</v>
      </c>
      <c r="I343" s="8">
        <v>0</v>
      </c>
      <c r="J343" s="8">
        <v>1</v>
      </c>
      <c r="K343" s="8">
        <v>0</v>
      </c>
      <c r="L343" s="8">
        <v>0</v>
      </c>
      <c r="M343" s="8">
        <v>0</v>
      </c>
      <c r="N343" s="8">
        <v>1</v>
      </c>
      <c r="O343" s="8">
        <v>0</v>
      </c>
      <c r="P343" s="8">
        <v>0</v>
      </c>
      <c r="Q343" s="8">
        <v>0</v>
      </c>
      <c r="R343" s="8">
        <v>0</v>
      </c>
      <c r="S343" s="8">
        <v>1</v>
      </c>
      <c r="T343" s="8">
        <v>0</v>
      </c>
      <c r="U343" s="8">
        <v>0</v>
      </c>
      <c r="V343" s="8">
        <v>1</v>
      </c>
      <c r="W343" s="8">
        <v>0</v>
      </c>
      <c r="X343" s="8">
        <v>0</v>
      </c>
      <c r="Y343" s="8">
        <v>1</v>
      </c>
      <c r="Z343" s="8">
        <v>0</v>
      </c>
      <c r="AA343" s="8">
        <v>0</v>
      </c>
      <c r="AB343" s="8">
        <v>0</v>
      </c>
      <c r="AC343" s="8">
        <v>0</v>
      </c>
    </row>
    <row r="344" spans="3:29" x14ac:dyDescent="0.25">
      <c r="C344" s="9" t="s">
        <v>484</v>
      </c>
      <c r="D344" s="8">
        <v>76</v>
      </c>
      <c r="E344" s="8">
        <v>27</v>
      </c>
      <c r="F344" s="8">
        <v>3</v>
      </c>
      <c r="G344" s="8">
        <v>787</v>
      </c>
      <c r="H344" s="8">
        <v>6</v>
      </c>
      <c r="I344" s="8">
        <v>0</v>
      </c>
      <c r="J344" s="8">
        <v>0</v>
      </c>
      <c r="K344" s="8">
        <v>0</v>
      </c>
      <c r="L344" s="8">
        <v>1</v>
      </c>
      <c r="M344" s="8">
        <v>0</v>
      </c>
      <c r="N344" s="8">
        <v>0</v>
      </c>
      <c r="O344" s="8">
        <v>1</v>
      </c>
      <c r="P344" s="8">
        <v>1</v>
      </c>
      <c r="Q344" s="8">
        <v>1</v>
      </c>
      <c r="R344" s="8">
        <v>0</v>
      </c>
      <c r="S344" s="8">
        <v>0</v>
      </c>
      <c r="T344" s="8">
        <v>0</v>
      </c>
      <c r="U344" s="8">
        <v>1</v>
      </c>
      <c r="V344" s="8">
        <v>0</v>
      </c>
      <c r="W344" s="8">
        <v>0</v>
      </c>
      <c r="X344" s="8">
        <v>0</v>
      </c>
      <c r="Y344" s="8">
        <v>0</v>
      </c>
      <c r="Z344" s="8">
        <v>0</v>
      </c>
      <c r="AA344" s="8">
        <v>1</v>
      </c>
      <c r="AB344" s="8">
        <v>0</v>
      </c>
      <c r="AC344" s="8">
        <v>0</v>
      </c>
    </row>
    <row r="345" spans="3:29" x14ac:dyDescent="0.25">
      <c r="C345" s="9" t="s">
        <v>485</v>
      </c>
      <c r="D345" s="8">
        <v>32</v>
      </c>
      <c r="E345" s="8">
        <v>11</v>
      </c>
      <c r="F345" s="8">
        <v>5</v>
      </c>
      <c r="G345" s="8">
        <v>2034</v>
      </c>
      <c r="H345" s="8">
        <v>3</v>
      </c>
      <c r="I345" s="8">
        <v>0</v>
      </c>
      <c r="J345" s="8">
        <v>1</v>
      </c>
      <c r="K345" s="8">
        <v>0</v>
      </c>
      <c r="L345" s="8">
        <v>0</v>
      </c>
      <c r="M345" s="8">
        <v>0</v>
      </c>
      <c r="N345" s="8">
        <v>1</v>
      </c>
      <c r="O345" s="8">
        <v>0</v>
      </c>
      <c r="P345" s="8">
        <v>0</v>
      </c>
      <c r="Q345" s="8">
        <v>0</v>
      </c>
      <c r="R345" s="8">
        <v>0</v>
      </c>
      <c r="S345" s="8">
        <v>1</v>
      </c>
      <c r="T345" s="8">
        <v>0</v>
      </c>
      <c r="U345" s="8">
        <v>0</v>
      </c>
      <c r="V345" s="8">
        <v>1</v>
      </c>
      <c r="W345" s="8">
        <v>0</v>
      </c>
      <c r="X345" s="8">
        <v>0</v>
      </c>
      <c r="Y345" s="8">
        <v>0</v>
      </c>
      <c r="Z345" s="8">
        <v>1</v>
      </c>
      <c r="AA345" s="8">
        <v>0</v>
      </c>
      <c r="AB345" s="8">
        <v>0</v>
      </c>
      <c r="AC345" s="8">
        <v>0</v>
      </c>
    </row>
    <row r="346" spans="3:29" x14ac:dyDescent="0.25">
      <c r="C346" s="9" t="s">
        <v>486</v>
      </c>
      <c r="D346" s="8">
        <v>3</v>
      </c>
      <c r="E346" s="8">
        <v>3</v>
      </c>
      <c r="F346" s="8">
        <v>3</v>
      </c>
      <c r="G346" s="8">
        <v>716</v>
      </c>
      <c r="H346" s="8">
        <v>0</v>
      </c>
      <c r="I346" s="8">
        <v>0</v>
      </c>
      <c r="J346" s="8">
        <v>1</v>
      </c>
      <c r="K346" s="8">
        <v>0</v>
      </c>
      <c r="L346" s="8">
        <v>0</v>
      </c>
      <c r="M346" s="8">
        <v>1</v>
      </c>
      <c r="N346" s="8">
        <v>0</v>
      </c>
      <c r="O346" s="8">
        <v>0</v>
      </c>
      <c r="P346" s="8">
        <v>1</v>
      </c>
      <c r="Q346" s="8">
        <v>1</v>
      </c>
      <c r="R346" s="8">
        <v>0</v>
      </c>
      <c r="S346" s="8">
        <v>0</v>
      </c>
      <c r="T346" s="8">
        <v>0</v>
      </c>
      <c r="U346" s="8">
        <v>0</v>
      </c>
      <c r="V346" s="8">
        <v>1</v>
      </c>
      <c r="W346" s="8">
        <v>0</v>
      </c>
      <c r="X346" s="8">
        <v>0</v>
      </c>
      <c r="Y346" s="8">
        <v>0</v>
      </c>
      <c r="Z346" s="8">
        <v>0</v>
      </c>
      <c r="AA346" s="8">
        <v>0</v>
      </c>
      <c r="AB346" s="8">
        <v>0</v>
      </c>
      <c r="AC346" s="8">
        <v>1</v>
      </c>
    </row>
    <row r="347" spans="3:29" x14ac:dyDescent="0.25">
      <c r="C347" s="9" t="s">
        <v>487</v>
      </c>
      <c r="D347" s="8">
        <v>22</v>
      </c>
      <c r="E347" s="8">
        <v>15</v>
      </c>
      <c r="F347" s="8">
        <v>4</v>
      </c>
      <c r="G347" s="8">
        <v>1228</v>
      </c>
      <c r="H347" s="8">
        <v>6</v>
      </c>
      <c r="I347" s="8">
        <v>0</v>
      </c>
      <c r="J347" s="8">
        <v>0</v>
      </c>
      <c r="K347" s="8">
        <v>0</v>
      </c>
      <c r="L347" s="8">
        <v>1</v>
      </c>
      <c r="M347" s="8">
        <v>0</v>
      </c>
      <c r="N347" s="8">
        <v>1</v>
      </c>
      <c r="O347" s="8">
        <v>0</v>
      </c>
      <c r="P347" s="8">
        <v>0</v>
      </c>
      <c r="Q347" s="8">
        <v>1</v>
      </c>
      <c r="R347" s="8">
        <v>0</v>
      </c>
      <c r="S347" s="8">
        <v>0</v>
      </c>
      <c r="T347" s="8">
        <v>0</v>
      </c>
      <c r="U347" s="8">
        <v>0</v>
      </c>
      <c r="V347" s="8">
        <v>1</v>
      </c>
      <c r="W347" s="8">
        <v>0</v>
      </c>
      <c r="X347" s="8">
        <v>1</v>
      </c>
      <c r="Y347" s="8">
        <v>0</v>
      </c>
      <c r="Z347" s="8">
        <v>0</v>
      </c>
      <c r="AA347" s="8">
        <v>0</v>
      </c>
      <c r="AB347" s="8">
        <v>0</v>
      </c>
      <c r="AC347" s="8">
        <v>0</v>
      </c>
    </row>
    <row r="348" spans="3:29" x14ac:dyDescent="0.25">
      <c r="C348" s="9" t="s">
        <v>488</v>
      </c>
      <c r="D348" s="8">
        <v>12</v>
      </c>
      <c r="E348" s="8">
        <v>4</v>
      </c>
      <c r="F348" s="8">
        <v>3</v>
      </c>
      <c r="G348" s="8">
        <v>2884</v>
      </c>
      <c r="H348" s="8">
        <v>1</v>
      </c>
      <c r="I348" s="8">
        <v>0</v>
      </c>
      <c r="J348" s="8">
        <v>0</v>
      </c>
      <c r="K348" s="8">
        <v>1</v>
      </c>
      <c r="L348" s="8">
        <v>0</v>
      </c>
      <c r="M348" s="8">
        <v>0</v>
      </c>
      <c r="N348" s="8">
        <v>1</v>
      </c>
      <c r="O348" s="8">
        <v>0</v>
      </c>
      <c r="P348" s="8">
        <v>1</v>
      </c>
      <c r="Q348" s="8">
        <v>0</v>
      </c>
      <c r="R348" s="8">
        <v>1</v>
      </c>
      <c r="S348" s="8">
        <v>0</v>
      </c>
      <c r="T348" s="8">
        <v>1</v>
      </c>
      <c r="U348" s="8">
        <v>0</v>
      </c>
      <c r="V348" s="8">
        <v>0</v>
      </c>
      <c r="W348" s="8">
        <v>1</v>
      </c>
      <c r="X348" s="8">
        <v>0</v>
      </c>
      <c r="Y348" s="8">
        <v>0</v>
      </c>
      <c r="Z348" s="8">
        <v>0</v>
      </c>
      <c r="AA348" s="8">
        <v>0</v>
      </c>
      <c r="AB348" s="8">
        <v>0</v>
      </c>
      <c r="AC348" s="8">
        <v>0</v>
      </c>
    </row>
    <row r="349" spans="3:29" x14ac:dyDescent="0.25">
      <c r="C349" s="9" t="s">
        <v>489</v>
      </c>
      <c r="D349" s="8">
        <v>31</v>
      </c>
      <c r="E349" s="8">
        <v>10</v>
      </c>
      <c r="F349" s="8">
        <v>4</v>
      </c>
      <c r="G349" s="8">
        <v>3025</v>
      </c>
      <c r="H349" s="8">
        <v>5</v>
      </c>
      <c r="I349" s="8">
        <v>0</v>
      </c>
      <c r="J349" s="8">
        <v>0</v>
      </c>
      <c r="K349" s="8">
        <v>1</v>
      </c>
      <c r="L349" s="8">
        <v>0</v>
      </c>
      <c r="M349" s="8">
        <v>0</v>
      </c>
      <c r="N349" s="8">
        <v>0</v>
      </c>
      <c r="O349" s="8">
        <v>1</v>
      </c>
      <c r="P349" s="8">
        <v>0</v>
      </c>
      <c r="Q349" s="8">
        <v>0</v>
      </c>
      <c r="R349" s="8">
        <v>0</v>
      </c>
      <c r="S349" s="8">
        <v>1</v>
      </c>
      <c r="T349" s="8">
        <v>0</v>
      </c>
      <c r="U349" s="8">
        <v>0</v>
      </c>
      <c r="V349" s="8">
        <v>1</v>
      </c>
      <c r="W349" s="8">
        <v>0</v>
      </c>
      <c r="X349" s="8">
        <v>0</v>
      </c>
      <c r="Y349" s="8">
        <v>0</v>
      </c>
      <c r="Z349" s="8">
        <v>1</v>
      </c>
      <c r="AA349" s="8">
        <v>0</v>
      </c>
      <c r="AB349" s="8">
        <v>0</v>
      </c>
      <c r="AC349" s="8">
        <v>0</v>
      </c>
    </row>
    <row r="350" spans="3:29" x14ac:dyDescent="0.25">
      <c r="C350" s="9" t="s">
        <v>490</v>
      </c>
      <c r="D350" s="8">
        <v>13</v>
      </c>
      <c r="E350" s="8">
        <v>7</v>
      </c>
      <c r="F350" s="8">
        <v>5</v>
      </c>
      <c r="G350" s="8">
        <v>2034</v>
      </c>
      <c r="H350" s="8">
        <v>5</v>
      </c>
      <c r="I350" s="8">
        <v>0</v>
      </c>
      <c r="J350" s="8">
        <v>0</v>
      </c>
      <c r="K350" s="8">
        <v>0</v>
      </c>
      <c r="L350" s="8">
        <v>1</v>
      </c>
      <c r="M350" s="8">
        <v>0</v>
      </c>
      <c r="N350" s="8">
        <v>0</v>
      </c>
      <c r="O350" s="8">
        <v>1</v>
      </c>
      <c r="P350" s="8">
        <v>0</v>
      </c>
      <c r="Q350" s="8">
        <v>0</v>
      </c>
      <c r="R350" s="8">
        <v>0</v>
      </c>
      <c r="S350" s="8">
        <v>1</v>
      </c>
      <c r="T350" s="8">
        <v>1</v>
      </c>
      <c r="U350" s="8">
        <v>0</v>
      </c>
      <c r="V350" s="8">
        <v>0</v>
      </c>
      <c r="W350" s="8">
        <v>0</v>
      </c>
      <c r="X350" s="8">
        <v>0</v>
      </c>
      <c r="Y350" s="8">
        <v>0</v>
      </c>
      <c r="Z350" s="8">
        <v>1</v>
      </c>
      <c r="AA350" s="8">
        <v>0</v>
      </c>
      <c r="AB350" s="8">
        <v>0</v>
      </c>
      <c r="AC350" s="8">
        <v>0</v>
      </c>
    </row>
    <row r="351" spans="3:29" x14ac:dyDescent="0.25">
      <c r="C351" s="9" t="s">
        <v>491</v>
      </c>
      <c r="D351" s="8">
        <v>82</v>
      </c>
      <c r="E351" s="8">
        <v>14</v>
      </c>
      <c r="F351" s="8">
        <v>3</v>
      </c>
      <c r="G351" s="8">
        <v>315</v>
      </c>
      <c r="H351" s="8">
        <v>1</v>
      </c>
      <c r="I351" s="8">
        <v>0</v>
      </c>
      <c r="J351" s="8">
        <v>0</v>
      </c>
      <c r="K351" s="8">
        <v>1</v>
      </c>
      <c r="L351" s="8">
        <v>0</v>
      </c>
      <c r="M351" s="8">
        <v>0</v>
      </c>
      <c r="N351" s="8">
        <v>1</v>
      </c>
      <c r="O351" s="8">
        <v>0</v>
      </c>
      <c r="P351" s="8">
        <v>0</v>
      </c>
      <c r="Q351" s="8">
        <v>1</v>
      </c>
      <c r="R351" s="8">
        <v>0</v>
      </c>
      <c r="S351" s="8">
        <v>0</v>
      </c>
      <c r="T351" s="8">
        <v>0</v>
      </c>
      <c r="U351" s="8">
        <v>0</v>
      </c>
      <c r="V351" s="8">
        <v>1</v>
      </c>
      <c r="W351" s="8">
        <v>0</v>
      </c>
      <c r="X351" s="8">
        <v>0</v>
      </c>
      <c r="Y351" s="8">
        <v>0</v>
      </c>
      <c r="Z351" s="8">
        <v>0</v>
      </c>
      <c r="AA351" s="8">
        <v>0</v>
      </c>
      <c r="AB351" s="8">
        <v>0</v>
      </c>
      <c r="AC351" s="8">
        <v>1</v>
      </c>
    </row>
    <row r="352" spans="3:29" x14ac:dyDescent="0.25">
      <c r="C352" s="9" t="s">
        <v>492</v>
      </c>
      <c r="D352" s="8">
        <v>85</v>
      </c>
      <c r="E352" s="8">
        <v>43</v>
      </c>
      <c r="F352" s="8">
        <v>5</v>
      </c>
      <c r="G352" s="8">
        <v>2034</v>
      </c>
      <c r="H352" s="8">
        <v>5</v>
      </c>
      <c r="I352" s="8">
        <v>0</v>
      </c>
      <c r="J352" s="8">
        <v>0</v>
      </c>
      <c r="K352" s="8">
        <v>0</v>
      </c>
      <c r="L352" s="8">
        <v>1</v>
      </c>
      <c r="M352" s="8">
        <v>1</v>
      </c>
      <c r="N352" s="8">
        <v>0</v>
      </c>
      <c r="O352" s="8">
        <v>0</v>
      </c>
      <c r="P352" s="8">
        <v>0</v>
      </c>
      <c r="Q352" s="8">
        <v>0</v>
      </c>
      <c r="R352" s="8">
        <v>0</v>
      </c>
      <c r="S352" s="8">
        <v>1</v>
      </c>
      <c r="T352" s="8">
        <v>0</v>
      </c>
      <c r="U352" s="8">
        <v>1</v>
      </c>
      <c r="V352" s="8">
        <v>0</v>
      </c>
      <c r="W352" s="8">
        <v>0</v>
      </c>
      <c r="X352" s="8">
        <v>0</v>
      </c>
      <c r="Y352" s="8">
        <v>0</v>
      </c>
      <c r="Z352" s="8">
        <v>0</v>
      </c>
      <c r="AA352" s="8">
        <v>0</v>
      </c>
      <c r="AB352" s="8">
        <v>0</v>
      </c>
      <c r="AC352" s="8">
        <v>1</v>
      </c>
    </row>
    <row r="353" spans="3:29" x14ac:dyDescent="0.25">
      <c r="C353" s="9" t="s">
        <v>493</v>
      </c>
      <c r="D353" s="8">
        <v>9</v>
      </c>
      <c r="E353" s="8">
        <v>7</v>
      </c>
      <c r="F353" s="8">
        <v>5</v>
      </c>
      <c r="G353" s="8">
        <v>2959</v>
      </c>
      <c r="H353" s="8">
        <v>5</v>
      </c>
      <c r="I353" s="8">
        <v>0</v>
      </c>
      <c r="J353" s="8">
        <v>0</v>
      </c>
      <c r="K353" s="8">
        <v>0</v>
      </c>
      <c r="L353" s="8">
        <v>1</v>
      </c>
      <c r="M353" s="8">
        <v>1</v>
      </c>
      <c r="N353" s="8">
        <v>0</v>
      </c>
      <c r="O353" s="8">
        <v>0</v>
      </c>
      <c r="P353" s="8">
        <v>0</v>
      </c>
      <c r="Q353" s="8">
        <v>0</v>
      </c>
      <c r="R353" s="8">
        <v>0</v>
      </c>
      <c r="S353" s="8">
        <v>1</v>
      </c>
      <c r="T353" s="8">
        <v>1</v>
      </c>
      <c r="U353" s="8">
        <v>0</v>
      </c>
      <c r="V353" s="8">
        <v>0</v>
      </c>
      <c r="W353" s="8">
        <v>0</v>
      </c>
      <c r="X353" s="8">
        <v>0</v>
      </c>
      <c r="Y353" s="8">
        <v>0</v>
      </c>
      <c r="Z353" s="8">
        <v>0</v>
      </c>
      <c r="AA353" s="8">
        <v>0</v>
      </c>
      <c r="AB353" s="8">
        <v>0</v>
      </c>
      <c r="AC353" s="8">
        <v>1</v>
      </c>
    </row>
    <row r="354" spans="3:29" x14ac:dyDescent="0.25">
      <c r="C354" s="9" t="s">
        <v>494</v>
      </c>
      <c r="D354" s="8">
        <v>34</v>
      </c>
      <c r="E354" s="8">
        <v>12</v>
      </c>
      <c r="F354" s="8">
        <v>4</v>
      </c>
      <c r="G354" s="8">
        <v>787</v>
      </c>
      <c r="H354" s="8">
        <v>3</v>
      </c>
      <c r="I354" s="8">
        <v>0</v>
      </c>
      <c r="J354" s="8">
        <v>0</v>
      </c>
      <c r="K354" s="8">
        <v>1</v>
      </c>
      <c r="L354" s="8">
        <v>0</v>
      </c>
      <c r="M354" s="8">
        <v>0</v>
      </c>
      <c r="N354" s="8">
        <v>0</v>
      </c>
      <c r="O354" s="8">
        <v>1</v>
      </c>
      <c r="P354" s="8">
        <v>1</v>
      </c>
      <c r="Q354" s="8">
        <v>1</v>
      </c>
      <c r="R354" s="8">
        <v>0</v>
      </c>
      <c r="S354" s="8">
        <v>0</v>
      </c>
      <c r="T354" s="8">
        <v>0</v>
      </c>
      <c r="U354" s="8">
        <v>0</v>
      </c>
      <c r="V354" s="8">
        <v>1</v>
      </c>
      <c r="W354" s="8">
        <v>0</v>
      </c>
      <c r="X354" s="8">
        <v>0</v>
      </c>
      <c r="Y354" s="8">
        <v>0</v>
      </c>
      <c r="Z354" s="8">
        <v>0</v>
      </c>
      <c r="AA354" s="8">
        <v>0</v>
      </c>
      <c r="AB354" s="8">
        <v>1</v>
      </c>
      <c r="AC354" s="8">
        <v>0</v>
      </c>
    </row>
    <row r="355" spans="3:29" x14ac:dyDescent="0.25">
      <c r="C355" s="9" t="s">
        <v>495</v>
      </c>
      <c r="D355" s="8">
        <v>92</v>
      </c>
      <c r="E355" s="8">
        <v>49</v>
      </c>
      <c r="F355" s="8">
        <v>4</v>
      </c>
      <c r="G355" s="8">
        <v>1228</v>
      </c>
      <c r="H355" s="8">
        <v>5</v>
      </c>
      <c r="I355" s="8">
        <v>0</v>
      </c>
      <c r="J355" s="8">
        <v>0</v>
      </c>
      <c r="K355" s="8">
        <v>1</v>
      </c>
      <c r="L355" s="8">
        <v>0</v>
      </c>
      <c r="M355" s="8">
        <v>0</v>
      </c>
      <c r="N355" s="8">
        <v>0</v>
      </c>
      <c r="O355" s="8">
        <v>1</v>
      </c>
      <c r="P355" s="8">
        <v>0</v>
      </c>
      <c r="Q355" s="8">
        <v>1</v>
      </c>
      <c r="R355" s="8">
        <v>0</v>
      </c>
      <c r="S355" s="8">
        <v>0</v>
      </c>
      <c r="T355" s="8">
        <v>0</v>
      </c>
      <c r="U355" s="8">
        <v>1</v>
      </c>
      <c r="V355" s="8">
        <v>0</v>
      </c>
      <c r="W355" s="8">
        <v>0</v>
      </c>
      <c r="X355" s="8">
        <v>0</v>
      </c>
      <c r="Y355" s="8">
        <v>0</v>
      </c>
      <c r="Z355" s="8">
        <v>0</v>
      </c>
      <c r="AA355" s="8">
        <v>1</v>
      </c>
      <c r="AB355" s="8">
        <v>0</v>
      </c>
      <c r="AC355" s="8">
        <v>0</v>
      </c>
    </row>
    <row r="356" spans="3:29" x14ac:dyDescent="0.25">
      <c r="C356" s="9" t="s">
        <v>496</v>
      </c>
      <c r="D356" s="8">
        <v>127</v>
      </c>
      <c r="E356" s="8">
        <v>40</v>
      </c>
      <c r="F356" s="8">
        <v>4</v>
      </c>
      <c r="G356" s="8">
        <v>2034</v>
      </c>
      <c r="H356" s="8">
        <v>8</v>
      </c>
      <c r="I356" s="8">
        <v>1</v>
      </c>
      <c r="J356" s="8">
        <v>0</v>
      </c>
      <c r="K356" s="8">
        <v>0</v>
      </c>
      <c r="L356" s="8">
        <v>0</v>
      </c>
      <c r="M356" s="8">
        <v>0</v>
      </c>
      <c r="N356" s="8">
        <v>0</v>
      </c>
      <c r="O356" s="8">
        <v>1</v>
      </c>
      <c r="P356" s="8">
        <v>0</v>
      </c>
      <c r="Q356" s="8">
        <v>0</v>
      </c>
      <c r="R356" s="8">
        <v>0</v>
      </c>
      <c r="S356" s="8">
        <v>1</v>
      </c>
      <c r="T356" s="8">
        <v>0</v>
      </c>
      <c r="U356" s="8">
        <v>1</v>
      </c>
      <c r="V356" s="8">
        <v>0</v>
      </c>
      <c r="W356" s="8">
        <v>0</v>
      </c>
      <c r="X356" s="8">
        <v>0</v>
      </c>
      <c r="Y356" s="8">
        <v>0</v>
      </c>
      <c r="Z356" s="8">
        <v>0</v>
      </c>
      <c r="AA356" s="8">
        <v>1</v>
      </c>
      <c r="AB356" s="8">
        <v>0</v>
      </c>
      <c r="AC356" s="8">
        <v>0</v>
      </c>
    </row>
    <row r="357" spans="3:29" x14ac:dyDescent="0.25">
      <c r="C357" s="9" t="s">
        <v>497</v>
      </c>
      <c r="D357" s="8">
        <v>20</v>
      </c>
      <c r="E357" s="8">
        <v>7</v>
      </c>
      <c r="F357" s="8">
        <v>3</v>
      </c>
      <c r="G357" s="8">
        <v>3981</v>
      </c>
      <c r="H357" s="8">
        <v>6</v>
      </c>
      <c r="I357" s="8">
        <v>0</v>
      </c>
      <c r="J357" s="8">
        <v>1</v>
      </c>
      <c r="K357" s="8">
        <v>0</v>
      </c>
      <c r="L357" s="8">
        <v>0</v>
      </c>
      <c r="M357" s="8">
        <v>0</v>
      </c>
      <c r="N357" s="8">
        <v>0</v>
      </c>
      <c r="O357" s="8">
        <v>1</v>
      </c>
      <c r="P357" s="8">
        <v>0</v>
      </c>
      <c r="Q357" s="8">
        <v>1</v>
      </c>
      <c r="R357" s="8">
        <v>0</v>
      </c>
      <c r="S357" s="8">
        <v>0</v>
      </c>
      <c r="T357" s="8">
        <v>0</v>
      </c>
      <c r="U357" s="8">
        <v>1</v>
      </c>
      <c r="V357" s="8">
        <v>0</v>
      </c>
      <c r="W357" s="8">
        <v>0</v>
      </c>
      <c r="X357" s="8">
        <v>0</v>
      </c>
      <c r="Y357" s="8">
        <v>1</v>
      </c>
      <c r="Z357" s="8">
        <v>0</v>
      </c>
      <c r="AA357" s="8">
        <v>0</v>
      </c>
      <c r="AB357" s="8">
        <v>0</v>
      </c>
      <c r="AC357" s="8">
        <v>0</v>
      </c>
    </row>
    <row r="358" spans="3:29" x14ac:dyDescent="0.25">
      <c r="C358" s="9" t="s">
        <v>498</v>
      </c>
      <c r="D358" s="8">
        <v>10</v>
      </c>
      <c r="E358" s="8">
        <v>3</v>
      </c>
      <c r="F358" s="8">
        <v>5</v>
      </c>
      <c r="G358" s="8">
        <v>3025</v>
      </c>
      <c r="H358" s="8">
        <v>6</v>
      </c>
      <c r="I358" s="8">
        <v>0</v>
      </c>
      <c r="J358" s="8">
        <v>0</v>
      </c>
      <c r="K358" s="8">
        <v>1</v>
      </c>
      <c r="L358" s="8">
        <v>0</v>
      </c>
      <c r="M358" s="8">
        <v>0</v>
      </c>
      <c r="N358" s="8">
        <v>1</v>
      </c>
      <c r="O358" s="8">
        <v>0</v>
      </c>
      <c r="P358" s="8">
        <v>0</v>
      </c>
      <c r="Q358" s="8">
        <v>0</v>
      </c>
      <c r="R358" s="8">
        <v>0</v>
      </c>
      <c r="S358" s="8">
        <v>1</v>
      </c>
      <c r="T358" s="8">
        <v>0</v>
      </c>
      <c r="U358" s="8">
        <v>0</v>
      </c>
      <c r="V358" s="8">
        <v>1</v>
      </c>
      <c r="W358" s="8">
        <v>0</v>
      </c>
      <c r="X358" s="8">
        <v>0</v>
      </c>
      <c r="Y358" s="8">
        <v>0</v>
      </c>
      <c r="Z358" s="8">
        <v>0</v>
      </c>
      <c r="AA358" s="8">
        <v>0</v>
      </c>
      <c r="AB358" s="8">
        <v>0</v>
      </c>
      <c r="AC358" s="8">
        <v>1</v>
      </c>
    </row>
    <row r="359" spans="3:29" x14ac:dyDescent="0.25">
      <c r="C359" s="9" t="s">
        <v>499</v>
      </c>
      <c r="D359" s="8">
        <v>36</v>
      </c>
      <c r="E359" s="8">
        <v>30</v>
      </c>
      <c r="F359" s="8">
        <v>5</v>
      </c>
      <c r="G359" s="8">
        <v>3025</v>
      </c>
      <c r="H359" s="8">
        <v>8</v>
      </c>
      <c r="I359" s="8">
        <v>0</v>
      </c>
      <c r="J359" s="8">
        <v>0</v>
      </c>
      <c r="K359" s="8">
        <v>1</v>
      </c>
      <c r="L359" s="8">
        <v>0</v>
      </c>
      <c r="M359" s="8">
        <v>0</v>
      </c>
      <c r="N359" s="8">
        <v>1</v>
      </c>
      <c r="O359" s="8">
        <v>0</v>
      </c>
      <c r="P359" s="8">
        <v>0</v>
      </c>
      <c r="Q359" s="8">
        <v>0</v>
      </c>
      <c r="R359" s="8">
        <v>0</v>
      </c>
      <c r="S359" s="8">
        <v>1</v>
      </c>
      <c r="T359" s="8">
        <v>0</v>
      </c>
      <c r="U359" s="8">
        <v>0</v>
      </c>
      <c r="V359" s="8">
        <v>1</v>
      </c>
      <c r="W359" s="8">
        <v>1</v>
      </c>
      <c r="X359" s="8">
        <v>0</v>
      </c>
      <c r="Y359" s="8">
        <v>0</v>
      </c>
      <c r="Z359" s="8">
        <v>0</v>
      </c>
      <c r="AA359" s="8">
        <v>0</v>
      </c>
      <c r="AB359" s="8">
        <v>0</v>
      </c>
      <c r="AC359" s="8">
        <v>0</v>
      </c>
    </row>
    <row r="360" spans="3:29" x14ac:dyDescent="0.25">
      <c r="C360" s="9" t="s">
        <v>500</v>
      </c>
      <c r="D360" s="8">
        <v>26</v>
      </c>
      <c r="E360" s="8">
        <v>22</v>
      </c>
      <c r="F360" s="8">
        <v>5</v>
      </c>
      <c r="G360" s="8">
        <v>3933</v>
      </c>
      <c r="H360" s="8">
        <v>5</v>
      </c>
      <c r="I360" s="8">
        <v>0</v>
      </c>
      <c r="J360" s="8">
        <v>0</v>
      </c>
      <c r="K360" s="8">
        <v>0</v>
      </c>
      <c r="L360" s="8">
        <v>1</v>
      </c>
      <c r="M360" s="8">
        <v>0</v>
      </c>
      <c r="N360" s="8">
        <v>0</v>
      </c>
      <c r="O360" s="8">
        <v>1</v>
      </c>
      <c r="P360" s="8">
        <v>0</v>
      </c>
      <c r="Q360" s="8">
        <v>0</v>
      </c>
      <c r="R360" s="8">
        <v>0</v>
      </c>
      <c r="S360" s="8">
        <v>1</v>
      </c>
      <c r="T360" s="8">
        <v>0</v>
      </c>
      <c r="U360" s="8">
        <v>1</v>
      </c>
      <c r="V360" s="8">
        <v>0</v>
      </c>
      <c r="W360" s="8">
        <v>0</v>
      </c>
      <c r="X360" s="8">
        <v>0</v>
      </c>
      <c r="Y360" s="8">
        <v>0</v>
      </c>
      <c r="Z360" s="8">
        <v>1</v>
      </c>
      <c r="AA360" s="8">
        <v>0</v>
      </c>
      <c r="AB360" s="8">
        <v>0</v>
      </c>
      <c r="AC360" s="8">
        <v>0</v>
      </c>
    </row>
    <row r="361" spans="3:29" x14ac:dyDescent="0.25">
      <c r="C361" s="9" t="s">
        <v>501</v>
      </c>
      <c r="D361" s="8">
        <v>88</v>
      </c>
      <c r="E361" s="8">
        <v>15</v>
      </c>
      <c r="F361" s="8">
        <v>4</v>
      </c>
      <c r="G361" s="8">
        <v>1467</v>
      </c>
      <c r="H361" s="8">
        <v>3</v>
      </c>
      <c r="I361" s="8">
        <v>0</v>
      </c>
      <c r="J361" s="8">
        <v>0</v>
      </c>
      <c r="K361" s="8">
        <v>1</v>
      </c>
      <c r="L361" s="8">
        <v>0</v>
      </c>
      <c r="M361" s="8">
        <v>1</v>
      </c>
      <c r="N361" s="8">
        <v>0</v>
      </c>
      <c r="O361" s="8">
        <v>0</v>
      </c>
      <c r="P361" s="8">
        <v>1</v>
      </c>
      <c r="Q361" s="8">
        <v>0</v>
      </c>
      <c r="R361" s="8">
        <v>1</v>
      </c>
      <c r="S361" s="8">
        <v>0</v>
      </c>
      <c r="T361" s="8">
        <v>1</v>
      </c>
      <c r="U361" s="8">
        <v>0</v>
      </c>
      <c r="V361" s="8">
        <v>0</v>
      </c>
      <c r="W361" s="8">
        <v>0</v>
      </c>
      <c r="X361" s="8">
        <v>1</v>
      </c>
      <c r="Y361" s="8">
        <v>0</v>
      </c>
      <c r="Z361" s="8">
        <v>0</v>
      </c>
      <c r="AA361" s="8">
        <v>0</v>
      </c>
      <c r="AB361" s="8">
        <v>0</v>
      </c>
      <c r="AC361" s="8">
        <v>0</v>
      </c>
    </row>
    <row r="362" spans="3:29" x14ac:dyDescent="0.25">
      <c r="C362" s="9" t="s">
        <v>502</v>
      </c>
      <c r="D362" s="8">
        <v>73</v>
      </c>
      <c r="E362" s="8">
        <v>13</v>
      </c>
      <c r="F362" s="8">
        <v>4</v>
      </c>
      <c r="G362" s="8">
        <v>3003</v>
      </c>
      <c r="H362" s="8">
        <v>2</v>
      </c>
      <c r="I362" s="8">
        <v>1</v>
      </c>
      <c r="J362" s="8">
        <v>0</v>
      </c>
      <c r="K362" s="8">
        <v>0</v>
      </c>
      <c r="L362" s="8">
        <v>0</v>
      </c>
      <c r="M362" s="8">
        <v>0</v>
      </c>
      <c r="N362" s="8">
        <v>0</v>
      </c>
      <c r="O362" s="8">
        <v>1</v>
      </c>
      <c r="P362" s="8">
        <v>0</v>
      </c>
      <c r="Q362" s="8">
        <v>0</v>
      </c>
      <c r="R362" s="8">
        <v>1</v>
      </c>
      <c r="S362" s="8">
        <v>0</v>
      </c>
      <c r="T362" s="8">
        <v>0</v>
      </c>
      <c r="U362" s="8">
        <v>0</v>
      </c>
      <c r="V362" s="8">
        <v>1</v>
      </c>
      <c r="W362" s="8">
        <v>0</v>
      </c>
      <c r="X362" s="8">
        <v>0</v>
      </c>
      <c r="Y362" s="8">
        <v>0</v>
      </c>
      <c r="Z362" s="8">
        <v>0</v>
      </c>
      <c r="AA362" s="8">
        <v>0</v>
      </c>
      <c r="AB362" s="8">
        <v>1</v>
      </c>
      <c r="AC362" s="8">
        <v>0</v>
      </c>
    </row>
    <row r="363" spans="3:29" x14ac:dyDescent="0.25">
      <c r="C363" s="9" t="s">
        <v>503</v>
      </c>
      <c r="D363" s="8">
        <v>39</v>
      </c>
      <c r="E363" s="8">
        <v>18</v>
      </c>
      <c r="F363" s="8">
        <v>4</v>
      </c>
      <c r="G363" s="8">
        <v>1228</v>
      </c>
      <c r="H363" s="8">
        <v>4</v>
      </c>
      <c r="I363" s="8">
        <v>0</v>
      </c>
      <c r="J363" s="8">
        <v>1</v>
      </c>
      <c r="K363" s="8">
        <v>0</v>
      </c>
      <c r="L363" s="8">
        <v>0</v>
      </c>
      <c r="M363" s="8">
        <v>0</v>
      </c>
      <c r="N363" s="8">
        <v>1</v>
      </c>
      <c r="O363" s="8">
        <v>0</v>
      </c>
      <c r="P363" s="8">
        <v>0</v>
      </c>
      <c r="Q363" s="8">
        <v>1</v>
      </c>
      <c r="R363" s="8">
        <v>0</v>
      </c>
      <c r="S363" s="8">
        <v>0</v>
      </c>
      <c r="T363" s="8">
        <v>0</v>
      </c>
      <c r="U363" s="8">
        <v>1</v>
      </c>
      <c r="V363" s="8">
        <v>0</v>
      </c>
      <c r="W363" s="8">
        <v>0</v>
      </c>
      <c r="X363" s="8">
        <v>0</v>
      </c>
      <c r="Y363" s="8">
        <v>0</v>
      </c>
      <c r="Z363" s="8">
        <v>0</v>
      </c>
      <c r="AA363" s="8">
        <v>1</v>
      </c>
      <c r="AB363" s="8">
        <v>0</v>
      </c>
      <c r="AC363" s="8">
        <v>0</v>
      </c>
    </row>
    <row r="364" spans="3:29" x14ac:dyDescent="0.25">
      <c r="C364" s="9" t="s">
        <v>504</v>
      </c>
      <c r="D364" s="8">
        <v>113</v>
      </c>
      <c r="E364" s="8">
        <v>15</v>
      </c>
      <c r="F364" s="8">
        <v>5</v>
      </c>
      <c r="G364" s="8">
        <v>2959</v>
      </c>
      <c r="H364" s="8">
        <v>8</v>
      </c>
      <c r="I364" s="8">
        <v>0</v>
      </c>
      <c r="J364" s="8">
        <v>0</v>
      </c>
      <c r="K364" s="8">
        <v>1</v>
      </c>
      <c r="L364" s="8">
        <v>0</v>
      </c>
      <c r="M364" s="8">
        <v>0</v>
      </c>
      <c r="N364" s="8">
        <v>1</v>
      </c>
      <c r="O364" s="8">
        <v>0</v>
      </c>
      <c r="P364" s="8">
        <v>0</v>
      </c>
      <c r="Q364" s="8">
        <v>0</v>
      </c>
      <c r="R364" s="8">
        <v>0</v>
      </c>
      <c r="S364" s="8">
        <v>1</v>
      </c>
      <c r="T364" s="8">
        <v>0</v>
      </c>
      <c r="U364" s="8">
        <v>1</v>
      </c>
      <c r="V364" s="8">
        <v>0</v>
      </c>
      <c r="W364" s="8">
        <v>0</v>
      </c>
      <c r="X364" s="8">
        <v>0</v>
      </c>
      <c r="Y364" s="8">
        <v>0</v>
      </c>
      <c r="Z364" s="8">
        <v>0</v>
      </c>
      <c r="AA364" s="8">
        <v>1</v>
      </c>
      <c r="AB364" s="8">
        <v>0</v>
      </c>
      <c r="AC364" s="8">
        <v>0</v>
      </c>
    </row>
    <row r="365" spans="3:29" x14ac:dyDescent="0.25">
      <c r="C365" s="9" t="s">
        <v>505</v>
      </c>
      <c r="D365" s="8">
        <v>13</v>
      </c>
      <c r="E365" s="8">
        <v>9</v>
      </c>
      <c r="F365" s="8">
        <v>4</v>
      </c>
      <c r="G365" s="8">
        <v>3003</v>
      </c>
      <c r="H365" s="8">
        <v>1</v>
      </c>
      <c r="I365" s="8">
        <v>0</v>
      </c>
      <c r="J365" s="8">
        <v>1</v>
      </c>
      <c r="K365" s="8">
        <v>0</v>
      </c>
      <c r="L365" s="8">
        <v>0</v>
      </c>
      <c r="M365" s="8">
        <v>1</v>
      </c>
      <c r="N365" s="8">
        <v>0</v>
      </c>
      <c r="O365" s="8">
        <v>0</v>
      </c>
      <c r="P365" s="8">
        <v>0</v>
      </c>
      <c r="Q365" s="8">
        <v>0</v>
      </c>
      <c r="R365" s="8">
        <v>1</v>
      </c>
      <c r="S365" s="8">
        <v>0</v>
      </c>
      <c r="T365" s="8">
        <v>0</v>
      </c>
      <c r="U365" s="8">
        <v>0</v>
      </c>
      <c r="V365" s="8">
        <v>1</v>
      </c>
      <c r="W365" s="8">
        <v>0</v>
      </c>
      <c r="X365" s="8">
        <v>1</v>
      </c>
      <c r="Y365" s="8">
        <v>0</v>
      </c>
      <c r="Z365" s="8">
        <v>0</v>
      </c>
      <c r="AA365" s="8">
        <v>0</v>
      </c>
      <c r="AB365" s="8">
        <v>0</v>
      </c>
      <c r="AC365" s="8">
        <v>0</v>
      </c>
    </row>
    <row r="366" spans="3:29" x14ac:dyDescent="0.25">
      <c r="C366" s="9" t="s">
        <v>506</v>
      </c>
      <c r="D366" s="8">
        <v>102</v>
      </c>
      <c r="E366" s="8">
        <v>24</v>
      </c>
      <c r="F366" s="8">
        <v>2</v>
      </c>
      <c r="G366" s="8">
        <v>3773</v>
      </c>
      <c r="H366" s="8">
        <v>9</v>
      </c>
      <c r="I366" s="8">
        <v>0</v>
      </c>
      <c r="J366" s="8">
        <v>1</v>
      </c>
      <c r="K366" s="8">
        <v>0</v>
      </c>
      <c r="L366" s="8">
        <v>0</v>
      </c>
      <c r="M366" s="8">
        <v>0</v>
      </c>
      <c r="N366" s="8">
        <v>1</v>
      </c>
      <c r="O366" s="8">
        <v>0</v>
      </c>
      <c r="P366" s="8">
        <v>0</v>
      </c>
      <c r="Q366" s="8">
        <v>1</v>
      </c>
      <c r="R366" s="8">
        <v>0</v>
      </c>
      <c r="S366" s="8">
        <v>0</v>
      </c>
      <c r="T366" s="8">
        <v>0</v>
      </c>
      <c r="U366" s="8">
        <v>0</v>
      </c>
      <c r="V366" s="8">
        <v>1</v>
      </c>
      <c r="W366" s="8">
        <v>1</v>
      </c>
      <c r="X366" s="8">
        <v>0</v>
      </c>
      <c r="Y366" s="8">
        <v>0</v>
      </c>
      <c r="Z366" s="8">
        <v>0</v>
      </c>
      <c r="AA366" s="8">
        <v>0</v>
      </c>
      <c r="AB366" s="8">
        <v>0</v>
      </c>
      <c r="AC366" s="8">
        <v>0</v>
      </c>
    </row>
    <row r="367" spans="3:29" x14ac:dyDescent="0.25">
      <c r="C367" s="9" t="s">
        <v>507</v>
      </c>
      <c r="D367" s="8">
        <v>2</v>
      </c>
      <c r="E367" s="8">
        <v>1</v>
      </c>
      <c r="F367" s="8">
        <v>3</v>
      </c>
      <c r="G367" s="8">
        <v>315</v>
      </c>
      <c r="H367" s="8">
        <v>3</v>
      </c>
      <c r="I367" s="8">
        <v>0</v>
      </c>
      <c r="J367" s="8">
        <v>0</v>
      </c>
      <c r="K367" s="8">
        <v>1</v>
      </c>
      <c r="L367" s="8">
        <v>0</v>
      </c>
      <c r="M367" s="8">
        <v>0</v>
      </c>
      <c r="N367" s="8">
        <v>1</v>
      </c>
      <c r="O367" s="8">
        <v>0</v>
      </c>
      <c r="P367" s="8">
        <v>0</v>
      </c>
      <c r="Q367" s="8">
        <v>1</v>
      </c>
      <c r="R367" s="8">
        <v>0</v>
      </c>
      <c r="S367" s="8">
        <v>0</v>
      </c>
      <c r="T367" s="8">
        <v>0</v>
      </c>
      <c r="U367" s="8">
        <v>0</v>
      </c>
      <c r="V367" s="8">
        <v>1</v>
      </c>
      <c r="W367" s="8">
        <v>0</v>
      </c>
      <c r="X367" s="8">
        <v>0</v>
      </c>
      <c r="Y367" s="8">
        <v>0</v>
      </c>
      <c r="Z367" s="8">
        <v>0</v>
      </c>
      <c r="AA367" s="8">
        <v>0</v>
      </c>
      <c r="AB367" s="8">
        <v>1</v>
      </c>
      <c r="AC367" s="8">
        <v>0</v>
      </c>
    </row>
    <row r="368" spans="3:29" x14ac:dyDescent="0.25">
      <c r="C368" s="9" t="s">
        <v>508</v>
      </c>
      <c r="D368" s="8">
        <v>3</v>
      </c>
      <c r="E368" s="8">
        <v>3</v>
      </c>
      <c r="F368" s="8">
        <v>4</v>
      </c>
      <c r="G368" s="8">
        <v>1282</v>
      </c>
      <c r="H368" s="8">
        <v>4</v>
      </c>
      <c r="I368" s="8">
        <v>0</v>
      </c>
      <c r="J368" s="8">
        <v>1</v>
      </c>
      <c r="K368" s="8">
        <v>0</v>
      </c>
      <c r="L368" s="8">
        <v>0</v>
      </c>
      <c r="M368" s="8">
        <v>0</v>
      </c>
      <c r="N368" s="8">
        <v>0</v>
      </c>
      <c r="O368" s="8">
        <v>1</v>
      </c>
      <c r="P368" s="8">
        <v>0</v>
      </c>
      <c r="Q368" s="8">
        <v>0</v>
      </c>
      <c r="R368" s="8">
        <v>0</v>
      </c>
      <c r="S368" s="8">
        <v>1</v>
      </c>
      <c r="T368" s="8">
        <v>1</v>
      </c>
      <c r="U368" s="8">
        <v>0</v>
      </c>
      <c r="V368" s="8">
        <v>0</v>
      </c>
      <c r="W368" s="8">
        <v>0</v>
      </c>
      <c r="X368" s="8">
        <v>0</v>
      </c>
      <c r="Y368" s="8">
        <v>0</v>
      </c>
      <c r="Z368" s="8">
        <v>1</v>
      </c>
      <c r="AA368" s="8">
        <v>0</v>
      </c>
      <c r="AB368" s="8">
        <v>0</v>
      </c>
      <c r="AC368" s="8">
        <v>0</v>
      </c>
    </row>
    <row r="369" spans="3:29" x14ac:dyDescent="0.25">
      <c r="C369" s="9" t="s">
        <v>509</v>
      </c>
      <c r="D369" s="8">
        <v>13</v>
      </c>
      <c r="E369" s="8">
        <v>7</v>
      </c>
      <c r="F369" s="8">
        <v>4</v>
      </c>
      <c r="G369" s="8">
        <v>4027</v>
      </c>
      <c r="H369" s="8">
        <v>5</v>
      </c>
      <c r="I369" s="8">
        <v>0</v>
      </c>
      <c r="J369" s="8">
        <v>1</v>
      </c>
      <c r="K369" s="8">
        <v>0</v>
      </c>
      <c r="L369" s="8">
        <v>0</v>
      </c>
      <c r="M369" s="8">
        <v>0</v>
      </c>
      <c r="N369" s="8">
        <v>0</v>
      </c>
      <c r="O369" s="8">
        <v>1</v>
      </c>
      <c r="P369" s="8">
        <v>0</v>
      </c>
      <c r="Q369" s="8">
        <v>0</v>
      </c>
      <c r="R369" s="8">
        <v>0</v>
      </c>
      <c r="S369" s="8">
        <v>1</v>
      </c>
      <c r="T369" s="8">
        <v>0</v>
      </c>
      <c r="U369" s="8">
        <v>1</v>
      </c>
      <c r="V369" s="8">
        <v>0</v>
      </c>
      <c r="W369" s="8">
        <v>0</v>
      </c>
      <c r="X369" s="8">
        <v>0</v>
      </c>
      <c r="Y369" s="8">
        <v>0</v>
      </c>
      <c r="Z369" s="8">
        <v>1</v>
      </c>
      <c r="AA369" s="8">
        <v>0</v>
      </c>
      <c r="AB369" s="8">
        <v>0</v>
      </c>
      <c r="AC369" s="8">
        <v>0</v>
      </c>
    </row>
    <row r="370" spans="3:29" x14ac:dyDescent="0.25">
      <c r="C370" s="9" t="s">
        <v>510</v>
      </c>
      <c r="D370" s="8">
        <v>50</v>
      </c>
      <c r="E370" s="8">
        <v>13</v>
      </c>
      <c r="F370" s="8">
        <v>4</v>
      </c>
      <c r="G370" s="8">
        <v>826</v>
      </c>
      <c r="H370" s="8">
        <v>8</v>
      </c>
      <c r="I370" s="8">
        <v>0</v>
      </c>
      <c r="J370" s="8">
        <v>0</v>
      </c>
      <c r="K370" s="8">
        <v>0</v>
      </c>
      <c r="L370" s="8">
        <v>1</v>
      </c>
      <c r="M370" s="8">
        <v>0</v>
      </c>
      <c r="N370" s="8">
        <v>0</v>
      </c>
      <c r="O370" s="8">
        <v>1</v>
      </c>
      <c r="P370" s="8">
        <v>0</v>
      </c>
      <c r="Q370" s="8">
        <v>0</v>
      </c>
      <c r="R370" s="8">
        <v>1</v>
      </c>
      <c r="S370" s="8">
        <v>0</v>
      </c>
      <c r="T370" s="8">
        <v>0</v>
      </c>
      <c r="U370" s="8">
        <v>0</v>
      </c>
      <c r="V370" s="8">
        <v>1</v>
      </c>
      <c r="W370" s="8">
        <v>0</v>
      </c>
      <c r="X370" s="8">
        <v>0</v>
      </c>
      <c r="Y370" s="8">
        <v>0</v>
      </c>
      <c r="Z370" s="8">
        <v>0</v>
      </c>
      <c r="AA370" s="8">
        <v>1</v>
      </c>
      <c r="AB370" s="8">
        <v>0</v>
      </c>
      <c r="AC370" s="8">
        <v>0</v>
      </c>
    </row>
    <row r="371" spans="3:29" x14ac:dyDescent="0.25">
      <c r="C371" s="9" t="s">
        <v>511</v>
      </c>
      <c r="D371" s="8">
        <v>25</v>
      </c>
      <c r="E371" s="8">
        <v>5</v>
      </c>
      <c r="F371" s="8">
        <v>5</v>
      </c>
      <c r="G371" s="8">
        <v>716</v>
      </c>
      <c r="H371" s="8">
        <v>8</v>
      </c>
      <c r="I371" s="8">
        <v>1</v>
      </c>
      <c r="J371" s="8">
        <v>0</v>
      </c>
      <c r="K371" s="8">
        <v>0</v>
      </c>
      <c r="L371" s="8">
        <v>0</v>
      </c>
      <c r="M371" s="8">
        <v>1</v>
      </c>
      <c r="N371" s="8">
        <v>0</v>
      </c>
      <c r="O371" s="8">
        <v>0</v>
      </c>
      <c r="P371" s="8">
        <v>1</v>
      </c>
      <c r="Q371" s="8">
        <v>1</v>
      </c>
      <c r="R371" s="8">
        <v>0</v>
      </c>
      <c r="S371" s="8">
        <v>0</v>
      </c>
      <c r="T371" s="8">
        <v>0</v>
      </c>
      <c r="U371" s="8">
        <v>0</v>
      </c>
      <c r="V371" s="8">
        <v>1</v>
      </c>
      <c r="W371" s="8">
        <v>0</v>
      </c>
      <c r="X371" s="8">
        <v>0</v>
      </c>
      <c r="Y371" s="8">
        <v>0</v>
      </c>
      <c r="Z371" s="8">
        <v>0</v>
      </c>
      <c r="AA371" s="8">
        <v>1</v>
      </c>
      <c r="AB371" s="8">
        <v>0</v>
      </c>
      <c r="AC371" s="8">
        <v>0</v>
      </c>
    </row>
    <row r="372" spans="3:29" x14ac:dyDescent="0.25">
      <c r="C372" s="9" t="s">
        <v>512</v>
      </c>
      <c r="D372" s="8">
        <v>46</v>
      </c>
      <c r="E372" s="8">
        <v>12</v>
      </c>
      <c r="F372" s="8">
        <v>5</v>
      </c>
      <c r="G372" s="8">
        <v>2034</v>
      </c>
      <c r="H372" s="8">
        <v>3</v>
      </c>
      <c r="I372" s="8">
        <v>1</v>
      </c>
      <c r="J372" s="8">
        <v>0</v>
      </c>
      <c r="K372" s="8">
        <v>0</v>
      </c>
      <c r="L372" s="8">
        <v>0</v>
      </c>
      <c r="M372" s="8">
        <v>0</v>
      </c>
      <c r="N372" s="8">
        <v>0</v>
      </c>
      <c r="O372" s="8">
        <v>1</v>
      </c>
      <c r="P372" s="8">
        <v>0</v>
      </c>
      <c r="Q372" s="8">
        <v>0</v>
      </c>
      <c r="R372" s="8">
        <v>0</v>
      </c>
      <c r="S372" s="8">
        <v>1</v>
      </c>
      <c r="T372" s="8">
        <v>0</v>
      </c>
      <c r="U372" s="8">
        <v>0</v>
      </c>
      <c r="V372" s="8">
        <v>1</v>
      </c>
      <c r="W372" s="8">
        <v>0</v>
      </c>
      <c r="X372" s="8">
        <v>0</v>
      </c>
      <c r="Y372" s="8">
        <v>0</v>
      </c>
      <c r="Z372" s="8">
        <v>0</v>
      </c>
      <c r="AA372" s="8">
        <v>0</v>
      </c>
      <c r="AB372" s="8">
        <v>1</v>
      </c>
      <c r="AC372" s="8">
        <v>0</v>
      </c>
    </row>
    <row r="373" spans="3:29" x14ac:dyDescent="0.25">
      <c r="C373" s="9" t="s">
        <v>513</v>
      </c>
      <c r="D373" s="8">
        <v>73</v>
      </c>
      <c r="E373" s="8">
        <v>32</v>
      </c>
      <c r="F373" s="8">
        <v>4</v>
      </c>
      <c r="G373" s="8">
        <v>2034</v>
      </c>
      <c r="H373" s="8">
        <v>10</v>
      </c>
      <c r="I373" s="8">
        <v>0</v>
      </c>
      <c r="J373" s="8">
        <v>0</v>
      </c>
      <c r="K373" s="8">
        <v>1</v>
      </c>
      <c r="L373" s="8">
        <v>0</v>
      </c>
      <c r="M373" s="8">
        <v>1</v>
      </c>
      <c r="N373" s="8">
        <v>0</v>
      </c>
      <c r="O373" s="8">
        <v>0</v>
      </c>
      <c r="P373" s="8">
        <v>0</v>
      </c>
      <c r="Q373" s="8">
        <v>0</v>
      </c>
      <c r="R373" s="8">
        <v>0</v>
      </c>
      <c r="S373" s="8">
        <v>1</v>
      </c>
      <c r="T373" s="8">
        <v>1</v>
      </c>
      <c r="U373" s="8">
        <v>0</v>
      </c>
      <c r="V373" s="8">
        <v>0</v>
      </c>
      <c r="W373" s="8">
        <v>0</v>
      </c>
      <c r="X373" s="8">
        <v>0</v>
      </c>
      <c r="Y373" s="8">
        <v>0</v>
      </c>
      <c r="Z373" s="8">
        <v>0</v>
      </c>
      <c r="AA373" s="8">
        <v>1</v>
      </c>
      <c r="AB373" s="8">
        <v>0</v>
      </c>
      <c r="AC373" s="8">
        <v>0</v>
      </c>
    </row>
    <row r="374" spans="3:29" x14ac:dyDescent="0.25">
      <c r="C374" s="9" t="s">
        <v>514</v>
      </c>
      <c r="D374" s="8">
        <v>9</v>
      </c>
      <c r="E374" s="8">
        <v>9</v>
      </c>
      <c r="F374" s="8">
        <v>2</v>
      </c>
      <c r="G374" s="8">
        <v>188</v>
      </c>
      <c r="H374" s="8">
        <v>1</v>
      </c>
      <c r="I374" s="8">
        <v>0</v>
      </c>
      <c r="J374" s="8">
        <v>0</v>
      </c>
      <c r="K374" s="8">
        <v>1</v>
      </c>
      <c r="L374" s="8">
        <v>0</v>
      </c>
      <c r="M374" s="8">
        <v>1</v>
      </c>
      <c r="N374" s="8">
        <v>0</v>
      </c>
      <c r="O374" s="8">
        <v>0</v>
      </c>
      <c r="P374" s="8">
        <v>0</v>
      </c>
      <c r="Q374" s="8">
        <v>0</v>
      </c>
      <c r="R374" s="8">
        <v>1</v>
      </c>
      <c r="S374" s="8">
        <v>0</v>
      </c>
      <c r="T374" s="8">
        <v>0</v>
      </c>
      <c r="U374" s="8">
        <v>0</v>
      </c>
      <c r="V374" s="8">
        <v>1</v>
      </c>
      <c r="W374" s="8">
        <v>0</v>
      </c>
      <c r="X374" s="8">
        <v>0</v>
      </c>
      <c r="Y374" s="8">
        <v>0</v>
      </c>
      <c r="Z374" s="8">
        <v>0</v>
      </c>
      <c r="AA374" s="8">
        <v>0</v>
      </c>
      <c r="AB374" s="8">
        <v>0</v>
      </c>
      <c r="AC374" s="8">
        <v>1</v>
      </c>
    </row>
    <row r="375" spans="3:29" x14ac:dyDescent="0.25">
      <c r="C375" s="9" t="s">
        <v>515</v>
      </c>
      <c r="D375" s="8">
        <v>9</v>
      </c>
      <c r="E375" s="8">
        <v>3</v>
      </c>
      <c r="F375" s="8">
        <v>4</v>
      </c>
      <c r="G375" s="8">
        <v>3773</v>
      </c>
      <c r="H375" s="8">
        <v>2</v>
      </c>
      <c r="I375" s="8">
        <v>0</v>
      </c>
      <c r="J375" s="8">
        <v>0</v>
      </c>
      <c r="K375" s="8">
        <v>0</v>
      </c>
      <c r="L375" s="8">
        <v>1</v>
      </c>
      <c r="M375" s="8">
        <v>0</v>
      </c>
      <c r="N375" s="8">
        <v>1</v>
      </c>
      <c r="O375" s="8">
        <v>0</v>
      </c>
      <c r="P375" s="8">
        <v>0</v>
      </c>
      <c r="Q375" s="8">
        <v>1</v>
      </c>
      <c r="R375" s="8">
        <v>0</v>
      </c>
      <c r="S375" s="8">
        <v>0</v>
      </c>
      <c r="T375" s="8">
        <v>0</v>
      </c>
      <c r="U375" s="8">
        <v>0</v>
      </c>
      <c r="V375" s="8">
        <v>1</v>
      </c>
      <c r="W375" s="8">
        <v>0</v>
      </c>
      <c r="X375" s="8">
        <v>0</v>
      </c>
      <c r="Y375" s="8">
        <v>1</v>
      </c>
      <c r="Z375" s="8">
        <v>0</v>
      </c>
      <c r="AA375" s="8">
        <v>0</v>
      </c>
      <c r="AB375" s="8">
        <v>0</v>
      </c>
      <c r="AC375" s="8">
        <v>0</v>
      </c>
    </row>
    <row r="376" spans="3:29" x14ac:dyDescent="0.25">
      <c r="C376" s="9" t="s">
        <v>516</v>
      </c>
      <c r="D376" s="8">
        <v>45</v>
      </c>
      <c r="E376" s="8">
        <v>12</v>
      </c>
      <c r="F376" s="8">
        <v>4</v>
      </c>
      <c r="G376" s="8">
        <v>3773</v>
      </c>
      <c r="H376" s="8">
        <v>4</v>
      </c>
      <c r="I376" s="8">
        <v>0</v>
      </c>
      <c r="J376" s="8">
        <v>0</v>
      </c>
      <c r="K376" s="8">
        <v>1</v>
      </c>
      <c r="L376" s="8">
        <v>0</v>
      </c>
      <c r="M376" s="8">
        <v>0</v>
      </c>
      <c r="N376" s="8">
        <v>0</v>
      </c>
      <c r="O376" s="8">
        <v>1</v>
      </c>
      <c r="P376" s="8">
        <v>0</v>
      </c>
      <c r="Q376" s="8">
        <v>1</v>
      </c>
      <c r="R376" s="8">
        <v>0</v>
      </c>
      <c r="S376" s="8">
        <v>0</v>
      </c>
      <c r="T376" s="8">
        <v>0</v>
      </c>
      <c r="U376" s="8">
        <v>1</v>
      </c>
      <c r="V376" s="8">
        <v>0</v>
      </c>
      <c r="W376" s="8">
        <v>1</v>
      </c>
      <c r="X376" s="8">
        <v>0</v>
      </c>
      <c r="Y376" s="8">
        <v>0</v>
      </c>
      <c r="Z376" s="8">
        <v>0</v>
      </c>
      <c r="AA376" s="8">
        <v>0</v>
      </c>
      <c r="AB376" s="8">
        <v>0</v>
      </c>
      <c r="AC376" s="8">
        <v>0</v>
      </c>
    </row>
    <row r="377" spans="3:29" x14ac:dyDescent="0.25">
      <c r="C377" s="9" t="s">
        <v>517</v>
      </c>
      <c r="D377" s="8">
        <v>30</v>
      </c>
      <c r="E377" s="8">
        <v>27</v>
      </c>
      <c r="F377" s="8">
        <v>5</v>
      </c>
      <c r="G377" s="8">
        <v>826</v>
      </c>
      <c r="H377" s="8">
        <v>6</v>
      </c>
      <c r="I377" s="8">
        <v>0</v>
      </c>
      <c r="J377" s="8">
        <v>0</v>
      </c>
      <c r="K377" s="8">
        <v>0</v>
      </c>
      <c r="L377" s="8">
        <v>1</v>
      </c>
      <c r="M377" s="8">
        <v>1</v>
      </c>
      <c r="N377" s="8">
        <v>0</v>
      </c>
      <c r="O377" s="8">
        <v>0</v>
      </c>
      <c r="P377" s="8">
        <v>0</v>
      </c>
      <c r="Q377" s="8">
        <v>0</v>
      </c>
      <c r="R377" s="8">
        <v>1</v>
      </c>
      <c r="S377" s="8">
        <v>0</v>
      </c>
      <c r="T377" s="8">
        <v>0</v>
      </c>
      <c r="U377" s="8">
        <v>0</v>
      </c>
      <c r="V377" s="8">
        <v>1</v>
      </c>
      <c r="W377" s="8">
        <v>1</v>
      </c>
      <c r="X377" s="8">
        <v>0</v>
      </c>
      <c r="Y377" s="8">
        <v>0</v>
      </c>
      <c r="Z377" s="8">
        <v>0</v>
      </c>
      <c r="AA377" s="8">
        <v>0</v>
      </c>
      <c r="AB377" s="8">
        <v>0</v>
      </c>
      <c r="AC377" s="8">
        <v>0</v>
      </c>
    </row>
    <row r="378" spans="3:29" x14ac:dyDescent="0.25">
      <c r="C378" s="9" t="s">
        <v>518</v>
      </c>
      <c r="D378" s="8">
        <v>18</v>
      </c>
      <c r="E378" s="8">
        <v>13</v>
      </c>
      <c r="F378" s="8">
        <v>5</v>
      </c>
      <c r="G378" s="8">
        <v>2700</v>
      </c>
      <c r="H378" s="8">
        <v>9</v>
      </c>
      <c r="I378" s="8">
        <v>0</v>
      </c>
      <c r="J378" s="8">
        <v>1</v>
      </c>
      <c r="K378" s="8">
        <v>0</v>
      </c>
      <c r="L378" s="8">
        <v>0</v>
      </c>
      <c r="M378" s="8">
        <v>1</v>
      </c>
      <c r="N378" s="8">
        <v>0</v>
      </c>
      <c r="O378" s="8">
        <v>0</v>
      </c>
      <c r="P378" s="8">
        <v>1</v>
      </c>
      <c r="Q378" s="8">
        <v>0</v>
      </c>
      <c r="R378" s="8">
        <v>0</v>
      </c>
      <c r="S378" s="8">
        <v>1</v>
      </c>
      <c r="T378" s="8">
        <v>0</v>
      </c>
      <c r="U378" s="8">
        <v>1</v>
      </c>
      <c r="V378" s="8">
        <v>0</v>
      </c>
      <c r="W378" s="8">
        <v>0</v>
      </c>
      <c r="X378" s="8">
        <v>0</v>
      </c>
      <c r="Y378" s="8">
        <v>1</v>
      </c>
      <c r="Z378" s="8">
        <v>0</v>
      </c>
      <c r="AA378" s="8">
        <v>0</v>
      </c>
      <c r="AB378" s="8">
        <v>0</v>
      </c>
      <c r="AC378" s="8">
        <v>0</v>
      </c>
    </row>
    <row r="379" spans="3:29" x14ac:dyDescent="0.25">
      <c r="C379" s="9" t="s">
        <v>519</v>
      </c>
      <c r="D379" s="8">
        <v>7</v>
      </c>
      <c r="E379" s="8">
        <v>3</v>
      </c>
      <c r="F379" s="8">
        <v>4</v>
      </c>
      <c r="G379" s="8">
        <v>2884</v>
      </c>
      <c r="H379" s="8">
        <v>5</v>
      </c>
      <c r="I379" s="8">
        <v>0</v>
      </c>
      <c r="J379" s="8">
        <v>1</v>
      </c>
      <c r="K379" s="8">
        <v>0</v>
      </c>
      <c r="L379" s="8">
        <v>0</v>
      </c>
      <c r="M379" s="8">
        <v>0</v>
      </c>
      <c r="N379" s="8">
        <v>0</v>
      </c>
      <c r="O379" s="8">
        <v>1</v>
      </c>
      <c r="P379" s="8">
        <v>1</v>
      </c>
      <c r="Q379" s="8">
        <v>0</v>
      </c>
      <c r="R379" s="8">
        <v>1</v>
      </c>
      <c r="S379" s="8">
        <v>0</v>
      </c>
      <c r="T379" s="8">
        <v>0</v>
      </c>
      <c r="U379" s="8">
        <v>1</v>
      </c>
      <c r="V379" s="8">
        <v>0</v>
      </c>
      <c r="W379" s="8">
        <v>1</v>
      </c>
      <c r="X379" s="8">
        <v>0</v>
      </c>
      <c r="Y379" s="8">
        <v>0</v>
      </c>
      <c r="Z379" s="8">
        <v>0</v>
      </c>
      <c r="AA379" s="8">
        <v>0</v>
      </c>
      <c r="AB379" s="8">
        <v>0</v>
      </c>
      <c r="AC379" s="8">
        <v>0</v>
      </c>
    </row>
    <row r="380" spans="3:29" x14ac:dyDescent="0.25">
      <c r="C380" s="9" t="s">
        <v>520</v>
      </c>
      <c r="D380" s="8">
        <v>9</v>
      </c>
      <c r="E380" s="8">
        <v>3</v>
      </c>
      <c r="F380" s="8">
        <v>5</v>
      </c>
      <c r="G380" s="8">
        <v>1228</v>
      </c>
      <c r="H380" s="8">
        <v>1</v>
      </c>
      <c r="I380" s="8">
        <v>0</v>
      </c>
      <c r="J380" s="8">
        <v>1</v>
      </c>
      <c r="K380" s="8">
        <v>0</v>
      </c>
      <c r="L380" s="8">
        <v>0</v>
      </c>
      <c r="M380" s="8">
        <v>1</v>
      </c>
      <c r="N380" s="8">
        <v>0</v>
      </c>
      <c r="O380" s="8">
        <v>0</v>
      </c>
      <c r="P380" s="8">
        <v>0</v>
      </c>
      <c r="Q380" s="8">
        <v>1</v>
      </c>
      <c r="R380" s="8">
        <v>0</v>
      </c>
      <c r="S380" s="8">
        <v>0</v>
      </c>
      <c r="T380" s="8">
        <v>0</v>
      </c>
      <c r="U380" s="8">
        <v>0</v>
      </c>
      <c r="V380" s="8">
        <v>1</v>
      </c>
      <c r="W380" s="8">
        <v>0</v>
      </c>
      <c r="X380" s="8">
        <v>1</v>
      </c>
      <c r="Y380" s="8">
        <v>0</v>
      </c>
      <c r="Z380" s="8">
        <v>0</v>
      </c>
      <c r="AA380" s="8">
        <v>0</v>
      </c>
      <c r="AB380" s="8">
        <v>0</v>
      </c>
      <c r="AC380" s="8">
        <v>0</v>
      </c>
    </row>
    <row r="381" spans="3:29" x14ac:dyDescent="0.25">
      <c r="C381" s="9" t="s">
        <v>521</v>
      </c>
      <c r="D381" s="8">
        <v>15</v>
      </c>
      <c r="E381" s="8">
        <v>5</v>
      </c>
      <c r="F381" s="8">
        <v>5</v>
      </c>
      <c r="G381" s="8">
        <v>2034</v>
      </c>
      <c r="H381" s="8">
        <v>4</v>
      </c>
      <c r="I381" s="8">
        <v>1</v>
      </c>
      <c r="J381" s="8">
        <v>0</v>
      </c>
      <c r="K381" s="8">
        <v>0</v>
      </c>
      <c r="L381" s="8">
        <v>0</v>
      </c>
      <c r="M381" s="8">
        <v>1</v>
      </c>
      <c r="N381" s="8">
        <v>0</v>
      </c>
      <c r="O381" s="8">
        <v>0</v>
      </c>
      <c r="P381" s="8">
        <v>0</v>
      </c>
      <c r="Q381" s="8">
        <v>0</v>
      </c>
      <c r="R381" s="8">
        <v>0</v>
      </c>
      <c r="S381" s="8">
        <v>1</v>
      </c>
      <c r="T381" s="8">
        <v>0</v>
      </c>
      <c r="U381" s="8">
        <v>0</v>
      </c>
      <c r="V381" s="8">
        <v>1</v>
      </c>
      <c r="W381" s="8">
        <v>0</v>
      </c>
      <c r="X381" s="8">
        <v>0</v>
      </c>
      <c r="Y381" s="8">
        <v>0</v>
      </c>
      <c r="Z381" s="8">
        <v>1</v>
      </c>
      <c r="AA381" s="8">
        <v>0</v>
      </c>
      <c r="AB381" s="8">
        <v>0</v>
      </c>
      <c r="AC381" s="8">
        <v>0</v>
      </c>
    </row>
    <row r="382" spans="3:29" x14ac:dyDescent="0.25">
      <c r="C382" s="9" t="s">
        <v>522</v>
      </c>
      <c r="D382" s="8">
        <v>6</v>
      </c>
      <c r="E382" s="8">
        <v>4</v>
      </c>
      <c r="F382" s="8">
        <v>5</v>
      </c>
      <c r="G382" s="8">
        <v>2916</v>
      </c>
      <c r="H382" s="8">
        <v>0</v>
      </c>
      <c r="I382" s="8">
        <v>0</v>
      </c>
      <c r="J382" s="8">
        <v>0</v>
      </c>
      <c r="K382" s="8">
        <v>0</v>
      </c>
      <c r="L382" s="8">
        <v>1</v>
      </c>
      <c r="M382" s="8">
        <v>0</v>
      </c>
      <c r="N382" s="8">
        <v>0</v>
      </c>
      <c r="O382" s="8">
        <v>1</v>
      </c>
      <c r="P382" s="8">
        <v>0</v>
      </c>
      <c r="Q382" s="8">
        <v>0</v>
      </c>
      <c r="R382" s="8">
        <v>1</v>
      </c>
      <c r="S382" s="8">
        <v>0</v>
      </c>
      <c r="T382" s="8">
        <v>0</v>
      </c>
      <c r="U382" s="8">
        <v>0</v>
      </c>
      <c r="V382" s="8">
        <v>1</v>
      </c>
      <c r="W382" s="8">
        <v>0</v>
      </c>
      <c r="X382" s="8">
        <v>0</v>
      </c>
      <c r="Y382" s="8">
        <v>1</v>
      </c>
      <c r="Z382" s="8">
        <v>0</v>
      </c>
      <c r="AA382" s="8">
        <v>0</v>
      </c>
      <c r="AB382" s="8">
        <v>0</v>
      </c>
      <c r="AC382" s="8">
        <v>0</v>
      </c>
    </row>
    <row r="383" spans="3:29" x14ac:dyDescent="0.25">
      <c r="C383" s="9" t="s">
        <v>523</v>
      </c>
      <c r="D383" s="8">
        <v>18</v>
      </c>
      <c r="E383" s="8">
        <v>11</v>
      </c>
      <c r="F383" s="8">
        <v>5</v>
      </c>
      <c r="G383" s="8">
        <v>2700</v>
      </c>
      <c r="H383" s="8">
        <v>7</v>
      </c>
      <c r="I383" s="8">
        <v>1</v>
      </c>
      <c r="J383" s="8">
        <v>0</v>
      </c>
      <c r="K383" s="8">
        <v>0</v>
      </c>
      <c r="L383" s="8">
        <v>0</v>
      </c>
      <c r="M383" s="8">
        <v>0</v>
      </c>
      <c r="N383" s="8">
        <v>0</v>
      </c>
      <c r="O383" s="8">
        <v>1</v>
      </c>
      <c r="P383" s="8">
        <v>1</v>
      </c>
      <c r="Q383" s="8">
        <v>0</v>
      </c>
      <c r="R383" s="8">
        <v>0</v>
      </c>
      <c r="S383" s="8">
        <v>1</v>
      </c>
      <c r="T383" s="8">
        <v>0</v>
      </c>
      <c r="U383" s="8">
        <v>0</v>
      </c>
      <c r="V383" s="8">
        <v>1</v>
      </c>
      <c r="W383" s="8">
        <v>0</v>
      </c>
      <c r="X383" s="8">
        <v>0</v>
      </c>
      <c r="Y383" s="8">
        <v>0</v>
      </c>
      <c r="Z383" s="8">
        <v>0</v>
      </c>
      <c r="AA383" s="8">
        <v>0</v>
      </c>
      <c r="AB383" s="8">
        <v>1</v>
      </c>
      <c r="AC383" s="8">
        <v>0</v>
      </c>
    </row>
    <row r="384" spans="3:29" x14ac:dyDescent="0.25">
      <c r="C384" s="9" t="s">
        <v>524</v>
      </c>
      <c r="D384" s="8">
        <v>56</v>
      </c>
      <c r="E384" s="8">
        <v>11</v>
      </c>
      <c r="F384" s="8">
        <v>5</v>
      </c>
      <c r="G384" s="8">
        <v>4027</v>
      </c>
      <c r="H384" s="8">
        <v>5</v>
      </c>
      <c r="I384" s="8">
        <v>0</v>
      </c>
      <c r="J384" s="8">
        <v>0</v>
      </c>
      <c r="K384" s="8">
        <v>0</v>
      </c>
      <c r="L384" s="8">
        <v>1</v>
      </c>
      <c r="M384" s="8">
        <v>0</v>
      </c>
      <c r="N384" s="8">
        <v>0</v>
      </c>
      <c r="O384" s="8">
        <v>1</v>
      </c>
      <c r="P384" s="8">
        <v>0</v>
      </c>
      <c r="Q384" s="8">
        <v>0</v>
      </c>
      <c r="R384" s="8">
        <v>0</v>
      </c>
      <c r="S384" s="8">
        <v>1</v>
      </c>
      <c r="T384" s="8">
        <v>0</v>
      </c>
      <c r="U384" s="8">
        <v>1</v>
      </c>
      <c r="V384" s="8">
        <v>0</v>
      </c>
      <c r="W384" s="8">
        <v>1</v>
      </c>
      <c r="X384" s="8">
        <v>0</v>
      </c>
      <c r="Y384" s="8">
        <v>0</v>
      </c>
      <c r="Z384" s="8">
        <v>0</v>
      </c>
      <c r="AA384" s="8">
        <v>0</v>
      </c>
      <c r="AB384" s="8">
        <v>0</v>
      </c>
      <c r="AC384" s="8">
        <v>0</v>
      </c>
    </row>
    <row r="385" spans="3:29" x14ac:dyDescent="0.25">
      <c r="C385" s="9" t="s">
        <v>525</v>
      </c>
      <c r="D385" s="8">
        <v>28</v>
      </c>
      <c r="E385" s="8">
        <v>5</v>
      </c>
      <c r="F385" s="8">
        <v>5</v>
      </c>
      <c r="G385" s="8">
        <v>3933</v>
      </c>
      <c r="H385" s="8">
        <v>5</v>
      </c>
      <c r="I385" s="8">
        <v>0</v>
      </c>
      <c r="J385" s="8">
        <v>1</v>
      </c>
      <c r="K385" s="8">
        <v>0</v>
      </c>
      <c r="L385" s="8">
        <v>0</v>
      </c>
      <c r="M385" s="8">
        <v>0</v>
      </c>
      <c r="N385" s="8">
        <v>0</v>
      </c>
      <c r="O385" s="8">
        <v>1</v>
      </c>
      <c r="P385" s="8">
        <v>0</v>
      </c>
      <c r="Q385" s="8">
        <v>0</v>
      </c>
      <c r="R385" s="8">
        <v>0</v>
      </c>
      <c r="S385" s="8">
        <v>1</v>
      </c>
      <c r="T385" s="8">
        <v>0</v>
      </c>
      <c r="U385" s="8">
        <v>0</v>
      </c>
      <c r="V385" s="8">
        <v>1</v>
      </c>
      <c r="W385" s="8">
        <v>1</v>
      </c>
      <c r="X385" s="8">
        <v>0</v>
      </c>
      <c r="Y385" s="8">
        <v>0</v>
      </c>
      <c r="Z385" s="8">
        <v>0</v>
      </c>
      <c r="AA385" s="8">
        <v>0</v>
      </c>
      <c r="AB385" s="8">
        <v>0</v>
      </c>
      <c r="AC385" s="8">
        <v>0</v>
      </c>
    </row>
    <row r="386" spans="3:29" x14ac:dyDescent="0.25">
      <c r="C386" s="9" t="s">
        <v>526</v>
      </c>
      <c r="D386" s="8">
        <v>79</v>
      </c>
      <c r="E386" s="8">
        <v>39</v>
      </c>
      <c r="F386" s="8">
        <v>3</v>
      </c>
      <c r="G386" s="8">
        <v>1467</v>
      </c>
      <c r="H386" s="8">
        <v>5</v>
      </c>
      <c r="I386" s="8">
        <v>1</v>
      </c>
      <c r="J386" s="8">
        <v>0</v>
      </c>
      <c r="K386" s="8">
        <v>0</v>
      </c>
      <c r="L386" s="8">
        <v>0</v>
      </c>
      <c r="M386" s="8">
        <v>0</v>
      </c>
      <c r="N386" s="8">
        <v>0</v>
      </c>
      <c r="O386" s="8">
        <v>1</v>
      </c>
      <c r="P386" s="8">
        <v>1</v>
      </c>
      <c r="Q386" s="8">
        <v>0</v>
      </c>
      <c r="R386" s="8">
        <v>1</v>
      </c>
      <c r="S386" s="8">
        <v>0</v>
      </c>
      <c r="T386" s="8">
        <v>1</v>
      </c>
      <c r="U386" s="8">
        <v>0</v>
      </c>
      <c r="V386" s="8">
        <v>0</v>
      </c>
      <c r="W386" s="8">
        <v>0</v>
      </c>
      <c r="X386" s="8">
        <v>0</v>
      </c>
      <c r="Y386" s="8">
        <v>0</v>
      </c>
      <c r="Z386" s="8">
        <v>0</v>
      </c>
      <c r="AA386" s="8">
        <v>0</v>
      </c>
      <c r="AB386" s="8">
        <v>0</v>
      </c>
      <c r="AC386" s="8">
        <v>1</v>
      </c>
    </row>
    <row r="387" spans="3:29" x14ac:dyDescent="0.25">
      <c r="C387" s="9" t="s">
        <v>527</v>
      </c>
      <c r="D387" s="8">
        <v>22</v>
      </c>
      <c r="E387" s="8">
        <v>5</v>
      </c>
      <c r="F387" s="8">
        <v>3</v>
      </c>
      <c r="G387" s="8">
        <v>3773</v>
      </c>
      <c r="H387" s="8">
        <v>1</v>
      </c>
      <c r="I387" s="8">
        <v>0</v>
      </c>
      <c r="J387" s="8">
        <v>1</v>
      </c>
      <c r="K387" s="8">
        <v>0</v>
      </c>
      <c r="L387" s="8">
        <v>0</v>
      </c>
      <c r="M387" s="8">
        <v>1</v>
      </c>
      <c r="N387" s="8">
        <v>0</v>
      </c>
      <c r="O387" s="8">
        <v>0</v>
      </c>
      <c r="P387" s="8">
        <v>0</v>
      </c>
      <c r="Q387" s="8">
        <v>1</v>
      </c>
      <c r="R387" s="8">
        <v>0</v>
      </c>
      <c r="S387" s="8">
        <v>0</v>
      </c>
      <c r="T387" s="8">
        <v>0</v>
      </c>
      <c r="U387" s="8">
        <v>0</v>
      </c>
      <c r="V387" s="8">
        <v>1</v>
      </c>
      <c r="W387" s="8">
        <v>0</v>
      </c>
      <c r="X387" s="8">
        <v>0</v>
      </c>
      <c r="Y387" s="8">
        <v>0</v>
      </c>
      <c r="Z387" s="8">
        <v>0</v>
      </c>
      <c r="AA387" s="8">
        <v>1</v>
      </c>
      <c r="AB387" s="8">
        <v>0</v>
      </c>
      <c r="AC387" s="8">
        <v>0</v>
      </c>
    </row>
    <row r="388" spans="3:29" x14ac:dyDescent="0.25">
      <c r="C388" s="9" t="s">
        <v>528</v>
      </c>
      <c r="D388" s="8">
        <v>26</v>
      </c>
      <c r="E388" s="8">
        <v>18</v>
      </c>
      <c r="F388" s="8">
        <v>5</v>
      </c>
      <c r="G388" s="8">
        <v>3933</v>
      </c>
      <c r="H388" s="8">
        <v>4</v>
      </c>
      <c r="I388" s="8">
        <v>0</v>
      </c>
      <c r="J388" s="8">
        <v>0</v>
      </c>
      <c r="K388" s="8">
        <v>0</v>
      </c>
      <c r="L388" s="8">
        <v>1</v>
      </c>
      <c r="M388" s="8">
        <v>1</v>
      </c>
      <c r="N388" s="8">
        <v>0</v>
      </c>
      <c r="O388" s="8">
        <v>0</v>
      </c>
      <c r="P388" s="8">
        <v>0</v>
      </c>
      <c r="Q388" s="8">
        <v>0</v>
      </c>
      <c r="R388" s="8">
        <v>0</v>
      </c>
      <c r="S388" s="8">
        <v>1</v>
      </c>
      <c r="T388" s="8">
        <v>0</v>
      </c>
      <c r="U388" s="8">
        <v>1</v>
      </c>
      <c r="V388" s="8">
        <v>0</v>
      </c>
      <c r="W388" s="8">
        <v>0</v>
      </c>
      <c r="X388" s="8">
        <v>1</v>
      </c>
      <c r="Y388" s="8">
        <v>0</v>
      </c>
      <c r="Z388" s="8">
        <v>0</v>
      </c>
      <c r="AA388" s="8">
        <v>0</v>
      </c>
      <c r="AB388" s="8">
        <v>0</v>
      </c>
      <c r="AC388" s="8">
        <v>0</v>
      </c>
    </row>
    <row r="389" spans="3:29" x14ac:dyDescent="0.25">
      <c r="C389" s="9" t="s">
        <v>529</v>
      </c>
      <c r="D389" s="8">
        <v>53</v>
      </c>
      <c r="E389" s="8">
        <v>25</v>
      </c>
      <c r="F389" s="8">
        <v>5</v>
      </c>
      <c r="G389" s="8">
        <v>1282</v>
      </c>
      <c r="H389" s="8">
        <v>3</v>
      </c>
      <c r="I389" s="8">
        <v>1</v>
      </c>
      <c r="J389" s="8">
        <v>0</v>
      </c>
      <c r="K389" s="8">
        <v>0</v>
      </c>
      <c r="L389" s="8">
        <v>0</v>
      </c>
      <c r="M389" s="8">
        <v>0</v>
      </c>
      <c r="N389" s="8">
        <v>0</v>
      </c>
      <c r="O389" s="8">
        <v>1</v>
      </c>
      <c r="P389" s="8">
        <v>0</v>
      </c>
      <c r="Q389" s="8">
        <v>0</v>
      </c>
      <c r="R389" s="8">
        <v>0</v>
      </c>
      <c r="S389" s="8">
        <v>1</v>
      </c>
      <c r="T389" s="8">
        <v>0</v>
      </c>
      <c r="U389" s="8">
        <v>0</v>
      </c>
      <c r="V389" s="8">
        <v>1</v>
      </c>
      <c r="W389" s="8">
        <v>0</v>
      </c>
      <c r="X389" s="8">
        <v>0</v>
      </c>
      <c r="Y389" s="8">
        <v>0</v>
      </c>
      <c r="Z389" s="8">
        <v>1</v>
      </c>
      <c r="AA389" s="8">
        <v>0</v>
      </c>
      <c r="AB389" s="8">
        <v>0</v>
      </c>
      <c r="AC389" s="8">
        <v>0</v>
      </c>
    </row>
    <row r="390" spans="3:29" x14ac:dyDescent="0.25">
      <c r="C390" s="9" t="s">
        <v>530</v>
      </c>
      <c r="D390" s="8">
        <v>36</v>
      </c>
      <c r="E390" s="8">
        <v>9</v>
      </c>
      <c r="F390" s="8">
        <v>5</v>
      </c>
      <c r="G390" s="8">
        <v>3773</v>
      </c>
      <c r="H390" s="8">
        <v>2</v>
      </c>
      <c r="I390" s="8">
        <v>0</v>
      </c>
      <c r="J390" s="8">
        <v>0</v>
      </c>
      <c r="K390" s="8">
        <v>1</v>
      </c>
      <c r="L390" s="8">
        <v>0</v>
      </c>
      <c r="M390" s="8">
        <v>0</v>
      </c>
      <c r="N390" s="8">
        <v>1</v>
      </c>
      <c r="O390" s="8">
        <v>0</v>
      </c>
      <c r="P390" s="8">
        <v>0</v>
      </c>
      <c r="Q390" s="8">
        <v>1</v>
      </c>
      <c r="R390" s="8">
        <v>0</v>
      </c>
      <c r="S390" s="8">
        <v>0</v>
      </c>
      <c r="T390" s="8">
        <v>0</v>
      </c>
      <c r="U390" s="8">
        <v>0</v>
      </c>
      <c r="V390" s="8">
        <v>1</v>
      </c>
      <c r="W390" s="8">
        <v>0</v>
      </c>
      <c r="X390" s="8">
        <v>0</v>
      </c>
      <c r="Y390" s="8">
        <v>1</v>
      </c>
      <c r="Z390" s="8">
        <v>0</v>
      </c>
      <c r="AA390" s="8">
        <v>0</v>
      </c>
      <c r="AB390" s="8">
        <v>0</v>
      </c>
      <c r="AC390" s="8">
        <v>0</v>
      </c>
    </row>
    <row r="391" spans="3:29" x14ac:dyDescent="0.25">
      <c r="C391" s="9" t="s">
        <v>531</v>
      </c>
      <c r="D391" s="8">
        <v>12</v>
      </c>
      <c r="E391" s="8">
        <v>6</v>
      </c>
      <c r="F391" s="8">
        <v>5</v>
      </c>
      <c r="G391" s="8">
        <v>2959</v>
      </c>
      <c r="H391" s="8">
        <v>1</v>
      </c>
      <c r="I391" s="8">
        <v>1</v>
      </c>
      <c r="J391" s="8">
        <v>0</v>
      </c>
      <c r="K391" s="8">
        <v>0</v>
      </c>
      <c r="L391" s="8">
        <v>0</v>
      </c>
      <c r="M391" s="8">
        <v>1</v>
      </c>
      <c r="N391" s="8">
        <v>0</v>
      </c>
      <c r="O391" s="8">
        <v>0</v>
      </c>
      <c r="P391" s="8">
        <v>0</v>
      </c>
      <c r="Q391" s="8">
        <v>0</v>
      </c>
      <c r="R391" s="8">
        <v>0</v>
      </c>
      <c r="S391" s="8">
        <v>1</v>
      </c>
      <c r="T391" s="8">
        <v>1</v>
      </c>
      <c r="U391" s="8">
        <v>0</v>
      </c>
      <c r="V391" s="8">
        <v>0</v>
      </c>
      <c r="W391" s="8">
        <v>0</v>
      </c>
      <c r="X391" s="8">
        <v>0</v>
      </c>
      <c r="Y391" s="8">
        <v>0</v>
      </c>
      <c r="Z391" s="8">
        <v>0</v>
      </c>
      <c r="AA391" s="8">
        <v>1</v>
      </c>
      <c r="AB391" s="8">
        <v>0</v>
      </c>
      <c r="AC391" s="8">
        <v>0</v>
      </c>
    </row>
    <row r="392" spans="3:29" x14ac:dyDescent="0.25">
      <c r="C392" s="9" t="s">
        <v>532</v>
      </c>
      <c r="D392" s="8">
        <v>36</v>
      </c>
      <c r="E392" s="8">
        <v>19</v>
      </c>
      <c r="F392" s="8">
        <v>2</v>
      </c>
      <c r="G392" s="8">
        <v>3003</v>
      </c>
      <c r="H392" s="8">
        <v>5</v>
      </c>
      <c r="I392" s="8">
        <v>0</v>
      </c>
      <c r="J392" s="8">
        <v>1</v>
      </c>
      <c r="K392" s="8">
        <v>0</v>
      </c>
      <c r="L392" s="8">
        <v>0</v>
      </c>
      <c r="M392" s="8">
        <v>1</v>
      </c>
      <c r="N392" s="8">
        <v>0</v>
      </c>
      <c r="O392" s="8">
        <v>0</v>
      </c>
      <c r="P392" s="8">
        <v>0</v>
      </c>
      <c r="Q392" s="8">
        <v>0</v>
      </c>
      <c r="R392" s="8">
        <v>1</v>
      </c>
      <c r="S392" s="8">
        <v>0</v>
      </c>
      <c r="T392" s="8">
        <v>0</v>
      </c>
      <c r="U392" s="8">
        <v>1</v>
      </c>
      <c r="V392" s="8">
        <v>0</v>
      </c>
      <c r="W392" s="8">
        <v>0</v>
      </c>
      <c r="X392" s="8">
        <v>0</v>
      </c>
      <c r="Y392" s="8">
        <v>0</v>
      </c>
      <c r="Z392" s="8">
        <v>0</v>
      </c>
      <c r="AA392" s="8">
        <v>1</v>
      </c>
      <c r="AB392" s="8">
        <v>0</v>
      </c>
      <c r="AC392" s="8">
        <v>0</v>
      </c>
    </row>
    <row r="393" spans="3:29" x14ac:dyDescent="0.25">
      <c r="C393" s="9" t="s">
        <v>533</v>
      </c>
      <c r="D393" s="8">
        <v>14</v>
      </c>
      <c r="E393" s="8">
        <v>0</v>
      </c>
      <c r="F393" s="8">
        <v>2</v>
      </c>
      <c r="G393" s="8">
        <v>188</v>
      </c>
      <c r="H393" s="8">
        <v>4</v>
      </c>
      <c r="I393" s="8">
        <v>0</v>
      </c>
      <c r="J393" s="8">
        <v>0</v>
      </c>
      <c r="K393" s="8">
        <v>1</v>
      </c>
      <c r="L393" s="8">
        <v>0</v>
      </c>
      <c r="M393" s="8">
        <v>0</v>
      </c>
      <c r="N393" s="8">
        <v>1</v>
      </c>
      <c r="O393" s="8">
        <v>0</v>
      </c>
      <c r="P393" s="8">
        <v>0</v>
      </c>
      <c r="Q393" s="8">
        <v>0</v>
      </c>
      <c r="R393" s="8">
        <v>1</v>
      </c>
      <c r="S393" s="8">
        <v>0</v>
      </c>
      <c r="T393" s="8">
        <v>0</v>
      </c>
      <c r="U393" s="8">
        <v>0</v>
      </c>
      <c r="V393" s="8">
        <v>1</v>
      </c>
      <c r="W393" s="8">
        <v>0</v>
      </c>
      <c r="X393" s="8">
        <v>0</v>
      </c>
      <c r="Y393" s="8">
        <v>0</v>
      </c>
      <c r="Z393" s="8">
        <v>0</v>
      </c>
      <c r="AA393" s="8">
        <v>0</v>
      </c>
      <c r="AB393" s="8">
        <v>1</v>
      </c>
      <c r="AC393" s="8">
        <v>0</v>
      </c>
    </row>
    <row r="394" spans="3:29" x14ac:dyDescent="0.25">
      <c r="C394" s="9" t="s">
        <v>534</v>
      </c>
      <c r="D394" s="8">
        <v>15</v>
      </c>
      <c r="E394" s="8">
        <v>6</v>
      </c>
      <c r="F394" s="8">
        <v>4</v>
      </c>
      <c r="G394" s="8">
        <v>4027</v>
      </c>
      <c r="H394" s="8">
        <v>4</v>
      </c>
      <c r="I394" s="8">
        <v>0</v>
      </c>
      <c r="J394" s="8">
        <v>1</v>
      </c>
      <c r="K394" s="8">
        <v>0</v>
      </c>
      <c r="L394" s="8">
        <v>0</v>
      </c>
      <c r="M394" s="8">
        <v>0</v>
      </c>
      <c r="N394" s="8">
        <v>0</v>
      </c>
      <c r="O394" s="8">
        <v>1</v>
      </c>
      <c r="P394" s="8">
        <v>0</v>
      </c>
      <c r="Q394" s="8">
        <v>0</v>
      </c>
      <c r="R394" s="8">
        <v>0</v>
      </c>
      <c r="S394" s="8">
        <v>1</v>
      </c>
      <c r="T394" s="8">
        <v>1</v>
      </c>
      <c r="U394" s="8">
        <v>0</v>
      </c>
      <c r="V394" s="8">
        <v>0</v>
      </c>
      <c r="W394" s="8">
        <v>0</v>
      </c>
      <c r="X394" s="8">
        <v>0</v>
      </c>
      <c r="Y394" s="8">
        <v>0</v>
      </c>
      <c r="Z394" s="8">
        <v>0</v>
      </c>
      <c r="AA394" s="8">
        <v>0</v>
      </c>
      <c r="AB394" s="8">
        <v>0</v>
      </c>
      <c r="AC394" s="8">
        <v>1</v>
      </c>
    </row>
    <row r="395" spans="3:29" x14ac:dyDescent="0.25">
      <c r="C395" s="9" t="s">
        <v>535</v>
      </c>
      <c r="D395" s="8">
        <v>7</v>
      </c>
      <c r="E395" s="8">
        <v>4</v>
      </c>
      <c r="F395" s="8">
        <v>5</v>
      </c>
      <c r="G395" s="8">
        <v>2700</v>
      </c>
      <c r="H395" s="8">
        <v>3</v>
      </c>
      <c r="I395" s="8">
        <v>0</v>
      </c>
      <c r="J395" s="8">
        <v>1</v>
      </c>
      <c r="K395" s="8">
        <v>0</v>
      </c>
      <c r="L395" s="8">
        <v>0</v>
      </c>
      <c r="M395" s="8">
        <v>0</v>
      </c>
      <c r="N395" s="8">
        <v>0</v>
      </c>
      <c r="O395" s="8">
        <v>1</v>
      </c>
      <c r="P395" s="8">
        <v>1</v>
      </c>
      <c r="Q395" s="8">
        <v>0</v>
      </c>
      <c r="R395" s="8">
        <v>0</v>
      </c>
      <c r="S395" s="8">
        <v>1</v>
      </c>
      <c r="T395" s="8">
        <v>0</v>
      </c>
      <c r="U395" s="8">
        <v>0</v>
      </c>
      <c r="V395" s="8">
        <v>1</v>
      </c>
      <c r="W395" s="8">
        <v>0</v>
      </c>
      <c r="X395" s="8">
        <v>0</v>
      </c>
      <c r="Y395" s="8">
        <v>0</v>
      </c>
      <c r="Z395" s="8">
        <v>1</v>
      </c>
      <c r="AA395" s="8">
        <v>0</v>
      </c>
      <c r="AB395" s="8">
        <v>0</v>
      </c>
      <c r="AC395" s="8">
        <v>0</v>
      </c>
    </row>
    <row r="396" spans="3:29" x14ac:dyDescent="0.25">
      <c r="C396" s="9" t="s">
        <v>536</v>
      </c>
      <c r="D396" s="8">
        <v>8</v>
      </c>
      <c r="E396" s="8">
        <v>8</v>
      </c>
      <c r="F396" s="8">
        <v>1</v>
      </c>
      <c r="G396" s="8">
        <v>3773</v>
      </c>
      <c r="H396" s="8">
        <v>4</v>
      </c>
      <c r="I396" s="8">
        <v>0</v>
      </c>
      <c r="J396" s="8">
        <v>0</v>
      </c>
      <c r="K396" s="8">
        <v>0</v>
      </c>
      <c r="L396" s="8">
        <v>1</v>
      </c>
      <c r="M396" s="8">
        <v>0</v>
      </c>
      <c r="N396" s="8">
        <v>1</v>
      </c>
      <c r="O396" s="8">
        <v>0</v>
      </c>
      <c r="P396" s="8">
        <v>0</v>
      </c>
      <c r="Q396" s="8">
        <v>1</v>
      </c>
      <c r="R396" s="8">
        <v>0</v>
      </c>
      <c r="S396" s="8">
        <v>0</v>
      </c>
      <c r="T396" s="8">
        <v>0</v>
      </c>
      <c r="U396" s="8">
        <v>0</v>
      </c>
      <c r="V396" s="8">
        <v>1</v>
      </c>
      <c r="W396" s="8">
        <v>0</v>
      </c>
      <c r="X396" s="8">
        <v>0</v>
      </c>
      <c r="Y396" s="8">
        <v>0</v>
      </c>
      <c r="Z396" s="8">
        <v>0</v>
      </c>
      <c r="AA396" s="8">
        <v>0</v>
      </c>
      <c r="AB396" s="8">
        <v>0</v>
      </c>
      <c r="AC396" s="8">
        <v>1</v>
      </c>
    </row>
    <row r="397" spans="3:29" x14ac:dyDescent="0.25">
      <c r="C397" s="9" t="s">
        <v>537</v>
      </c>
      <c r="D397" s="8">
        <v>7</v>
      </c>
      <c r="E397" s="8">
        <v>3</v>
      </c>
      <c r="F397" s="8">
        <v>4</v>
      </c>
      <c r="G397" s="8">
        <v>716</v>
      </c>
      <c r="H397" s="8">
        <v>3</v>
      </c>
      <c r="I397" s="8">
        <v>0</v>
      </c>
      <c r="J397" s="8">
        <v>1</v>
      </c>
      <c r="K397" s="8">
        <v>0</v>
      </c>
      <c r="L397" s="8">
        <v>0</v>
      </c>
      <c r="M397" s="8">
        <v>1</v>
      </c>
      <c r="N397" s="8">
        <v>0</v>
      </c>
      <c r="O397" s="8">
        <v>0</v>
      </c>
      <c r="P397" s="8">
        <v>1</v>
      </c>
      <c r="Q397" s="8">
        <v>1</v>
      </c>
      <c r="R397" s="8">
        <v>0</v>
      </c>
      <c r="S397" s="8">
        <v>0</v>
      </c>
      <c r="T397" s="8">
        <v>0</v>
      </c>
      <c r="U397" s="8">
        <v>0</v>
      </c>
      <c r="V397" s="8">
        <v>1</v>
      </c>
      <c r="W397" s="8">
        <v>1</v>
      </c>
      <c r="X397" s="8">
        <v>0</v>
      </c>
      <c r="Y397" s="8">
        <v>0</v>
      </c>
      <c r="Z397" s="8">
        <v>0</v>
      </c>
      <c r="AA397" s="8">
        <v>0</v>
      </c>
      <c r="AB397" s="8">
        <v>0</v>
      </c>
      <c r="AC397" s="8">
        <v>0</v>
      </c>
    </row>
    <row r="398" spans="3:29" x14ac:dyDescent="0.25">
      <c r="C398" s="9" t="s">
        <v>538</v>
      </c>
      <c r="D398" s="8">
        <v>16</v>
      </c>
      <c r="E398" s="8">
        <v>13</v>
      </c>
      <c r="F398" s="8">
        <v>5</v>
      </c>
      <c r="G398" s="8">
        <v>2700</v>
      </c>
      <c r="H398" s="8">
        <v>9</v>
      </c>
      <c r="I398" s="8">
        <v>1</v>
      </c>
      <c r="J398" s="8">
        <v>0</v>
      </c>
      <c r="K398" s="8">
        <v>0</v>
      </c>
      <c r="L398" s="8">
        <v>0</v>
      </c>
      <c r="M398" s="8">
        <v>0</v>
      </c>
      <c r="N398" s="8">
        <v>0</v>
      </c>
      <c r="O398" s="8">
        <v>1</v>
      </c>
      <c r="P398" s="8">
        <v>1</v>
      </c>
      <c r="Q398" s="8">
        <v>0</v>
      </c>
      <c r="R398" s="8">
        <v>0</v>
      </c>
      <c r="S398" s="8">
        <v>1</v>
      </c>
      <c r="T398" s="8">
        <v>0</v>
      </c>
      <c r="U398" s="8">
        <v>0</v>
      </c>
      <c r="V398" s="8">
        <v>1</v>
      </c>
      <c r="W398" s="8">
        <v>0</v>
      </c>
      <c r="X398" s="8">
        <v>0</v>
      </c>
      <c r="Y398" s="8">
        <v>0</v>
      </c>
      <c r="Z398" s="8">
        <v>0</v>
      </c>
      <c r="AA398" s="8">
        <v>0</v>
      </c>
      <c r="AB398" s="8">
        <v>1</v>
      </c>
      <c r="AC398" s="8">
        <v>0</v>
      </c>
    </row>
    <row r="399" spans="3:29" x14ac:dyDescent="0.25">
      <c r="C399" s="9" t="s">
        <v>539</v>
      </c>
      <c r="D399" s="8">
        <v>17</v>
      </c>
      <c r="E399" s="8">
        <v>15</v>
      </c>
      <c r="F399" s="8">
        <v>4</v>
      </c>
      <c r="G399" s="8">
        <v>3348</v>
      </c>
      <c r="H399" s="8">
        <v>2</v>
      </c>
      <c r="I399" s="8">
        <v>0</v>
      </c>
      <c r="J399" s="8">
        <v>1</v>
      </c>
      <c r="K399" s="8">
        <v>0</v>
      </c>
      <c r="L399" s="8">
        <v>0</v>
      </c>
      <c r="M399" s="8">
        <v>0</v>
      </c>
      <c r="N399" s="8">
        <v>0</v>
      </c>
      <c r="O399" s="8">
        <v>1</v>
      </c>
      <c r="P399" s="8">
        <v>0</v>
      </c>
      <c r="Q399" s="8">
        <v>0</v>
      </c>
      <c r="R399" s="8">
        <v>0</v>
      </c>
      <c r="S399" s="8">
        <v>1</v>
      </c>
      <c r="T399" s="8">
        <v>0</v>
      </c>
      <c r="U399" s="8">
        <v>0</v>
      </c>
      <c r="V399" s="8">
        <v>1</v>
      </c>
      <c r="W399" s="8">
        <v>0</v>
      </c>
      <c r="X399" s="8">
        <v>0</v>
      </c>
      <c r="Y399" s="8">
        <v>0</v>
      </c>
      <c r="Z399" s="8">
        <v>1</v>
      </c>
      <c r="AA399" s="8">
        <v>0</v>
      </c>
      <c r="AB399" s="8">
        <v>0</v>
      </c>
      <c r="AC399" s="8">
        <v>0</v>
      </c>
    </row>
    <row r="400" spans="3:29" x14ac:dyDescent="0.25">
      <c r="C400" s="9" t="s">
        <v>540</v>
      </c>
      <c r="D400" s="8">
        <v>46</v>
      </c>
      <c r="E400" s="8">
        <v>4</v>
      </c>
      <c r="F400" s="8">
        <v>4</v>
      </c>
      <c r="G400" s="8">
        <v>3348</v>
      </c>
      <c r="H400" s="8">
        <v>2</v>
      </c>
      <c r="I400" s="8">
        <v>0</v>
      </c>
      <c r="J400" s="8">
        <v>0</v>
      </c>
      <c r="K400" s="8">
        <v>1</v>
      </c>
      <c r="L400" s="8">
        <v>0</v>
      </c>
      <c r="M400" s="8">
        <v>0</v>
      </c>
      <c r="N400" s="8">
        <v>0</v>
      </c>
      <c r="O400" s="8">
        <v>1</v>
      </c>
      <c r="P400" s="8">
        <v>0</v>
      </c>
      <c r="Q400" s="8">
        <v>0</v>
      </c>
      <c r="R400" s="8">
        <v>0</v>
      </c>
      <c r="S400" s="8">
        <v>1</v>
      </c>
      <c r="T400" s="8">
        <v>0</v>
      </c>
      <c r="U400" s="8">
        <v>0</v>
      </c>
      <c r="V400" s="8">
        <v>1</v>
      </c>
      <c r="W400" s="8">
        <v>0</v>
      </c>
      <c r="X400" s="8">
        <v>0</v>
      </c>
      <c r="Y400" s="8">
        <v>1</v>
      </c>
      <c r="Z400" s="8">
        <v>0</v>
      </c>
      <c r="AA400" s="8">
        <v>0</v>
      </c>
      <c r="AB400" s="8">
        <v>0</v>
      </c>
      <c r="AC400" s="8">
        <v>0</v>
      </c>
    </row>
    <row r="401" spans="3:29" x14ac:dyDescent="0.25">
      <c r="C401" s="9" t="s">
        <v>541</v>
      </c>
      <c r="D401" s="8">
        <v>6</v>
      </c>
      <c r="E401" s="8">
        <v>3</v>
      </c>
      <c r="F401" s="8">
        <v>5</v>
      </c>
      <c r="G401" s="8">
        <v>787</v>
      </c>
      <c r="H401" s="8">
        <v>3</v>
      </c>
      <c r="I401" s="8">
        <v>0</v>
      </c>
      <c r="J401" s="8">
        <v>1</v>
      </c>
      <c r="K401" s="8">
        <v>0</v>
      </c>
      <c r="L401" s="8">
        <v>0</v>
      </c>
      <c r="M401" s="8">
        <v>0</v>
      </c>
      <c r="N401" s="8">
        <v>1</v>
      </c>
      <c r="O401" s="8">
        <v>0</v>
      </c>
      <c r="P401" s="8">
        <v>1</v>
      </c>
      <c r="Q401" s="8">
        <v>1</v>
      </c>
      <c r="R401" s="8">
        <v>0</v>
      </c>
      <c r="S401" s="8">
        <v>0</v>
      </c>
      <c r="T401" s="8">
        <v>0</v>
      </c>
      <c r="U401" s="8">
        <v>1</v>
      </c>
      <c r="V401" s="8">
        <v>0</v>
      </c>
      <c r="W401" s="8">
        <v>0</v>
      </c>
      <c r="X401" s="8">
        <v>0</v>
      </c>
      <c r="Y401" s="8">
        <v>0</v>
      </c>
      <c r="Z401" s="8">
        <v>1</v>
      </c>
      <c r="AA401" s="8">
        <v>0</v>
      </c>
      <c r="AB401" s="8">
        <v>0</v>
      </c>
      <c r="AC401" s="8">
        <v>0</v>
      </c>
    </row>
    <row r="402" spans="3:29" x14ac:dyDescent="0.25">
      <c r="C402" s="9" t="s">
        <v>542</v>
      </c>
      <c r="D402" s="8">
        <v>3</v>
      </c>
      <c r="E402" s="8">
        <v>3</v>
      </c>
      <c r="F402" s="8">
        <v>2</v>
      </c>
      <c r="G402" s="8">
        <v>315</v>
      </c>
      <c r="H402" s="8">
        <v>1</v>
      </c>
      <c r="I402" s="8">
        <v>1</v>
      </c>
      <c r="J402" s="8">
        <v>0</v>
      </c>
      <c r="K402" s="8">
        <v>0</v>
      </c>
      <c r="L402" s="8">
        <v>0</v>
      </c>
      <c r="M402" s="8">
        <v>0</v>
      </c>
      <c r="N402" s="8">
        <v>1</v>
      </c>
      <c r="O402" s="8">
        <v>0</v>
      </c>
      <c r="P402" s="8">
        <v>0</v>
      </c>
      <c r="Q402" s="8">
        <v>1</v>
      </c>
      <c r="R402" s="8">
        <v>0</v>
      </c>
      <c r="S402" s="8">
        <v>0</v>
      </c>
      <c r="T402" s="8">
        <v>0</v>
      </c>
      <c r="U402" s="8">
        <v>0</v>
      </c>
      <c r="V402" s="8">
        <v>1</v>
      </c>
      <c r="W402" s="8">
        <v>0</v>
      </c>
      <c r="X402" s="8">
        <v>0</v>
      </c>
      <c r="Y402" s="8">
        <v>1</v>
      </c>
      <c r="Z402" s="8">
        <v>0</v>
      </c>
      <c r="AA402" s="8">
        <v>0</v>
      </c>
      <c r="AB402" s="8">
        <v>0</v>
      </c>
      <c r="AC402" s="8">
        <v>0</v>
      </c>
    </row>
    <row r="403" spans="3:29" x14ac:dyDescent="0.25">
      <c r="C403" s="9" t="s">
        <v>543</v>
      </c>
      <c r="D403" s="8">
        <v>41</v>
      </c>
      <c r="E403" s="8">
        <v>9</v>
      </c>
      <c r="F403" s="8">
        <v>5</v>
      </c>
      <c r="G403" s="8">
        <v>3933</v>
      </c>
      <c r="H403" s="8">
        <v>1</v>
      </c>
      <c r="I403" s="8">
        <v>1</v>
      </c>
      <c r="J403" s="8">
        <v>0</v>
      </c>
      <c r="K403" s="8">
        <v>0</v>
      </c>
      <c r="L403" s="8">
        <v>0</v>
      </c>
      <c r="M403" s="8">
        <v>1</v>
      </c>
      <c r="N403" s="8">
        <v>0</v>
      </c>
      <c r="O403" s="8">
        <v>0</v>
      </c>
      <c r="P403" s="8">
        <v>0</v>
      </c>
      <c r="Q403" s="8">
        <v>0</v>
      </c>
      <c r="R403" s="8">
        <v>0</v>
      </c>
      <c r="S403" s="8">
        <v>1</v>
      </c>
      <c r="T403" s="8">
        <v>0</v>
      </c>
      <c r="U403" s="8">
        <v>0</v>
      </c>
      <c r="V403" s="8">
        <v>1</v>
      </c>
      <c r="W403" s="8">
        <v>1</v>
      </c>
      <c r="X403" s="8">
        <v>0</v>
      </c>
      <c r="Y403" s="8">
        <v>0</v>
      </c>
      <c r="Z403" s="8">
        <v>0</v>
      </c>
      <c r="AA403" s="8">
        <v>0</v>
      </c>
      <c r="AB403" s="8">
        <v>0</v>
      </c>
      <c r="AC403" s="8">
        <v>0</v>
      </c>
    </row>
    <row r="404" spans="3:29" x14ac:dyDescent="0.25">
      <c r="C404" s="9" t="s">
        <v>544</v>
      </c>
      <c r="D404" s="8">
        <v>12</v>
      </c>
      <c r="E404" s="8">
        <v>7</v>
      </c>
      <c r="F404" s="8">
        <v>2</v>
      </c>
      <c r="G404" s="8">
        <v>2700</v>
      </c>
      <c r="H404" s="8">
        <v>4</v>
      </c>
      <c r="I404" s="8">
        <v>0</v>
      </c>
      <c r="J404" s="8">
        <v>0</v>
      </c>
      <c r="K404" s="8">
        <v>0</v>
      </c>
      <c r="L404" s="8">
        <v>1</v>
      </c>
      <c r="M404" s="8">
        <v>1</v>
      </c>
      <c r="N404" s="8">
        <v>0</v>
      </c>
      <c r="O404" s="8">
        <v>0</v>
      </c>
      <c r="P404" s="8">
        <v>1</v>
      </c>
      <c r="Q404" s="8">
        <v>0</v>
      </c>
      <c r="R404" s="8">
        <v>0</v>
      </c>
      <c r="S404" s="8">
        <v>1</v>
      </c>
      <c r="T404" s="8">
        <v>0</v>
      </c>
      <c r="U404" s="8">
        <v>0</v>
      </c>
      <c r="V404" s="8">
        <v>1</v>
      </c>
      <c r="W404" s="8">
        <v>0</v>
      </c>
      <c r="X404" s="8">
        <v>1</v>
      </c>
      <c r="Y404" s="8">
        <v>0</v>
      </c>
      <c r="Z404" s="8">
        <v>0</v>
      </c>
      <c r="AA404" s="8">
        <v>0</v>
      </c>
      <c r="AB404" s="8">
        <v>0</v>
      </c>
      <c r="AC404" s="8">
        <v>0</v>
      </c>
    </row>
    <row r="405" spans="3:29" x14ac:dyDescent="0.25">
      <c r="C405" s="9" t="s">
        <v>545</v>
      </c>
      <c r="D405" s="8">
        <v>7</v>
      </c>
      <c r="E405" s="8">
        <v>6</v>
      </c>
      <c r="F405" s="8">
        <v>2</v>
      </c>
      <c r="G405" s="8">
        <v>3773</v>
      </c>
      <c r="H405" s="8">
        <v>1</v>
      </c>
      <c r="I405" s="8">
        <v>0</v>
      </c>
      <c r="J405" s="8">
        <v>1</v>
      </c>
      <c r="K405" s="8">
        <v>0</v>
      </c>
      <c r="L405" s="8">
        <v>0</v>
      </c>
      <c r="M405" s="8">
        <v>1</v>
      </c>
      <c r="N405" s="8">
        <v>0</v>
      </c>
      <c r="O405" s="8">
        <v>0</v>
      </c>
      <c r="P405" s="8">
        <v>0</v>
      </c>
      <c r="Q405" s="8">
        <v>1</v>
      </c>
      <c r="R405" s="8">
        <v>0</v>
      </c>
      <c r="S405" s="8">
        <v>0</v>
      </c>
      <c r="T405" s="8">
        <v>0</v>
      </c>
      <c r="U405" s="8">
        <v>0</v>
      </c>
      <c r="V405" s="8">
        <v>1</v>
      </c>
      <c r="W405" s="8">
        <v>0</v>
      </c>
      <c r="X405" s="8">
        <v>0</v>
      </c>
      <c r="Y405" s="8">
        <v>0</v>
      </c>
      <c r="Z405" s="8">
        <v>0</v>
      </c>
      <c r="AA405" s="8">
        <v>0</v>
      </c>
      <c r="AB405" s="8">
        <v>0</v>
      </c>
      <c r="AC405" s="8">
        <v>1</v>
      </c>
    </row>
    <row r="406" spans="3:29" x14ac:dyDescent="0.25">
      <c r="C406" s="9" t="s">
        <v>546</v>
      </c>
      <c r="D406" s="8">
        <v>159</v>
      </c>
      <c r="E406" s="8">
        <v>43</v>
      </c>
      <c r="F406" s="8">
        <v>5</v>
      </c>
      <c r="G406" s="8">
        <v>732</v>
      </c>
      <c r="H406" s="8">
        <v>4</v>
      </c>
      <c r="I406" s="8">
        <v>0</v>
      </c>
      <c r="J406" s="8">
        <v>0</v>
      </c>
      <c r="K406" s="8">
        <v>0</v>
      </c>
      <c r="L406" s="8">
        <v>1</v>
      </c>
      <c r="M406" s="8">
        <v>0</v>
      </c>
      <c r="N406" s="8">
        <v>1</v>
      </c>
      <c r="O406" s="8">
        <v>0</v>
      </c>
      <c r="P406" s="8">
        <v>0</v>
      </c>
      <c r="Q406" s="8">
        <v>1</v>
      </c>
      <c r="R406" s="8">
        <v>0</v>
      </c>
      <c r="S406" s="8">
        <v>0</v>
      </c>
      <c r="T406" s="8">
        <v>0</v>
      </c>
      <c r="U406" s="8">
        <v>0</v>
      </c>
      <c r="V406" s="8">
        <v>1</v>
      </c>
      <c r="W406" s="8">
        <v>0</v>
      </c>
      <c r="X406" s="8">
        <v>0</v>
      </c>
      <c r="Y406" s="8">
        <v>0</v>
      </c>
      <c r="Z406" s="8">
        <v>0</v>
      </c>
      <c r="AA406" s="8">
        <v>0</v>
      </c>
      <c r="AB406" s="8">
        <v>0</v>
      </c>
      <c r="AC406" s="8">
        <v>1</v>
      </c>
    </row>
    <row r="407" spans="3:29" x14ac:dyDescent="0.25">
      <c r="C407" s="9" t="s">
        <v>547</v>
      </c>
      <c r="D407" s="8">
        <v>17</v>
      </c>
      <c r="E407" s="8">
        <v>3</v>
      </c>
      <c r="F407" s="8">
        <v>4</v>
      </c>
      <c r="G407" s="8">
        <v>787</v>
      </c>
      <c r="H407" s="8">
        <v>2</v>
      </c>
      <c r="I407" s="8">
        <v>1</v>
      </c>
      <c r="J407" s="8">
        <v>0</v>
      </c>
      <c r="K407" s="8">
        <v>0</v>
      </c>
      <c r="L407" s="8">
        <v>0</v>
      </c>
      <c r="M407" s="8">
        <v>1</v>
      </c>
      <c r="N407" s="8">
        <v>0</v>
      </c>
      <c r="O407" s="8">
        <v>0</v>
      </c>
      <c r="P407" s="8">
        <v>1</v>
      </c>
      <c r="Q407" s="8">
        <v>1</v>
      </c>
      <c r="R407" s="8">
        <v>0</v>
      </c>
      <c r="S407" s="8">
        <v>0</v>
      </c>
      <c r="T407" s="8">
        <v>0</v>
      </c>
      <c r="U407" s="8">
        <v>0</v>
      </c>
      <c r="V407" s="8">
        <v>1</v>
      </c>
      <c r="W407" s="8">
        <v>0</v>
      </c>
      <c r="X407" s="8">
        <v>1</v>
      </c>
      <c r="Y407" s="8">
        <v>0</v>
      </c>
      <c r="Z407" s="8">
        <v>0</v>
      </c>
      <c r="AA407" s="8">
        <v>0</v>
      </c>
      <c r="AB407" s="8">
        <v>0</v>
      </c>
      <c r="AC407" s="8">
        <v>0</v>
      </c>
    </row>
    <row r="408" spans="3:29" x14ac:dyDescent="0.25">
      <c r="C408" s="9" t="s">
        <v>548</v>
      </c>
      <c r="D408" s="8">
        <v>69</v>
      </c>
      <c r="E408" s="8">
        <v>58</v>
      </c>
      <c r="F408" s="8">
        <v>5</v>
      </c>
      <c r="G408" s="8">
        <v>1282</v>
      </c>
      <c r="H408" s="8">
        <v>5</v>
      </c>
      <c r="I408" s="8">
        <v>1</v>
      </c>
      <c r="J408" s="8">
        <v>0</v>
      </c>
      <c r="K408" s="8">
        <v>0</v>
      </c>
      <c r="L408" s="8">
        <v>0</v>
      </c>
      <c r="M408" s="8">
        <v>1</v>
      </c>
      <c r="N408" s="8">
        <v>0</v>
      </c>
      <c r="O408" s="8">
        <v>0</v>
      </c>
      <c r="P408" s="8">
        <v>0</v>
      </c>
      <c r="Q408" s="8">
        <v>0</v>
      </c>
      <c r="R408" s="8">
        <v>0</v>
      </c>
      <c r="S408" s="8">
        <v>1</v>
      </c>
      <c r="T408" s="8">
        <v>1</v>
      </c>
      <c r="U408" s="8">
        <v>0</v>
      </c>
      <c r="V408" s="8">
        <v>0</v>
      </c>
      <c r="W408" s="8">
        <v>0</v>
      </c>
      <c r="X408" s="8">
        <v>0</v>
      </c>
      <c r="Y408" s="8">
        <v>1</v>
      </c>
      <c r="Z408" s="8">
        <v>0</v>
      </c>
      <c r="AA408" s="8">
        <v>0</v>
      </c>
      <c r="AB408" s="8">
        <v>0</v>
      </c>
      <c r="AC408" s="8">
        <v>0</v>
      </c>
    </row>
    <row r="409" spans="3:29" x14ac:dyDescent="0.25">
      <c r="C409" s="9" t="s">
        <v>550</v>
      </c>
      <c r="D409" s="8">
        <v>154</v>
      </c>
      <c r="E409" s="8">
        <v>23</v>
      </c>
      <c r="F409" s="8">
        <v>4</v>
      </c>
      <c r="G409" s="8">
        <v>826</v>
      </c>
      <c r="H409" s="8">
        <v>4</v>
      </c>
      <c r="I409" s="8">
        <v>0</v>
      </c>
      <c r="J409" s="8">
        <v>0</v>
      </c>
      <c r="K409" s="8">
        <v>0</v>
      </c>
      <c r="L409" s="8">
        <v>1</v>
      </c>
      <c r="M409" s="8">
        <v>1</v>
      </c>
      <c r="N409" s="8">
        <v>0</v>
      </c>
      <c r="O409" s="8">
        <v>0</v>
      </c>
      <c r="P409" s="8">
        <v>0</v>
      </c>
      <c r="Q409" s="8">
        <v>0</v>
      </c>
      <c r="R409" s="8">
        <v>1</v>
      </c>
      <c r="S409" s="8">
        <v>0</v>
      </c>
      <c r="T409" s="8">
        <v>0</v>
      </c>
      <c r="U409" s="8">
        <v>0</v>
      </c>
      <c r="V409" s="8">
        <v>1</v>
      </c>
      <c r="W409" s="8">
        <v>0</v>
      </c>
      <c r="X409" s="8">
        <v>0</v>
      </c>
      <c r="Y409" s="8">
        <v>0</v>
      </c>
      <c r="Z409" s="8">
        <v>0</v>
      </c>
      <c r="AA409" s="8">
        <v>1</v>
      </c>
      <c r="AB409" s="8">
        <v>0</v>
      </c>
      <c r="AC409" s="8">
        <v>0</v>
      </c>
    </row>
    <row r="410" spans="3:29" x14ac:dyDescent="0.25">
      <c r="C410" s="9" t="s">
        <v>549</v>
      </c>
      <c r="D410" s="8">
        <v>27</v>
      </c>
      <c r="E410" s="8">
        <v>11</v>
      </c>
      <c r="F410" s="8">
        <v>3</v>
      </c>
      <c r="G410" s="8">
        <v>2884</v>
      </c>
      <c r="H410" s="8">
        <v>2</v>
      </c>
      <c r="I410" s="8">
        <v>0</v>
      </c>
      <c r="J410" s="8">
        <v>0</v>
      </c>
      <c r="K410" s="8">
        <v>0</v>
      </c>
      <c r="L410" s="8">
        <v>1</v>
      </c>
      <c r="M410" s="8">
        <v>0</v>
      </c>
      <c r="N410" s="8">
        <v>0</v>
      </c>
      <c r="O410" s="8">
        <v>1</v>
      </c>
      <c r="P410" s="8">
        <v>1</v>
      </c>
      <c r="Q410" s="8">
        <v>0</v>
      </c>
      <c r="R410" s="8">
        <v>1</v>
      </c>
      <c r="S410" s="8">
        <v>0</v>
      </c>
      <c r="T410" s="8">
        <v>0</v>
      </c>
      <c r="U410" s="8">
        <v>0</v>
      </c>
      <c r="V410" s="8">
        <v>1</v>
      </c>
      <c r="W410" s="8">
        <v>0</v>
      </c>
      <c r="X410" s="8">
        <v>1</v>
      </c>
      <c r="Y410" s="8">
        <v>0</v>
      </c>
      <c r="Z410" s="8">
        <v>0</v>
      </c>
      <c r="AA410" s="8">
        <v>0</v>
      </c>
      <c r="AB410" s="8">
        <v>0</v>
      </c>
      <c r="AC410" s="8">
        <v>0</v>
      </c>
    </row>
    <row r="411" spans="3:29" x14ac:dyDescent="0.25">
      <c r="C411" s="9" t="s">
        <v>551</v>
      </c>
      <c r="D411" s="8">
        <v>21</v>
      </c>
      <c r="E411" s="8">
        <v>18</v>
      </c>
      <c r="F411" s="8">
        <v>2</v>
      </c>
      <c r="G411" s="8">
        <v>3003</v>
      </c>
      <c r="H411" s="8">
        <v>0</v>
      </c>
      <c r="I411" s="8">
        <v>1</v>
      </c>
      <c r="J411" s="8">
        <v>0</v>
      </c>
      <c r="K411" s="8">
        <v>0</v>
      </c>
      <c r="L411" s="8">
        <v>0</v>
      </c>
      <c r="M411" s="8">
        <v>1</v>
      </c>
      <c r="N411" s="8">
        <v>0</v>
      </c>
      <c r="O411" s="8">
        <v>0</v>
      </c>
      <c r="P411" s="8">
        <v>0</v>
      </c>
      <c r="Q411" s="8">
        <v>0</v>
      </c>
      <c r="R411" s="8">
        <v>1</v>
      </c>
      <c r="S411" s="8">
        <v>0</v>
      </c>
      <c r="T411" s="8">
        <v>0</v>
      </c>
      <c r="U411" s="8">
        <v>1</v>
      </c>
      <c r="V411" s="8">
        <v>0</v>
      </c>
      <c r="W411" s="8">
        <v>0</v>
      </c>
      <c r="X411" s="8">
        <v>0</v>
      </c>
      <c r="Y411" s="8">
        <v>0</v>
      </c>
      <c r="Z411" s="8">
        <v>1</v>
      </c>
      <c r="AA411" s="8">
        <v>0</v>
      </c>
      <c r="AB411" s="8">
        <v>0</v>
      </c>
      <c r="AC411" s="8">
        <v>0</v>
      </c>
    </row>
    <row r="412" spans="3:29" x14ac:dyDescent="0.25">
      <c r="C412" s="9" t="s">
        <v>552</v>
      </c>
      <c r="D412" s="8">
        <v>5</v>
      </c>
      <c r="E412" s="8">
        <v>3</v>
      </c>
      <c r="F412" s="8">
        <v>2</v>
      </c>
      <c r="G412" s="8">
        <v>1467</v>
      </c>
      <c r="H412" s="8">
        <v>1</v>
      </c>
      <c r="I412" s="8">
        <v>0</v>
      </c>
      <c r="J412" s="8">
        <v>0</v>
      </c>
      <c r="K412" s="8">
        <v>0</v>
      </c>
      <c r="L412" s="8">
        <v>1</v>
      </c>
      <c r="M412" s="8">
        <v>1</v>
      </c>
      <c r="N412" s="8">
        <v>0</v>
      </c>
      <c r="O412" s="8">
        <v>0</v>
      </c>
      <c r="P412" s="8">
        <v>1</v>
      </c>
      <c r="Q412" s="8">
        <v>0</v>
      </c>
      <c r="R412" s="8">
        <v>1</v>
      </c>
      <c r="S412" s="8">
        <v>0</v>
      </c>
      <c r="T412" s="8">
        <v>0</v>
      </c>
      <c r="U412" s="8">
        <v>0</v>
      </c>
      <c r="V412" s="8">
        <v>1</v>
      </c>
      <c r="W412" s="8">
        <v>0</v>
      </c>
      <c r="X412" s="8">
        <v>0</v>
      </c>
      <c r="Y412" s="8">
        <v>0</v>
      </c>
      <c r="Z412" s="8">
        <v>0</v>
      </c>
      <c r="AA412" s="8">
        <v>1</v>
      </c>
      <c r="AB412" s="8">
        <v>0</v>
      </c>
      <c r="AC412" s="8">
        <v>0</v>
      </c>
    </row>
    <row r="413" spans="3:29" x14ac:dyDescent="0.25">
      <c r="C413" s="9" t="s">
        <v>553</v>
      </c>
      <c r="D413" s="8">
        <v>182</v>
      </c>
      <c r="E413" s="8">
        <v>24</v>
      </c>
      <c r="F413" s="8">
        <v>4</v>
      </c>
      <c r="G413" s="8">
        <v>787</v>
      </c>
      <c r="H413" s="8">
        <v>2</v>
      </c>
      <c r="I413" s="8">
        <v>0</v>
      </c>
      <c r="J413" s="8">
        <v>0</v>
      </c>
      <c r="K413" s="8">
        <v>0</v>
      </c>
      <c r="L413" s="8">
        <v>1</v>
      </c>
      <c r="M413" s="8">
        <v>0</v>
      </c>
      <c r="N413" s="8">
        <v>1</v>
      </c>
      <c r="O413" s="8">
        <v>0</v>
      </c>
      <c r="P413" s="8">
        <v>1</v>
      </c>
      <c r="Q413" s="8">
        <v>1</v>
      </c>
      <c r="R413" s="8">
        <v>0</v>
      </c>
      <c r="S413" s="8">
        <v>0</v>
      </c>
      <c r="T413" s="8">
        <v>0</v>
      </c>
      <c r="U413" s="8">
        <v>0</v>
      </c>
      <c r="V413" s="8">
        <v>1</v>
      </c>
      <c r="W413" s="8">
        <v>0</v>
      </c>
      <c r="X413" s="8">
        <v>0</v>
      </c>
      <c r="Y413" s="8">
        <v>0</v>
      </c>
      <c r="Z413" s="8">
        <v>1</v>
      </c>
      <c r="AA413" s="8">
        <v>0</v>
      </c>
      <c r="AB413" s="8">
        <v>0</v>
      </c>
      <c r="AC413" s="8">
        <v>0</v>
      </c>
    </row>
    <row r="414" spans="3:29" x14ac:dyDescent="0.25">
      <c r="C414" s="9" t="s">
        <v>554</v>
      </c>
      <c r="D414" s="8">
        <v>28</v>
      </c>
      <c r="E414" s="8">
        <v>23</v>
      </c>
      <c r="F414" s="8">
        <v>3</v>
      </c>
      <c r="G414" s="8">
        <v>3025</v>
      </c>
      <c r="H414" s="8">
        <v>4</v>
      </c>
      <c r="I414" s="8">
        <v>1</v>
      </c>
      <c r="J414" s="8">
        <v>0</v>
      </c>
      <c r="K414" s="8">
        <v>0</v>
      </c>
      <c r="L414" s="8">
        <v>0</v>
      </c>
      <c r="M414" s="8">
        <v>0</v>
      </c>
      <c r="N414" s="8">
        <v>0</v>
      </c>
      <c r="O414" s="8">
        <v>1</v>
      </c>
      <c r="P414" s="8">
        <v>0</v>
      </c>
      <c r="Q414" s="8">
        <v>0</v>
      </c>
      <c r="R414" s="8">
        <v>0</v>
      </c>
      <c r="S414" s="8">
        <v>1</v>
      </c>
      <c r="T414" s="8">
        <v>0</v>
      </c>
      <c r="U414" s="8">
        <v>0</v>
      </c>
      <c r="V414" s="8">
        <v>1</v>
      </c>
      <c r="W414" s="8">
        <v>1</v>
      </c>
      <c r="X414" s="8">
        <v>0</v>
      </c>
      <c r="Y414" s="8">
        <v>0</v>
      </c>
      <c r="Z414" s="8">
        <v>0</v>
      </c>
      <c r="AA414" s="8">
        <v>0</v>
      </c>
      <c r="AB414" s="8">
        <v>0</v>
      </c>
      <c r="AC414" s="8">
        <v>0</v>
      </c>
    </row>
    <row r="415" spans="3:29" x14ac:dyDescent="0.25">
      <c r="C415" s="9" t="s">
        <v>555</v>
      </c>
      <c r="D415" s="8">
        <v>12</v>
      </c>
      <c r="E415" s="8">
        <v>6</v>
      </c>
      <c r="F415" s="8">
        <v>3</v>
      </c>
      <c r="G415" s="8">
        <v>3933</v>
      </c>
      <c r="H415" s="8">
        <v>3</v>
      </c>
      <c r="I415" s="8">
        <v>0</v>
      </c>
      <c r="J415" s="8">
        <v>0</v>
      </c>
      <c r="K415" s="8">
        <v>1</v>
      </c>
      <c r="L415" s="8">
        <v>0</v>
      </c>
      <c r="M415" s="8">
        <v>1</v>
      </c>
      <c r="N415" s="8">
        <v>0</v>
      </c>
      <c r="O415" s="8">
        <v>0</v>
      </c>
      <c r="P415" s="8">
        <v>0</v>
      </c>
      <c r="Q415" s="8">
        <v>0</v>
      </c>
      <c r="R415" s="8">
        <v>0</v>
      </c>
      <c r="S415" s="8">
        <v>1</v>
      </c>
      <c r="T415" s="8">
        <v>0</v>
      </c>
      <c r="U415" s="8">
        <v>1</v>
      </c>
      <c r="V415" s="8">
        <v>0</v>
      </c>
      <c r="W415" s="8">
        <v>1</v>
      </c>
      <c r="X415" s="8">
        <v>0</v>
      </c>
      <c r="Y415" s="8">
        <v>0</v>
      </c>
      <c r="Z415" s="8">
        <v>0</v>
      </c>
      <c r="AA415" s="8">
        <v>0</v>
      </c>
      <c r="AB415" s="8">
        <v>0</v>
      </c>
      <c r="AC415" s="8">
        <v>0</v>
      </c>
    </row>
    <row r="416" spans="3:29" x14ac:dyDescent="0.25">
      <c r="C416" s="9" t="s">
        <v>556</v>
      </c>
      <c r="D416" s="8">
        <v>14</v>
      </c>
      <c r="E416" s="8">
        <v>3</v>
      </c>
      <c r="F416" s="8">
        <v>4</v>
      </c>
      <c r="G416" s="8">
        <v>2916</v>
      </c>
      <c r="H416" s="8">
        <v>7</v>
      </c>
      <c r="I416" s="8">
        <v>1</v>
      </c>
      <c r="J416" s="8">
        <v>0</v>
      </c>
      <c r="K416" s="8">
        <v>0</v>
      </c>
      <c r="L416" s="8">
        <v>0</v>
      </c>
      <c r="M416" s="8">
        <v>0</v>
      </c>
      <c r="N416" s="8">
        <v>0</v>
      </c>
      <c r="O416" s="8">
        <v>1</v>
      </c>
      <c r="P416" s="8">
        <v>0</v>
      </c>
      <c r="Q416" s="8">
        <v>0</v>
      </c>
      <c r="R416" s="8">
        <v>1</v>
      </c>
      <c r="S416" s="8">
        <v>0</v>
      </c>
      <c r="T416" s="8">
        <v>0</v>
      </c>
      <c r="U416" s="8">
        <v>0</v>
      </c>
      <c r="V416" s="8">
        <v>1</v>
      </c>
      <c r="W416" s="8">
        <v>0</v>
      </c>
      <c r="X416" s="8">
        <v>0</v>
      </c>
      <c r="Y416" s="8">
        <v>1</v>
      </c>
      <c r="Z416" s="8">
        <v>0</v>
      </c>
      <c r="AA416" s="8">
        <v>0</v>
      </c>
      <c r="AB416" s="8">
        <v>0</v>
      </c>
      <c r="AC416" s="8">
        <v>0</v>
      </c>
    </row>
    <row r="417" spans="3:29" x14ac:dyDescent="0.25">
      <c r="C417" s="9" t="s">
        <v>557</v>
      </c>
      <c r="D417" s="8">
        <v>86</v>
      </c>
      <c r="E417" s="8">
        <v>12</v>
      </c>
      <c r="F417" s="8">
        <v>4</v>
      </c>
      <c r="G417" s="8">
        <v>732</v>
      </c>
      <c r="H417" s="8">
        <v>5</v>
      </c>
      <c r="I417" s="8">
        <v>0</v>
      </c>
      <c r="J417" s="8">
        <v>0</v>
      </c>
      <c r="K417" s="8">
        <v>0</v>
      </c>
      <c r="L417" s="8">
        <v>1</v>
      </c>
      <c r="M417" s="8">
        <v>0</v>
      </c>
      <c r="N417" s="8">
        <v>0</v>
      </c>
      <c r="O417" s="8">
        <v>1</v>
      </c>
      <c r="P417" s="8">
        <v>0</v>
      </c>
      <c r="Q417" s="8">
        <v>1</v>
      </c>
      <c r="R417" s="8">
        <v>0</v>
      </c>
      <c r="S417" s="8">
        <v>0</v>
      </c>
      <c r="T417" s="8">
        <v>0</v>
      </c>
      <c r="U417" s="8">
        <v>1</v>
      </c>
      <c r="V417" s="8">
        <v>0</v>
      </c>
      <c r="W417" s="8">
        <v>0</v>
      </c>
      <c r="X417" s="8">
        <v>0</v>
      </c>
      <c r="Y417" s="8">
        <v>0</v>
      </c>
      <c r="Z417" s="8">
        <v>1</v>
      </c>
      <c r="AA417" s="8">
        <v>0</v>
      </c>
      <c r="AB417" s="8">
        <v>0</v>
      </c>
      <c r="AC417" s="8">
        <v>0</v>
      </c>
    </row>
    <row r="418" spans="3:29" x14ac:dyDescent="0.25">
      <c r="C418" s="9" t="s">
        <v>558</v>
      </c>
      <c r="D418" s="8">
        <v>41</v>
      </c>
      <c r="E418" s="8">
        <v>8</v>
      </c>
      <c r="F418" s="8">
        <v>3</v>
      </c>
      <c r="G418" s="8">
        <v>787</v>
      </c>
      <c r="H418" s="8">
        <v>4</v>
      </c>
      <c r="I418" s="8">
        <v>0</v>
      </c>
      <c r="J418" s="8">
        <v>1</v>
      </c>
      <c r="K418" s="8">
        <v>0</v>
      </c>
      <c r="L418" s="8">
        <v>0</v>
      </c>
      <c r="M418" s="8">
        <v>0</v>
      </c>
      <c r="N418" s="8">
        <v>1</v>
      </c>
      <c r="O418" s="8">
        <v>0</v>
      </c>
      <c r="P418" s="8">
        <v>1</v>
      </c>
      <c r="Q418" s="8">
        <v>1</v>
      </c>
      <c r="R418" s="8">
        <v>0</v>
      </c>
      <c r="S418" s="8">
        <v>0</v>
      </c>
      <c r="T418" s="8">
        <v>0</v>
      </c>
      <c r="U418" s="8">
        <v>0</v>
      </c>
      <c r="V418" s="8">
        <v>1</v>
      </c>
      <c r="W418" s="8">
        <v>0</v>
      </c>
      <c r="X418" s="8">
        <v>0</v>
      </c>
      <c r="Y418" s="8">
        <v>0</v>
      </c>
      <c r="Z418" s="8">
        <v>0</v>
      </c>
      <c r="AA418" s="8">
        <v>0</v>
      </c>
      <c r="AB418" s="8">
        <v>0</v>
      </c>
      <c r="AC418" s="8">
        <v>1</v>
      </c>
    </row>
    <row r="419" spans="3:29" x14ac:dyDescent="0.25">
      <c r="C419" s="9" t="s">
        <v>559</v>
      </c>
      <c r="D419" s="8">
        <v>11</v>
      </c>
      <c r="E419" s="8">
        <v>8</v>
      </c>
      <c r="F419" s="8">
        <v>4</v>
      </c>
      <c r="G419" s="8">
        <v>3933</v>
      </c>
      <c r="H419" s="8">
        <v>0</v>
      </c>
      <c r="I419" s="8">
        <v>0</v>
      </c>
      <c r="J419" s="8">
        <v>1</v>
      </c>
      <c r="K419" s="8">
        <v>0</v>
      </c>
      <c r="L419" s="8">
        <v>0</v>
      </c>
      <c r="M419" s="8">
        <v>1</v>
      </c>
      <c r="N419" s="8">
        <v>0</v>
      </c>
      <c r="O419" s="8">
        <v>0</v>
      </c>
      <c r="P419" s="8">
        <v>0</v>
      </c>
      <c r="Q419" s="8">
        <v>0</v>
      </c>
      <c r="R419" s="8">
        <v>0</v>
      </c>
      <c r="S419" s="8">
        <v>1</v>
      </c>
      <c r="T419" s="8">
        <v>0</v>
      </c>
      <c r="U419" s="8">
        <v>0</v>
      </c>
      <c r="V419" s="8">
        <v>1</v>
      </c>
      <c r="W419" s="8">
        <v>0</v>
      </c>
      <c r="X419" s="8">
        <v>1</v>
      </c>
      <c r="Y419" s="8">
        <v>0</v>
      </c>
      <c r="Z419" s="8">
        <v>0</v>
      </c>
      <c r="AA419" s="8">
        <v>0</v>
      </c>
      <c r="AB419" s="8">
        <v>0</v>
      </c>
      <c r="AC419" s="8">
        <v>0</v>
      </c>
    </row>
    <row r="420" spans="3:29" x14ac:dyDescent="0.25">
      <c r="C420" s="9" t="s">
        <v>560</v>
      </c>
      <c r="D420" s="8">
        <v>13</v>
      </c>
      <c r="E420" s="8">
        <v>4</v>
      </c>
      <c r="F420" s="8">
        <v>5</v>
      </c>
      <c r="G420" s="8">
        <v>716</v>
      </c>
      <c r="H420" s="8">
        <v>5</v>
      </c>
      <c r="I420" s="8">
        <v>1</v>
      </c>
      <c r="J420" s="8">
        <v>0</v>
      </c>
      <c r="K420" s="8">
        <v>0</v>
      </c>
      <c r="L420" s="8">
        <v>0</v>
      </c>
      <c r="M420" s="8">
        <v>1</v>
      </c>
      <c r="N420" s="8">
        <v>0</v>
      </c>
      <c r="O420" s="8">
        <v>0</v>
      </c>
      <c r="P420" s="8">
        <v>1</v>
      </c>
      <c r="Q420" s="8">
        <v>1</v>
      </c>
      <c r="R420" s="8">
        <v>0</v>
      </c>
      <c r="S420" s="8">
        <v>0</v>
      </c>
      <c r="T420" s="8">
        <v>0</v>
      </c>
      <c r="U420" s="8">
        <v>0</v>
      </c>
      <c r="V420" s="8">
        <v>1</v>
      </c>
      <c r="W420" s="8">
        <v>0</v>
      </c>
      <c r="X420" s="8">
        <v>0</v>
      </c>
      <c r="Y420" s="8">
        <v>0</v>
      </c>
      <c r="Z420" s="8">
        <v>0</v>
      </c>
      <c r="AA420" s="8">
        <v>0</v>
      </c>
      <c r="AB420" s="8">
        <v>1</v>
      </c>
      <c r="AC420" s="8">
        <v>0</v>
      </c>
    </row>
    <row r="421" spans="3:29" x14ac:dyDescent="0.25">
      <c r="C421" s="9" t="s">
        <v>561</v>
      </c>
      <c r="D421" s="8">
        <v>27</v>
      </c>
      <c r="E421" s="8">
        <v>0</v>
      </c>
      <c r="F421" s="8">
        <v>1</v>
      </c>
      <c r="G421" s="8">
        <v>1467</v>
      </c>
      <c r="H421" s="8">
        <v>0</v>
      </c>
      <c r="I421" s="8">
        <v>0</v>
      </c>
      <c r="J421" s="8">
        <v>0</v>
      </c>
      <c r="K421" s="8">
        <v>0</v>
      </c>
      <c r="L421" s="8">
        <v>1</v>
      </c>
      <c r="M421" s="8">
        <v>0</v>
      </c>
      <c r="N421" s="8">
        <v>0</v>
      </c>
      <c r="O421" s="8">
        <v>1</v>
      </c>
      <c r="P421" s="8">
        <v>1</v>
      </c>
      <c r="Q421" s="8">
        <v>0</v>
      </c>
      <c r="R421" s="8">
        <v>1</v>
      </c>
      <c r="S421" s="8">
        <v>0</v>
      </c>
      <c r="T421" s="8">
        <v>0</v>
      </c>
      <c r="U421" s="8">
        <v>0</v>
      </c>
      <c r="V421" s="8">
        <v>1</v>
      </c>
      <c r="W421" s="8">
        <v>0</v>
      </c>
      <c r="X421" s="8">
        <v>0</v>
      </c>
      <c r="Y421" s="8">
        <v>0</v>
      </c>
      <c r="Z421" s="8">
        <v>0</v>
      </c>
      <c r="AA421" s="8">
        <v>0</v>
      </c>
      <c r="AB421" s="8">
        <v>1</v>
      </c>
      <c r="AC421" s="8">
        <v>0</v>
      </c>
    </row>
    <row r="422" spans="3:29" x14ac:dyDescent="0.25">
      <c r="C422" s="9" t="s">
        <v>562</v>
      </c>
      <c r="D422" s="8">
        <v>14</v>
      </c>
      <c r="E422" s="8">
        <v>3</v>
      </c>
      <c r="F422" s="8">
        <v>5</v>
      </c>
      <c r="G422" s="8">
        <v>3348</v>
      </c>
      <c r="H422" s="8">
        <v>2</v>
      </c>
      <c r="I422" s="8">
        <v>1</v>
      </c>
      <c r="J422" s="8">
        <v>0</v>
      </c>
      <c r="K422" s="8">
        <v>0</v>
      </c>
      <c r="L422" s="8">
        <v>0</v>
      </c>
      <c r="M422" s="8">
        <v>0</v>
      </c>
      <c r="N422" s="8">
        <v>1</v>
      </c>
      <c r="O422" s="8">
        <v>0</v>
      </c>
      <c r="P422" s="8">
        <v>0</v>
      </c>
      <c r="Q422" s="8">
        <v>0</v>
      </c>
      <c r="R422" s="8">
        <v>0</v>
      </c>
      <c r="S422" s="8">
        <v>1</v>
      </c>
      <c r="T422" s="8">
        <v>0</v>
      </c>
      <c r="U422" s="8">
        <v>0</v>
      </c>
      <c r="V422" s="8">
        <v>1</v>
      </c>
      <c r="W422" s="8">
        <v>0</v>
      </c>
      <c r="X422" s="8">
        <v>0</v>
      </c>
      <c r="Y422" s="8">
        <v>0</v>
      </c>
      <c r="Z422" s="8">
        <v>0</v>
      </c>
      <c r="AA422" s="8">
        <v>1</v>
      </c>
      <c r="AB422" s="8">
        <v>0</v>
      </c>
      <c r="AC422" s="8">
        <v>0</v>
      </c>
    </row>
    <row r="423" spans="3:29" x14ac:dyDescent="0.25">
      <c r="C423" s="9" t="s">
        <v>563</v>
      </c>
      <c r="D423" s="8">
        <v>16</v>
      </c>
      <c r="E423" s="8">
        <v>4</v>
      </c>
      <c r="F423" s="8">
        <v>5</v>
      </c>
      <c r="G423" s="8">
        <v>787</v>
      </c>
      <c r="H423" s="8">
        <v>4</v>
      </c>
      <c r="I423" s="8">
        <v>0</v>
      </c>
      <c r="J423" s="8">
        <v>0</v>
      </c>
      <c r="K423" s="8">
        <v>1</v>
      </c>
      <c r="L423" s="8">
        <v>0</v>
      </c>
      <c r="M423" s="8">
        <v>0</v>
      </c>
      <c r="N423" s="8">
        <v>0</v>
      </c>
      <c r="O423" s="8">
        <v>1</v>
      </c>
      <c r="P423" s="8">
        <v>1</v>
      </c>
      <c r="Q423" s="8">
        <v>1</v>
      </c>
      <c r="R423" s="8">
        <v>0</v>
      </c>
      <c r="S423" s="8">
        <v>0</v>
      </c>
      <c r="T423" s="8">
        <v>0</v>
      </c>
      <c r="U423" s="8">
        <v>0</v>
      </c>
      <c r="V423" s="8">
        <v>1</v>
      </c>
      <c r="W423" s="8">
        <v>0</v>
      </c>
      <c r="X423" s="8">
        <v>0</v>
      </c>
      <c r="Y423" s="8">
        <v>1</v>
      </c>
      <c r="Z423" s="8">
        <v>0</v>
      </c>
      <c r="AA423" s="8">
        <v>0</v>
      </c>
      <c r="AB423" s="8">
        <v>0</v>
      </c>
      <c r="AC423" s="8">
        <v>0</v>
      </c>
    </row>
    <row r="424" spans="3:29" x14ac:dyDescent="0.25">
      <c r="C424" s="9" t="s">
        <v>564</v>
      </c>
      <c r="D424" s="8">
        <v>21</v>
      </c>
      <c r="E424" s="8">
        <v>7</v>
      </c>
      <c r="F424" s="8">
        <v>5</v>
      </c>
      <c r="G424" s="8">
        <v>1282</v>
      </c>
      <c r="H424" s="8">
        <v>10</v>
      </c>
      <c r="I424" s="8">
        <v>1</v>
      </c>
      <c r="J424" s="8">
        <v>0</v>
      </c>
      <c r="K424" s="8">
        <v>0</v>
      </c>
      <c r="L424" s="8">
        <v>0</v>
      </c>
      <c r="M424" s="8">
        <v>1</v>
      </c>
      <c r="N424" s="8">
        <v>0</v>
      </c>
      <c r="O424" s="8">
        <v>0</v>
      </c>
      <c r="P424" s="8">
        <v>0</v>
      </c>
      <c r="Q424" s="8">
        <v>0</v>
      </c>
      <c r="R424" s="8">
        <v>0</v>
      </c>
      <c r="S424" s="8">
        <v>1</v>
      </c>
      <c r="T424" s="8">
        <v>0</v>
      </c>
      <c r="U424" s="8">
        <v>1</v>
      </c>
      <c r="V424" s="8">
        <v>0</v>
      </c>
      <c r="W424" s="8">
        <v>0</v>
      </c>
      <c r="X424" s="8">
        <v>0</v>
      </c>
      <c r="Y424" s="8">
        <v>0</v>
      </c>
      <c r="Z424" s="8">
        <v>0</v>
      </c>
      <c r="AA424" s="8">
        <v>0</v>
      </c>
      <c r="AB424" s="8">
        <v>1</v>
      </c>
      <c r="AC424" s="8">
        <v>0</v>
      </c>
    </row>
    <row r="425" spans="3:29" x14ac:dyDescent="0.25">
      <c r="C425" s="9" t="s">
        <v>565</v>
      </c>
      <c r="D425" s="8">
        <v>23</v>
      </c>
      <c r="E425" s="8">
        <v>7</v>
      </c>
      <c r="F425" s="8">
        <v>4</v>
      </c>
      <c r="G425" s="8">
        <v>2959</v>
      </c>
      <c r="H425" s="8">
        <v>7</v>
      </c>
      <c r="I425" s="8">
        <v>0</v>
      </c>
      <c r="J425" s="8">
        <v>0</v>
      </c>
      <c r="K425" s="8">
        <v>1</v>
      </c>
      <c r="L425" s="8">
        <v>0</v>
      </c>
      <c r="M425" s="8">
        <v>1</v>
      </c>
      <c r="N425" s="8">
        <v>0</v>
      </c>
      <c r="O425" s="8">
        <v>0</v>
      </c>
      <c r="P425" s="8">
        <v>0</v>
      </c>
      <c r="Q425" s="8">
        <v>0</v>
      </c>
      <c r="R425" s="8">
        <v>0</v>
      </c>
      <c r="S425" s="8">
        <v>1</v>
      </c>
      <c r="T425" s="8">
        <v>0</v>
      </c>
      <c r="U425" s="8">
        <v>1</v>
      </c>
      <c r="V425" s="8">
        <v>0</v>
      </c>
      <c r="W425" s="8">
        <v>0</v>
      </c>
      <c r="X425" s="8">
        <v>0</v>
      </c>
      <c r="Y425" s="8">
        <v>0</v>
      </c>
      <c r="Z425" s="8">
        <v>0</v>
      </c>
      <c r="AA425" s="8">
        <v>1</v>
      </c>
      <c r="AB425" s="8">
        <v>0</v>
      </c>
      <c r="AC425" s="8">
        <v>0</v>
      </c>
    </row>
    <row r="426" spans="3:29" x14ac:dyDescent="0.25">
      <c r="C426" s="9" t="s">
        <v>566</v>
      </c>
      <c r="D426" s="8">
        <v>47</v>
      </c>
      <c r="E426" s="8">
        <v>23</v>
      </c>
      <c r="F426" s="8">
        <v>4</v>
      </c>
      <c r="G426" s="8">
        <v>732</v>
      </c>
      <c r="H426" s="8">
        <v>1</v>
      </c>
      <c r="I426" s="8">
        <v>0</v>
      </c>
      <c r="J426" s="8">
        <v>0</v>
      </c>
      <c r="K426" s="8">
        <v>0</v>
      </c>
      <c r="L426" s="8">
        <v>1</v>
      </c>
      <c r="M426" s="8">
        <v>0</v>
      </c>
      <c r="N426" s="8">
        <v>0</v>
      </c>
      <c r="O426" s="8">
        <v>1</v>
      </c>
      <c r="P426" s="8">
        <v>0</v>
      </c>
      <c r="Q426" s="8">
        <v>1</v>
      </c>
      <c r="R426" s="8">
        <v>0</v>
      </c>
      <c r="S426" s="8">
        <v>0</v>
      </c>
      <c r="T426" s="8">
        <v>1</v>
      </c>
      <c r="U426" s="8">
        <v>0</v>
      </c>
      <c r="V426" s="8">
        <v>0</v>
      </c>
      <c r="W426" s="8">
        <v>0</v>
      </c>
      <c r="X426" s="8">
        <v>0</v>
      </c>
      <c r="Y426" s="8">
        <v>0</v>
      </c>
      <c r="Z426" s="8">
        <v>0</v>
      </c>
      <c r="AA426" s="8">
        <v>1</v>
      </c>
      <c r="AB426" s="8">
        <v>0</v>
      </c>
      <c r="AC426" s="8">
        <v>0</v>
      </c>
    </row>
    <row r="427" spans="3:29" x14ac:dyDescent="0.25">
      <c r="C427" s="9" t="s">
        <v>567</v>
      </c>
      <c r="D427" s="8">
        <v>59</v>
      </c>
      <c r="E427" s="8">
        <v>9</v>
      </c>
      <c r="F427" s="8">
        <v>5</v>
      </c>
      <c r="G427" s="8">
        <v>188</v>
      </c>
      <c r="H427" s="8">
        <v>3</v>
      </c>
      <c r="I427" s="8">
        <v>0</v>
      </c>
      <c r="J427" s="8">
        <v>0</v>
      </c>
      <c r="K427" s="8">
        <v>1</v>
      </c>
      <c r="L427" s="8">
        <v>0</v>
      </c>
      <c r="M427" s="8">
        <v>0</v>
      </c>
      <c r="N427" s="8">
        <v>0</v>
      </c>
      <c r="O427" s="8">
        <v>1</v>
      </c>
      <c r="P427" s="8">
        <v>0</v>
      </c>
      <c r="Q427" s="8">
        <v>0</v>
      </c>
      <c r="R427" s="8">
        <v>1</v>
      </c>
      <c r="S427" s="8">
        <v>0</v>
      </c>
      <c r="T427" s="8">
        <v>0</v>
      </c>
      <c r="U427" s="8">
        <v>0</v>
      </c>
      <c r="V427" s="8">
        <v>1</v>
      </c>
      <c r="W427" s="8">
        <v>0</v>
      </c>
      <c r="X427" s="8">
        <v>1</v>
      </c>
      <c r="Y427" s="8">
        <v>0</v>
      </c>
      <c r="Z427" s="8">
        <v>0</v>
      </c>
      <c r="AA427" s="8">
        <v>0</v>
      </c>
      <c r="AB427" s="8">
        <v>0</v>
      </c>
      <c r="AC427" s="8">
        <v>0</v>
      </c>
    </row>
    <row r="428" spans="3:29" x14ac:dyDescent="0.25">
      <c r="C428" s="9" t="s">
        <v>568</v>
      </c>
      <c r="D428" s="8">
        <v>63</v>
      </c>
      <c r="E428" s="8">
        <v>15</v>
      </c>
      <c r="F428" s="8">
        <v>4</v>
      </c>
      <c r="G428" s="8">
        <v>3003</v>
      </c>
      <c r="H428" s="8">
        <v>2</v>
      </c>
      <c r="I428" s="8">
        <v>0</v>
      </c>
      <c r="J428" s="8">
        <v>0</v>
      </c>
      <c r="K428" s="8">
        <v>1</v>
      </c>
      <c r="L428" s="8">
        <v>0</v>
      </c>
      <c r="M428" s="8">
        <v>1</v>
      </c>
      <c r="N428" s="8">
        <v>0</v>
      </c>
      <c r="O428" s="8">
        <v>0</v>
      </c>
      <c r="P428" s="8">
        <v>0</v>
      </c>
      <c r="Q428" s="8">
        <v>0</v>
      </c>
      <c r="R428" s="8">
        <v>1</v>
      </c>
      <c r="S428" s="8">
        <v>0</v>
      </c>
      <c r="T428" s="8">
        <v>0</v>
      </c>
      <c r="U428" s="8">
        <v>0</v>
      </c>
      <c r="V428" s="8">
        <v>1</v>
      </c>
      <c r="W428" s="8">
        <v>0</v>
      </c>
      <c r="X428" s="8">
        <v>0</v>
      </c>
      <c r="Y428" s="8">
        <v>0</v>
      </c>
      <c r="Z428" s="8">
        <v>0</v>
      </c>
      <c r="AA428" s="8">
        <v>0</v>
      </c>
      <c r="AB428" s="8">
        <v>1</v>
      </c>
      <c r="AC428" s="8">
        <v>0</v>
      </c>
    </row>
    <row r="429" spans="3:29" x14ac:dyDescent="0.25">
      <c r="C429" s="9" t="s">
        <v>569</v>
      </c>
      <c r="D429" s="8">
        <v>103</v>
      </c>
      <c r="E429" s="8">
        <v>5</v>
      </c>
      <c r="F429" s="8">
        <v>5</v>
      </c>
      <c r="G429" s="8">
        <v>2959</v>
      </c>
      <c r="H429" s="8">
        <v>7</v>
      </c>
      <c r="I429" s="8">
        <v>0</v>
      </c>
      <c r="J429" s="8">
        <v>0</v>
      </c>
      <c r="K429" s="8">
        <v>0</v>
      </c>
      <c r="L429" s="8">
        <v>1</v>
      </c>
      <c r="M429" s="8">
        <v>0</v>
      </c>
      <c r="N429" s="8">
        <v>0</v>
      </c>
      <c r="O429" s="8">
        <v>1</v>
      </c>
      <c r="P429" s="8">
        <v>0</v>
      </c>
      <c r="Q429" s="8">
        <v>0</v>
      </c>
      <c r="R429" s="8">
        <v>0</v>
      </c>
      <c r="S429" s="8">
        <v>1</v>
      </c>
      <c r="T429" s="8">
        <v>0</v>
      </c>
      <c r="U429" s="8">
        <v>0</v>
      </c>
      <c r="V429" s="8">
        <v>1</v>
      </c>
      <c r="W429" s="8">
        <v>0</v>
      </c>
      <c r="X429" s="8">
        <v>1</v>
      </c>
      <c r="Y429" s="8">
        <v>0</v>
      </c>
      <c r="Z429" s="8">
        <v>0</v>
      </c>
      <c r="AA429" s="8">
        <v>0</v>
      </c>
      <c r="AB429" s="8">
        <v>0</v>
      </c>
      <c r="AC429" s="8">
        <v>0</v>
      </c>
    </row>
    <row r="430" spans="3:29" x14ac:dyDescent="0.25">
      <c r="C430" s="9" t="s">
        <v>570</v>
      </c>
      <c r="D430" s="8">
        <v>25</v>
      </c>
      <c r="E430" s="8">
        <v>22</v>
      </c>
      <c r="F430" s="8">
        <v>1</v>
      </c>
      <c r="G430" s="8">
        <v>3348</v>
      </c>
      <c r="H430" s="8">
        <v>9</v>
      </c>
      <c r="I430" s="8">
        <v>0</v>
      </c>
      <c r="J430" s="8">
        <v>1</v>
      </c>
      <c r="K430" s="8">
        <v>0</v>
      </c>
      <c r="L430" s="8">
        <v>0</v>
      </c>
      <c r="M430" s="8">
        <v>1</v>
      </c>
      <c r="N430" s="8">
        <v>0</v>
      </c>
      <c r="O430" s="8">
        <v>0</v>
      </c>
      <c r="P430" s="8">
        <v>0</v>
      </c>
      <c r="Q430" s="8">
        <v>0</v>
      </c>
      <c r="R430" s="8">
        <v>0</v>
      </c>
      <c r="S430" s="8">
        <v>1</v>
      </c>
      <c r="T430" s="8">
        <v>0</v>
      </c>
      <c r="U430" s="8">
        <v>0</v>
      </c>
      <c r="V430" s="8">
        <v>1</v>
      </c>
      <c r="W430" s="8">
        <v>0</v>
      </c>
      <c r="X430" s="8">
        <v>0</v>
      </c>
      <c r="Y430" s="8">
        <v>0</v>
      </c>
      <c r="Z430" s="8">
        <v>0</v>
      </c>
      <c r="AA430" s="8">
        <v>0</v>
      </c>
      <c r="AB430" s="8">
        <v>1</v>
      </c>
      <c r="AC430" s="8">
        <v>0</v>
      </c>
    </row>
    <row r="431" spans="3:29" x14ac:dyDescent="0.25">
      <c r="C431" s="9" t="s">
        <v>571</v>
      </c>
      <c r="D431" s="8">
        <v>20</v>
      </c>
      <c r="E431" s="8">
        <v>8</v>
      </c>
      <c r="F431" s="8">
        <v>4</v>
      </c>
      <c r="G431" s="8">
        <v>3003</v>
      </c>
      <c r="H431" s="8">
        <v>5</v>
      </c>
      <c r="I431" s="8">
        <v>1</v>
      </c>
      <c r="J431" s="8">
        <v>0</v>
      </c>
      <c r="K431" s="8">
        <v>0</v>
      </c>
      <c r="L431" s="8">
        <v>0</v>
      </c>
      <c r="M431" s="8">
        <v>1</v>
      </c>
      <c r="N431" s="8">
        <v>0</v>
      </c>
      <c r="O431" s="8">
        <v>0</v>
      </c>
      <c r="P431" s="8">
        <v>0</v>
      </c>
      <c r="Q431" s="8">
        <v>0</v>
      </c>
      <c r="R431" s="8">
        <v>1</v>
      </c>
      <c r="S431" s="8">
        <v>0</v>
      </c>
      <c r="T431" s="8">
        <v>0</v>
      </c>
      <c r="U431" s="8">
        <v>0</v>
      </c>
      <c r="V431" s="8">
        <v>1</v>
      </c>
      <c r="W431" s="8">
        <v>0</v>
      </c>
      <c r="X431" s="8">
        <v>0</v>
      </c>
      <c r="Y431" s="8">
        <v>1</v>
      </c>
      <c r="Z431" s="8">
        <v>0</v>
      </c>
      <c r="AA431" s="8">
        <v>0</v>
      </c>
      <c r="AB431" s="8">
        <v>0</v>
      </c>
      <c r="AC431" s="8">
        <v>0</v>
      </c>
    </row>
    <row r="432" spans="3:29" x14ac:dyDescent="0.25">
      <c r="C432" s="9" t="s">
        <v>572</v>
      </c>
      <c r="D432" s="8">
        <v>3</v>
      </c>
      <c r="E432" s="8">
        <v>3</v>
      </c>
      <c r="F432" s="8">
        <v>5</v>
      </c>
      <c r="G432" s="8">
        <v>315</v>
      </c>
      <c r="H432" s="8">
        <v>2</v>
      </c>
      <c r="I432" s="8">
        <v>1</v>
      </c>
      <c r="J432" s="8">
        <v>0</v>
      </c>
      <c r="K432" s="8">
        <v>0</v>
      </c>
      <c r="L432" s="8">
        <v>0</v>
      </c>
      <c r="M432" s="8">
        <v>0</v>
      </c>
      <c r="N432" s="8">
        <v>1</v>
      </c>
      <c r="O432" s="8">
        <v>0</v>
      </c>
      <c r="P432" s="8">
        <v>0</v>
      </c>
      <c r="Q432" s="8">
        <v>1</v>
      </c>
      <c r="R432" s="8">
        <v>0</v>
      </c>
      <c r="S432" s="8">
        <v>0</v>
      </c>
      <c r="T432" s="8">
        <v>0</v>
      </c>
      <c r="U432" s="8">
        <v>0</v>
      </c>
      <c r="V432" s="8">
        <v>1</v>
      </c>
      <c r="W432" s="8">
        <v>0</v>
      </c>
      <c r="X432" s="8">
        <v>0</v>
      </c>
      <c r="Y432" s="8">
        <v>0</v>
      </c>
      <c r="Z432" s="8">
        <v>0</v>
      </c>
      <c r="AA432" s="8">
        <v>0</v>
      </c>
      <c r="AB432" s="8">
        <v>0</v>
      </c>
      <c r="AC432" s="8">
        <v>1</v>
      </c>
    </row>
    <row r="433" spans="3:29" x14ac:dyDescent="0.25">
      <c r="C433" s="9" t="s">
        <v>573</v>
      </c>
      <c r="D433" s="8">
        <v>130</v>
      </c>
      <c r="E433" s="8">
        <v>41</v>
      </c>
      <c r="F433" s="8">
        <v>4</v>
      </c>
      <c r="G433" s="8">
        <v>1467</v>
      </c>
      <c r="H433" s="8">
        <v>3</v>
      </c>
      <c r="I433" s="8">
        <v>0</v>
      </c>
      <c r="J433" s="8">
        <v>1</v>
      </c>
      <c r="K433" s="8">
        <v>0</v>
      </c>
      <c r="L433" s="8">
        <v>0</v>
      </c>
      <c r="M433" s="8">
        <v>1</v>
      </c>
      <c r="N433" s="8">
        <v>0</v>
      </c>
      <c r="O433" s="8">
        <v>0</v>
      </c>
      <c r="P433" s="8">
        <v>1</v>
      </c>
      <c r="Q433" s="8">
        <v>0</v>
      </c>
      <c r="R433" s="8">
        <v>1</v>
      </c>
      <c r="S433" s="8">
        <v>0</v>
      </c>
      <c r="T433" s="8">
        <v>0</v>
      </c>
      <c r="U433" s="8">
        <v>1</v>
      </c>
      <c r="V433" s="8">
        <v>0</v>
      </c>
      <c r="W433" s="8">
        <v>0</v>
      </c>
      <c r="X433" s="8">
        <v>0</v>
      </c>
      <c r="Y433" s="8">
        <v>0</v>
      </c>
      <c r="Z433" s="8">
        <v>0</v>
      </c>
      <c r="AA433" s="8">
        <v>0</v>
      </c>
      <c r="AB433" s="8">
        <v>1</v>
      </c>
      <c r="AC433" s="8">
        <v>0</v>
      </c>
    </row>
    <row r="434" spans="3:29" x14ac:dyDescent="0.25">
      <c r="C434" s="9" t="s">
        <v>574</v>
      </c>
      <c r="D434" s="8">
        <v>7</v>
      </c>
      <c r="E434" s="8">
        <v>5</v>
      </c>
      <c r="F434" s="8">
        <v>4</v>
      </c>
      <c r="G434" s="8">
        <v>1228</v>
      </c>
      <c r="H434" s="8">
        <v>10</v>
      </c>
      <c r="I434" s="8">
        <v>0</v>
      </c>
      <c r="J434" s="8">
        <v>0</v>
      </c>
      <c r="K434" s="8">
        <v>1</v>
      </c>
      <c r="L434" s="8">
        <v>0</v>
      </c>
      <c r="M434" s="8">
        <v>0</v>
      </c>
      <c r="N434" s="8">
        <v>1</v>
      </c>
      <c r="O434" s="8">
        <v>0</v>
      </c>
      <c r="P434" s="8">
        <v>0</v>
      </c>
      <c r="Q434" s="8">
        <v>1</v>
      </c>
      <c r="R434" s="8">
        <v>0</v>
      </c>
      <c r="S434" s="8">
        <v>0</v>
      </c>
      <c r="T434" s="8">
        <v>0</v>
      </c>
      <c r="U434" s="8">
        <v>0</v>
      </c>
      <c r="V434" s="8">
        <v>1</v>
      </c>
      <c r="W434" s="8">
        <v>0</v>
      </c>
      <c r="X434" s="8">
        <v>1</v>
      </c>
      <c r="Y434" s="8">
        <v>0</v>
      </c>
      <c r="Z434" s="8">
        <v>0</v>
      </c>
      <c r="AA434" s="8">
        <v>0</v>
      </c>
      <c r="AB434" s="8">
        <v>0</v>
      </c>
      <c r="AC434" s="8">
        <v>0</v>
      </c>
    </row>
    <row r="435" spans="3:29" x14ac:dyDescent="0.25">
      <c r="C435" s="9" t="s">
        <v>575</v>
      </c>
      <c r="D435" s="8">
        <v>10</v>
      </c>
      <c r="E435" s="8">
        <v>7</v>
      </c>
      <c r="F435" s="8">
        <v>5</v>
      </c>
      <c r="G435" s="8">
        <v>3348</v>
      </c>
      <c r="H435" s="8">
        <v>3</v>
      </c>
      <c r="I435" s="8">
        <v>0</v>
      </c>
      <c r="J435" s="8">
        <v>0</v>
      </c>
      <c r="K435" s="8">
        <v>0</v>
      </c>
      <c r="L435" s="8">
        <v>1</v>
      </c>
      <c r="M435" s="8">
        <v>0</v>
      </c>
      <c r="N435" s="8">
        <v>0</v>
      </c>
      <c r="O435" s="8">
        <v>1</v>
      </c>
      <c r="P435" s="8">
        <v>0</v>
      </c>
      <c r="Q435" s="8">
        <v>0</v>
      </c>
      <c r="R435" s="8">
        <v>0</v>
      </c>
      <c r="S435" s="8">
        <v>1</v>
      </c>
      <c r="T435" s="8">
        <v>0</v>
      </c>
      <c r="U435" s="8">
        <v>0</v>
      </c>
      <c r="V435" s="8">
        <v>1</v>
      </c>
      <c r="W435" s="8">
        <v>0</v>
      </c>
      <c r="X435" s="8">
        <v>0</v>
      </c>
      <c r="Y435" s="8">
        <v>0</v>
      </c>
      <c r="Z435" s="8">
        <v>0</v>
      </c>
      <c r="AA435" s="8">
        <v>0</v>
      </c>
      <c r="AB435" s="8">
        <v>1</v>
      </c>
      <c r="AC435" s="8">
        <v>0</v>
      </c>
    </row>
    <row r="436" spans="3:29" x14ac:dyDescent="0.25">
      <c r="C436" s="9" t="s">
        <v>576</v>
      </c>
      <c r="D436" s="8">
        <v>102</v>
      </c>
      <c r="E436" s="8">
        <v>25</v>
      </c>
      <c r="F436" s="8">
        <v>5</v>
      </c>
      <c r="G436" s="8">
        <v>3933</v>
      </c>
      <c r="H436" s="8">
        <v>6</v>
      </c>
      <c r="I436" s="8">
        <v>0</v>
      </c>
      <c r="J436" s="8">
        <v>1</v>
      </c>
      <c r="K436" s="8">
        <v>0</v>
      </c>
      <c r="L436" s="8">
        <v>0</v>
      </c>
      <c r="M436" s="8">
        <v>0</v>
      </c>
      <c r="N436" s="8">
        <v>1</v>
      </c>
      <c r="O436" s="8">
        <v>0</v>
      </c>
      <c r="P436" s="8">
        <v>0</v>
      </c>
      <c r="Q436" s="8">
        <v>0</v>
      </c>
      <c r="R436" s="8">
        <v>0</v>
      </c>
      <c r="S436" s="8">
        <v>1</v>
      </c>
      <c r="T436" s="8">
        <v>0</v>
      </c>
      <c r="U436" s="8">
        <v>1</v>
      </c>
      <c r="V436" s="8">
        <v>0</v>
      </c>
      <c r="W436" s="8">
        <v>0</v>
      </c>
      <c r="X436" s="8">
        <v>0</v>
      </c>
      <c r="Y436" s="8">
        <v>0</v>
      </c>
      <c r="Z436" s="8">
        <v>1</v>
      </c>
      <c r="AA436" s="8">
        <v>0</v>
      </c>
      <c r="AB436" s="8">
        <v>0</v>
      </c>
      <c r="AC436" s="8">
        <v>0</v>
      </c>
    </row>
    <row r="437" spans="3:29" x14ac:dyDescent="0.25">
      <c r="C437" s="9" t="s">
        <v>577</v>
      </c>
      <c r="D437" s="8">
        <v>9</v>
      </c>
      <c r="E437" s="8">
        <v>3</v>
      </c>
      <c r="F437" s="8">
        <v>3</v>
      </c>
      <c r="G437" s="8">
        <v>4027</v>
      </c>
      <c r="H437" s="8">
        <v>2</v>
      </c>
      <c r="I437" s="8">
        <v>0</v>
      </c>
      <c r="J437" s="8">
        <v>0</v>
      </c>
      <c r="K437" s="8">
        <v>1</v>
      </c>
      <c r="L437" s="8">
        <v>0</v>
      </c>
      <c r="M437" s="8">
        <v>0</v>
      </c>
      <c r="N437" s="8">
        <v>0</v>
      </c>
      <c r="O437" s="8">
        <v>1</v>
      </c>
      <c r="P437" s="8">
        <v>0</v>
      </c>
      <c r="Q437" s="8">
        <v>0</v>
      </c>
      <c r="R437" s="8">
        <v>0</v>
      </c>
      <c r="S437" s="8">
        <v>1</v>
      </c>
      <c r="T437" s="8">
        <v>0</v>
      </c>
      <c r="U437" s="8">
        <v>0</v>
      </c>
      <c r="V437" s="8">
        <v>1</v>
      </c>
      <c r="W437" s="8">
        <v>0</v>
      </c>
      <c r="X437" s="8">
        <v>0</v>
      </c>
      <c r="Y437" s="8">
        <v>0</v>
      </c>
      <c r="Z437" s="8">
        <v>0</v>
      </c>
      <c r="AA437" s="8">
        <v>1</v>
      </c>
      <c r="AB437" s="8">
        <v>0</v>
      </c>
      <c r="AC437" s="8">
        <v>0</v>
      </c>
    </row>
    <row r="438" spans="3:29" x14ac:dyDescent="0.25">
      <c r="C438" s="9" t="s">
        <v>578</v>
      </c>
      <c r="D438" s="8">
        <v>62</v>
      </c>
      <c r="E438" s="8">
        <v>40</v>
      </c>
      <c r="F438" s="8">
        <v>5</v>
      </c>
      <c r="G438" s="8">
        <v>732</v>
      </c>
      <c r="H438" s="8">
        <v>5</v>
      </c>
      <c r="I438" s="8">
        <v>0</v>
      </c>
      <c r="J438" s="8">
        <v>1</v>
      </c>
      <c r="K438" s="8">
        <v>0</v>
      </c>
      <c r="L438" s="8">
        <v>0</v>
      </c>
      <c r="M438" s="8">
        <v>0</v>
      </c>
      <c r="N438" s="8">
        <v>1</v>
      </c>
      <c r="O438" s="8">
        <v>0</v>
      </c>
      <c r="P438" s="8">
        <v>0</v>
      </c>
      <c r="Q438" s="8">
        <v>1</v>
      </c>
      <c r="R438" s="8">
        <v>0</v>
      </c>
      <c r="S438" s="8">
        <v>0</v>
      </c>
      <c r="T438" s="8">
        <v>1</v>
      </c>
      <c r="U438" s="8">
        <v>0</v>
      </c>
      <c r="V438" s="8">
        <v>0</v>
      </c>
      <c r="W438" s="8">
        <v>0</v>
      </c>
      <c r="X438" s="8">
        <v>0</v>
      </c>
      <c r="Y438" s="8">
        <v>0</v>
      </c>
      <c r="Z438" s="8">
        <v>1</v>
      </c>
      <c r="AA438" s="8">
        <v>0</v>
      </c>
      <c r="AB438" s="8">
        <v>0</v>
      </c>
      <c r="AC438" s="8">
        <v>0</v>
      </c>
    </row>
    <row r="439" spans="3:29" x14ac:dyDescent="0.25">
      <c r="C439" s="9" t="s">
        <v>579</v>
      </c>
      <c r="D439" s="8">
        <v>56</v>
      </c>
      <c r="E439" s="8">
        <v>8</v>
      </c>
      <c r="F439" s="8">
        <v>3</v>
      </c>
      <c r="G439" s="8">
        <v>3981</v>
      </c>
      <c r="H439" s="8">
        <v>1</v>
      </c>
      <c r="I439" s="8">
        <v>0</v>
      </c>
      <c r="J439" s="8">
        <v>0</v>
      </c>
      <c r="K439" s="8">
        <v>1</v>
      </c>
      <c r="L439" s="8">
        <v>0</v>
      </c>
      <c r="M439" s="8">
        <v>1</v>
      </c>
      <c r="N439" s="8">
        <v>0</v>
      </c>
      <c r="O439" s="8">
        <v>0</v>
      </c>
      <c r="P439" s="8">
        <v>0</v>
      </c>
      <c r="Q439" s="8">
        <v>1</v>
      </c>
      <c r="R439" s="8">
        <v>0</v>
      </c>
      <c r="S439" s="8">
        <v>0</v>
      </c>
      <c r="T439" s="8">
        <v>0</v>
      </c>
      <c r="U439" s="8">
        <v>0</v>
      </c>
      <c r="V439" s="8">
        <v>1</v>
      </c>
      <c r="W439" s="8">
        <v>0</v>
      </c>
      <c r="X439" s="8">
        <v>0</v>
      </c>
      <c r="Y439" s="8">
        <v>0</v>
      </c>
      <c r="Z439" s="8">
        <v>0</v>
      </c>
      <c r="AA439" s="8">
        <v>0</v>
      </c>
      <c r="AB439" s="8">
        <v>1</v>
      </c>
      <c r="AC439" s="8">
        <v>0</v>
      </c>
    </row>
    <row r="440" spans="3:29" x14ac:dyDescent="0.25">
      <c r="C440" s="9" t="s">
        <v>580</v>
      </c>
      <c r="D440" s="8">
        <v>112</v>
      </c>
      <c r="E440" s="8">
        <v>34</v>
      </c>
      <c r="F440" s="8">
        <v>5</v>
      </c>
      <c r="G440" s="8">
        <v>1228</v>
      </c>
      <c r="H440" s="8">
        <v>7</v>
      </c>
      <c r="I440" s="8">
        <v>0</v>
      </c>
      <c r="J440" s="8">
        <v>0</v>
      </c>
      <c r="K440" s="8">
        <v>0</v>
      </c>
      <c r="L440" s="8">
        <v>1</v>
      </c>
      <c r="M440" s="8">
        <v>0</v>
      </c>
      <c r="N440" s="8">
        <v>1</v>
      </c>
      <c r="O440" s="8">
        <v>0</v>
      </c>
      <c r="P440" s="8">
        <v>0</v>
      </c>
      <c r="Q440" s="8">
        <v>1</v>
      </c>
      <c r="R440" s="8">
        <v>0</v>
      </c>
      <c r="S440" s="8">
        <v>0</v>
      </c>
      <c r="T440" s="8">
        <v>0</v>
      </c>
      <c r="U440" s="8">
        <v>0</v>
      </c>
      <c r="V440" s="8">
        <v>1</v>
      </c>
      <c r="W440" s="8">
        <v>0</v>
      </c>
      <c r="X440" s="8">
        <v>0</v>
      </c>
      <c r="Y440" s="8">
        <v>0</v>
      </c>
      <c r="Z440" s="8">
        <v>1</v>
      </c>
      <c r="AA440" s="8">
        <v>0</v>
      </c>
      <c r="AB440" s="8">
        <v>0</v>
      </c>
      <c r="AC440" s="8">
        <v>0</v>
      </c>
    </row>
    <row r="441" spans="3:29" x14ac:dyDescent="0.25">
      <c r="C441" s="9" t="s">
        <v>581</v>
      </c>
      <c r="D441" s="8">
        <v>28</v>
      </c>
      <c r="E441" s="8">
        <v>12</v>
      </c>
      <c r="F441" s="8">
        <v>5</v>
      </c>
      <c r="G441" s="8">
        <v>2034</v>
      </c>
      <c r="H441" s="8">
        <v>2</v>
      </c>
      <c r="I441" s="8">
        <v>0</v>
      </c>
      <c r="J441" s="8">
        <v>1</v>
      </c>
      <c r="K441" s="8">
        <v>0</v>
      </c>
      <c r="L441" s="8">
        <v>0</v>
      </c>
      <c r="M441" s="8">
        <v>0</v>
      </c>
      <c r="N441" s="8">
        <v>0</v>
      </c>
      <c r="O441" s="8">
        <v>1</v>
      </c>
      <c r="P441" s="8">
        <v>0</v>
      </c>
      <c r="Q441" s="8">
        <v>0</v>
      </c>
      <c r="R441" s="8">
        <v>0</v>
      </c>
      <c r="S441" s="8">
        <v>1</v>
      </c>
      <c r="T441" s="8">
        <v>0</v>
      </c>
      <c r="U441" s="8">
        <v>1</v>
      </c>
      <c r="V441" s="8">
        <v>0</v>
      </c>
      <c r="W441" s="8">
        <v>0</v>
      </c>
      <c r="X441" s="8">
        <v>0</v>
      </c>
      <c r="Y441" s="8">
        <v>1</v>
      </c>
      <c r="Z441" s="8">
        <v>0</v>
      </c>
      <c r="AA441" s="8">
        <v>0</v>
      </c>
      <c r="AB441" s="8">
        <v>0</v>
      </c>
      <c r="AC441" s="8">
        <v>0</v>
      </c>
    </row>
    <row r="442" spans="3:29" x14ac:dyDescent="0.25">
      <c r="C442" s="9" t="s">
        <v>582</v>
      </c>
      <c r="D442" s="8">
        <v>27</v>
      </c>
      <c r="E442" s="8">
        <v>12</v>
      </c>
      <c r="F442" s="8">
        <v>5</v>
      </c>
      <c r="G442" s="8">
        <v>787</v>
      </c>
      <c r="H442" s="8">
        <v>4</v>
      </c>
      <c r="I442" s="8">
        <v>0</v>
      </c>
      <c r="J442" s="8">
        <v>0</v>
      </c>
      <c r="K442" s="8">
        <v>1</v>
      </c>
      <c r="L442" s="8">
        <v>0</v>
      </c>
      <c r="M442" s="8">
        <v>1</v>
      </c>
      <c r="N442" s="8">
        <v>0</v>
      </c>
      <c r="O442" s="8">
        <v>0</v>
      </c>
      <c r="P442" s="8">
        <v>1</v>
      </c>
      <c r="Q442" s="8">
        <v>1</v>
      </c>
      <c r="R442" s="8">
        <v>0</v>
      </c>
      <c r="S442" s="8">
        <v>0</v>
      </c>
      <c r="T442" s="8">
        <v>0</v>
      </c>
      <c r="U442" s="8">
        <v>0</v>
      </c>
      <c r="V442" s="8">
        <v>1</v>
      </c>
      <c r="W442" s="8">
        <v>0</v>
      </c>
      <c r="X442" s="8">
        <v>0</v>
      </c>
      <c r="Y442" s="8">
        <v>0</v>
      </c>
      <c r="Z442" s="8">
        <v>0</v>
      </c>
      <c r="AA442" s="8">
        <v>0</v>
      </c>
      <c r="AB442" s="8">
        <v>1</v>
      </c>
      <c r="AC442" s="8">
        <v>0</v>
      </c>
    </row>
    <row r="443" spans="3:29" x14ac:dyDescent="0.25">
      <c r="C443" s="9" t="s">
        <v>583</v>
      </c>
      <c r="D443" s="8">
        <v>95</v>
      </c>
      <c r="E443" s="8">
        <v>37</v>
      </c>
      <c r="F443" s="8">
        <v>4</v>
      </c>
      <c r="G443" s="8">
        <v>732</v>
      </c>
      <c r="H443" s="8">
        <v>6</v>
      </c>
      <c r="I443" s="8">
        <v>0</v>
      </c>
      <c r="J443" s="8">
        <v>0</v>
      </c>
      <c r="K443" s="8">
        <v>1</v>
      </c>
      <c r="L443" s="8">
        <v>0</v>
      </c>
      <c r="M443" s="8">
        <v>1</v>
      </c>
      <c r="N443" s="8">
        <v>0</v>
      </c>
      <c r="O443" s="8">
        <v>0</v>
      </c>
      <c r="P443" s="8">
        <v>0</v>
      </c>
      <c r="Q443" s="8">
        <v>1</v>
      </c>
      <c r="R443" s="8">
        <v>0</v>
      </c>
      <c r="S443" s="8">
        <v>0</v>
      </c>
      <c r="T443" s="8">
        <v>0</v>
      </c>
      <c r="U443" s="8">
        <v>1</v>
      </c>
      <c r="V443" s="8">
        <v>0</v>
      </c>
      <c r="W443" s="8">
        <v>0</v>
      </c>
      <c r="X443" s="8">
        <v>0</v>
      </c>
      <c r="Y443" s="8">
        <v>0</v>
      </c>
      <c r="Z443" s="8">
        <v>0</v>
      </c>
      <c r="AA443" s="8">
        <v>0</v>
      </c>
      <c r="AB443" s="8">
        <v>1</v>
      </c>
      <c r="AC443" s="8">
        <v>0</v>
      </c>
    </row>
    <row r="444" spans="3:29" x14ac:dyDescent="0.25">
      <c r="C444" s="9" t="s">
        <v>584</v>
      </c>
      <c r="D444" s="8">
        <v>37</v>
      </c>
      <c r="E444" s="8">
        <v>8</v>
      </c>
      <c r="F444" s="8">
        <v>4</v>
      </c>
      <c r="G444" s="8">
        <v>3025</v>
      </c>
      <c r="H444" s="8">
        <v>3</v>
      </c>
      <c r="I444" s="8">
        <v>1</v>
      </c>
      <c r="J444" s="8">
        <v>0</v>
      </c>
      <c r="K444" s="8">
        <v>0</v>
      </c>
      <c r="L444" s="8">
        <v>0</v>
      </c>
      <c r="M444" s="8">
        <v>0</v>
      </c>
      <c r="N444" s="8">
        <v>0</v>
      </c>
      <c r="O444" s="8">
        <v>1</v>
      </c>
      <c r="P444" s="8">
        <v>0</v>
      </c>
      <c r="Q444" s="8">
        <v>0</v>
      </c>
      <c r="R444" s="8">
        <v>0</v>
      </c>
      <c r="S444" s="8">
        <v>1</v>
      </c>
      <c r="T444" s="8">
        <v>0</v>
      </c>
      <c r="U444" s="8">
        <v>0</v>
      </c>
      <c r="V444" s="8">
        <v>1</v>
      </c>
      <c r="W444" s="8">
        <v>0</v>
      </c>
      <c r="X444" s="8">
        <v>0</v>
      </c>
      <c r="Y444" s="8">
        <v>0</v>
      </c>
      <c r="Z444" s="8">
        <v>0</v>
      </c>
      <c r="AA444" s="8">
        <v>0</v>
      </c>
      <c r="AB444" s="8">
        <v>1</v>
      </c>
      <c r="AC444" s="8">
        <v>0</v>
      </c>
    </row>
    <row r="445" spans="3:29" x14ac:dyDescent="0.25">
      <c r="C445" s="9" t="s">
        <v>585</v>
      </c>
      <c r="D445" s="8">
        <v>4</v>
      </c>
      <c r="E445" s="8">
        <v>3</v>
      </c>
      <c r="F445" s="8">
        <v>5</v>
      </c>
      <c r="G445" s="8">
        <v>2034</v>
      </c>
      <c r="H445" s="8">
        <v>3</v>
      </c>
      <c r="I445" s="8">
        <v>0</v>
      </c>
      <c r="J445" s="8">
        <v>1</v>
      </c>
      <c r="K445" s="8">
        <v>0</v>
      </c>
      <c r="L445" s="8">
        <v>0</v>
      </c>
      <c r="M445" s="8">
        <v>1</v>
      </c>
      <c r="N445" s="8">
        <v>0</v>
      </c>
      <c r="O445" s="8">
        <v>0</v>
      </c>
      <c r="P445" s="8">
        <v>0</v>
      </c>
      <c r="Q445" s="8">
        <v>0</v>
      </c>
      <c r="R445" s="8">
        <v>0</v>
      </c>
      <c r="S445" s="8">
        <v>1</v>
      </c>
      <c r="T445" s="8">
        <v>0</v>
      </c>
      <c r="U445" s="8">
        <v>0</v>
      </c>
      <c r="V445" s="8">
        <v>1</v>
      </c>
      <c r="W445" s="8">
        <v>0</v>
      </c>
      <c r="X445" s="8">
        <v>0</v>
      </c>
      <c r="Y445" s="8">
        <v>0</v>
      </c>
      <c r="Z445" s="8">
        <v>0</v>
      </c>
      <c r="AA445" s="8">
        <v>1</v>
      </c>
      <c r="AB445" s="8">
        <v>0</v>
      </c>
      <c r="AC445" s="8">
        <v>0</v>
      </c>
    </row>
    <row r="446" spans="3:29" x14ac:dyDescent="0.25">
      <c r="C446" s="9" t="s">
        <v>586</v>
      </c>
      <c r="D446" s="8">
        <v>18</v>
      </c>
      <c r="E446" s="8">
        <v>4</v>
      </c>
      <c r="F446" s="8">
        <v>5</v>
      </c>
      <c r="G446" s="8">
        <v>2959</v>
      </c>
      <c r="H446" s="8">
        <v>0</v>
      </c>
      <c r="I446" s="8">
        <v>0</v>
      </c>
      <c r="J446" s="8">
        <v>0</v>
      </c>
      <c r="K446" s="8">
        <v>0</v>
      </c>
      <c r="L446" s="8">
        <v>1</v>
      </c>
      <c r="M446" s="8">
        <v>1</v>
      </c>
      <c r="N446" s="8">
        <v>0</v>
      </c>
      <c r="O446" s="8">
        <v>0</v>
      </c>
      <c r="P446" s="8">
        <v>0</v>
      </c>
      <c r="Q446" s="8">
        <v>0</v>
      </c>
      <c r="R446" s="8">
        <v>0</v>
      </c>
      <c r="S446" s="8">
        <v>1</v>
      </c>
      <c r="T446" s="8">
        <v>0</v>
      </c>
      <c r="U446" s="8">
        <v>1</v>
      </c>
      <c r="V446" s="8">
        <v>0</v>
      </c>
      <c r="W446" s="8">
        <v>1</v>
      </c>
      <c r="X446" s="8">
        <v>0</v>
      </c>
      <c r="Y446" s="8">
        <v>0</v>
      </c>
      <c r="Z446" s="8">
        <v>0</v>
      </c>
      <c r="AA446" s="8">
        <v>0</v>
      </c>
      <c r="AB446" s="8">
        <v>0</v>
      </c>
      <c r="AC446" s="8">
        <v>0</v>
      </c>
    </row>
    <row r="447" spans="3:29" x14ac:dyDescent="0.25">
      <c r="C447" s="9" t="s">
        <v>587</v>
      </c>
      <c r="D447" s="8">
        <v>31</v>
      </c>
      <c r="E447" s="8">
        <v>25</v>
      </c>
      <c r="F447" s="8">
        <v>3</v>
      </c>
      <c r="G447" s="8">
        <v>3025</v>
      </c>
      <c r="H447" s="8">
        <v>7</v>
      </c>
      <c r="I447" s="8">
        <v>0</v>
      </c>
      <c r="J447" s="8">
        <v>0</v>
      </c>
      <c r="K447" s="8">
        <v>0</v>
      </c>
      <c r="L447" s="8">
        <v>1</v>
      </c>
      <c r="M447" s="8">
        <v>0</v>
      </c>
      <c r="N447" s="8">
        <v>1</v>
      </c>
      <c r="O447" s="8">
        <v>0</v>
      </c>
      <c r="P447" s="8">
        <v>0</v>
      </c>
      <c r="Q447" s="8">
        <v>0</v>
      </c>
      <c r="R447" s="8">
        <v>0</v>
      </c>
      <c r="S447" s="8">
        <v>1</v>
      </c>
      <c r="T447" s="8">
        <v>1</v>
      </c>
      <c r="U447" s="8">
        <v>0</v>
      </c>
      <c r="V447" s="8">
        <v>0</v>
      </c>
      <c r="W447" s="8">
        <v>0</v>
      </c>
      <c r="X447" s="8">
        <v>0</v>
      </c>
      <c r="Y447" s="8">
        <v>0</v>
      </c>
      <c r="Z447" s="8">
        <v>1</v>
      </c>
      <c r="AA447" s="8">
        <v>0</v>
      </c>
      <c r="AB447" s="8">
        <v>0</v>
      </c>
      <c r="AC447" s="8">
        <v>0</v>
      </c>
    </row>
    <row r="448" spans="3:29" x14ac:dyDescent="0.25">
      <c r="C448" s="9" t="s">
        <v>588</v>
      </c>
      <c r="D448" s="8">
        <v>27</v>
      </c>
      <c r="E448" s="8">
        <v>15</v>
      </c>
      <c r="F448" s="8">
        <v>5</v>
      </c>
      <c r="G448" s="8">
        <v>716</v>
      </c>
      <c r="H448" s="8">
        <v>5</v>
      </c>
      <c r="I448" s="8">
        <v>0</v>
      </c>
      <c r="J448" s="8">
        <v>0</v>
      </c>
      <c r="K448" s="8">
        <v>0</v>
      </c>
      <c r="L448" s="8">
        <v>1</v>
      </c>
      <c r="M448" s="8">
        <v>0</v>
      </c>
      <c r="N448" s="8">
        <v>0</v>
      </c>
      <c r="O448" s="8">
        <v>1</v>
      </c>
      <c r="P448" s="8">
        <v>1</v>
      </c>
      <c r="Q448" s="8">
        <v>1</v>
      </c>
      <c r="R448" s="8">
        <v>0</v>
      </c>
      <c r="S448" s="8">
        <v>0</v>
      </c>
      <c r="T448" s="8">
        <v>1</v>
      </c>
      <c r="U448" s="8">
        <v>0</v>
      </c>
      <c r="V448" s="8">
        <v>0</v>
      </c>
      <c r="W448" s="8">
        <v>0</v>
      </c>
      <c r="X448" s="8">
        <v>0</v>
      </c>
      <c r="Y448" s="8">
        <v>0</v>
      </c>
      <c r="Z448" s="8">
        <v>1</v>
      </c>
      <c r="AA448" s="8">
        <v>0</v>
      </c>
      <c r="AB448" s="8">
        <v>0</v>
      </c>
      <c r="AC448" s="8">
        <v>0</v>
      </c>
    </row>
    <row r="449" spans="3:29" x14ac:dyDescent="0.25">
      <c r="C449" s="9" t="s">
        <v>589</v>
      </c>
      <c r="D449" s="8">
        <v>39</v>
      </c>
      <c r="E449" s="8">
        <v>20</v>
      </c>
      <c r="F449" s="8">
        <v>4</v>
      </c>
      <c r="G449" s="8">
        <v>4027</v>
      </c>
      <c r="H449" s="8">
        <v>8</v>
      </c>
      <c r="I449" s="8">
        <v>0</v>
      </c>
      <c r="J449" s="8">
        <v>0</v>
      </c>
      <c r="K449" s="8">
        <v>0</v>
      </c>
      <c r="L449" s="8">
        <v>1</v>
      </c>
      <c r="M449" s="8">
        <v>0</v>
      </c>
      <c r="N449" s="8">
        <v>0</v>
      </c>
      <c r="O449" s="8">
        <v>1</v>
      </c>
      <c r="P449" s="8">
        <v>0</v>
      </c>
      <c r="Q449" s="8">
        <v>0</v>
      </c>
      <c r="R449" s="8">
        <v>0</v>
      </c>
      <c r="S449" s="8">
        <v>1</v>
      </c>
      <c r="T449" s="8">
        <v>0</v>
      </c>
      <c r="U449" s="8">
        <v>1</v>
      </c>
      <c r="V449" s="8">
        <v>0</v>
      </c>
      <c r="W449" s="8">
        <v>0</v>
      </c>
      <c r="X449" s="8">
        <v>0</v>
      </c>
      <c r="Y449" s="8">
        <v>0</v>
      </c>
      <c r="Z449" s="8">
        <v>0</v>
      </c>
      <c r="AA449" s="8">
        <v>1</v>
      </c>
      <c r="AB449" s="8">
        <v>0</v>
      </c>
      <c r="AC449" s="8">
        <v>0</v>
      </c>
    </row>
    <row r="450" spans="3:29" x14ac:dyDescent="0.25">
      <c r="C450" s="9" t="s">
        <v>590</v>
      </c>
      <c r="D450" s="8">
        <v>13</v>
      </c>
      <c r="E450" s="8">
        <v>3</v>
      </c>
      <c r="F450" s="8">
        <v>4</v>
      </c>
      <c r="G450" s="8">
        <v>1467</v>
      </c>
      <c r="H450" s="8">
        <v>3</v>
      </c>
      <c r="I450" s="8">
        <v>0</v>
      </c>
      <c r="J450" s="8">
        <v>0</v>
      </c>
      <c r="K450" s="8">
        <v>1</v>
      </c>
      <c r="L450" s="8">
        <v>0</v>
      </c>
      <c r="M450" s="8">
        <v>1</v>
      </c>
      <c r="N450" s="8">
        <v>0</v>
      </c>
      <c r="O450" s="8">
        <v>0</v>
      </c>
      <c r="P450" s="8">
        <v>1</v>
      </c>
      <c r="Q450" s="8">
        <v>0</v>
      </c>
      <c r="R450" s="8">
        <v>1</v>
      </c>
      <c r="S450" s="8">
        <v>0</v>
      </c>
      <c r="T450" s="8">
        <v>0</v>
      </c>
      <c r="U450" s="8">
        <v>0</v>
      </c>
      <c r="V450" s="8">
        <v>1</v>
      </c>
      <c r="W450" s="8">
        <v>0</v>
      </c>
      <c r="X450" s="8">
        <v>0</v>
      </c>
      <c r="Y450" s="8">
        <v>0</v>
      </c>
      <c r="Z450" s="8">
        <v>0</v>
      </c>
      <c r="AA450" s="8">
        <v>0</v>
      </c>
      <c r="AB450" s="8">
        <v>0</v>
      </c>
      <c r="AC450" s="8">
        <v>1</v>
      </c>
    </row>
    <row r="451" spans="3:29" x14ac:dyDescent="0.25">
      <c r="C451" s="9" t="s">
        <v>591</v>
      </c>
      <c r="D451" s="8">
        <v>40</v>
      </c>
      <c r="E451" s="8">
        <v>12</v>
      </c>
      <c r="F451" s="8">
        <v>5</v>
      </c>
      <c r="G451" s="8">
        <v>2700</v>
      </c>
      <c r="H451" s="8">
        <v>7</v>
      </c>
      <c r="I451" s="8">
        <v>0</v>
      </c>
      <c r="J451" s="8">
        <v>0</v>
      </c>
      <c r="K451" s="8">
        <v>0</v>
      </c>
      <c r="L451" s="8">
        <v>1</v>
      </c>
      <c r="M451" s="8">
        <v>1</v>
      </c>
      <c r="N451" s="8">
        <v>0</v>
      </c>
      <c r="O451" s="8">
        <v>0</v>
      </c>
      <c r="P451" s="8">
        <v>1</v>
      </c>
      <c r="Q451" s="8">
        <v>0</v>
      </c>
      <c r="R451" s="8">
        <v>0</v>
      </c>
      <c r="S451" s="8">
        <v>1</v>
      </c>
      <c r="T451" s="8">
        <v>0</v>
      </c>
      <c r="U451" s="8">
        <v>0</v>
      </c>
      <c r="V451" s="8">
        <v>1</v>
      </c>
      <c r="W451" s="8">
        <v>0</v>
      </c>
      <c r="X451" s="8">
        <v>0</v>
      </c>
      <c r="Y451" s="8">
        <v>1</v>
      </c>
      <c r="Z451" s="8">
        <v>0</v>
      </c>
      <c r="AA451" s="8">
        <v>0</v>
      </c>
      <c r="AB451" s="8">
        <v>0</v>
      </c>
      <c r="AC451" s="8">
        <v>0</v>
      </c>
    </row>
    <row r="452" spans="3:29" x14ac:dyDescent="0.25">
      <c r="C452" s="9" t="s">
        <v>592</v>
      </c>
      <c r="D452" s="8">
        <v>18</v>
      </c>
      <c r="E452" s="8">
        <v>9</v>
      </c>
      <c r="F452" s="8">
        <v>5</v>
      </c>
      <c r="G452" s="8">
        <v>2959</v>
      </c>
      <c r="H452" s="8">
        <v>1</v>
      </c>
      <c r="I452" s="8">
        <v>0</v>
      </c>
      <c r="J452" s="8">
        <v>0</v>
      </c>
      <c r="K452" s="8">
        <v>0</v>
      </c>
      <c r="L452" s="8">
        <v>1</v>
      </c>
      <c r="M452" s="8">
        <v>0</v>
      </c>
      <c r="N452" s="8">
        <v>0</v>
      </c>
      <c r="O452" s="8">
        <v>1</v>
      </c>
      <c r="P452" s="8">
        <v>0</v>
      </c>
      <c r="Q452" s="8">
        <v>0</v>
      </c>
      <c r="R452" s="8">
        <v>0</v>
      </c>
      <c r="S452" s="8">
        <v>1</v>
      </c>
      <c r="T452" s="8">
        <v>0</v>
      </c>
      <c r="U452" s="8">
        <v>1</v>
      </c>
      <c r="V452" s="8">
        <v>0</v>
      </c>
      <c r="W452" s="8">
        <v>0</v>
      </c>
      <c r="X452" s="8">
        <v>0</v>
      </c>
      <c r="Y452" s="8">
        <v>0</v>
      </c>
      <c r="Z452" s="8">
        <v>0</v>
      </c>
      <c r="AA452" s="8">
        <v>0</v>
      </c>
      <c r="AB452" s="8">
        <v>0</v>
      </c>
      <c r="AC452" s="8">
        <v>1</v>
      </c>
    </row>
    <row r="453" spans="3:29" x14ac:dyDescent="0.25">
      <c r="C453" s="9" t="s">
        <v>593</v>
      </c>
      <c r="D453" s="8">
        <v>20</v>
      </c>
      <c r="E453" s="8">
        <v>0</v>
      </c>
      <c r="F453" s="8">
        <v>5</v>
      </c>
      <c r="G453" s="8">
        <v>4027</v>
      </c>
      <c r="H453" s="8">
        <v>2</v>
      </c>
      <c r="I453" s="8">
        <v>0</v>
      </c>
      <c r="J453" s="8">
        <v>0</v>
      </c>
      <c r="K453" s="8">
        <v>0</v>
      </c>
      <c r="L453" s="8">
        <v>1</v>
      </c>
      <c r="M453" s="8">
        <v>0</v>
      </c>
      <c r="N453" s="8">
        <v>0</v>
      </c>
      <c r="O453" s="8">
        <v>1</v>
      </c>
      <c r="P453" s="8">
        <v>0</v>
      </c>
      <c r="Q453" s="8">
        <v>0</v>
      </c>
      <c r="R453" s="8">
        <v>0</v>
      </c>
      <c r="S453" s="8">
        <v>1</v>
      </c>
      <c r="T453" s="8">
        <v>1</v>
      </c>
      <c r="U453" s="8">
        <v>0</v>
      </c>
      <c r="V453" s="8">
        <v>0</v>
      </c>
      <c r="W453" s="8">
        <v>1</v>
      </c>
      <c r="X453" s="8">
        <v>0</v>
      </c>
      <c r="Y453" s="8">
        <v>0</v>
      </c>
      <c r="Z453" s="8">
        <v>0</v>
      </c>
      <c r="AA453" s="8">
        <v>0</v>
      </c>
      <c r="AB453" s="8">
        <v>0</v>
      </c>
      <c r="AC453" s="8">
        <v>0</v>
      </c>
    </row>
    <row r="454" spans="3:29" x14ac:dyDescent="0.25">
      <c r="C454" s="9" t="s">
        <v>594</v>
      </c>
      <c r="D454" s="8">
        <v>8</v>
      </c>
      <c r="E454" s="8">
        <v>4</v>
      </c>
      <c r="F454" s="8">
        <v>5</v>
      </c>
      <c r="G454" s="8">
        <v>2700</v>
      </c>
      <c r="H454" s="8">
        <v>7</v>
      </c>
      <c r="I454" s="8">
        <v>0</v>
      </c>
      <c r="J454" s="8">
        <v>0</v>
      </c>
      <c r="K454" s="8">
        <v>0</v>
      </c>
      <c r="L454" s="8">
        <v>1</v>
      </c>
      <c r="M454" s="8">
        <v>0</v>
      </c>
      <c r="N454" s="8">
        <v>0</v>
      </c>
      <c r="O454" s="8">
        <v>1</v>
      </c>
      <c r="P454" s="8">
        <v>1</v>
      </c>
      <c r="Q454" s="8">
        <v>0</v>
      </c>
      <c r="R454" s="8">
        <v>0</v>
      </c>
      <c r="S454" s="8">
        <v>1</v>
      </c>
      <c r="T454" s="8">
        <v>0</v>
      </c>
      <c r="U454" s="8">
        <v>1</v>
      </c>
      <c r="V454" s="8">
        <v>0</v>
      </c>
      <c r="W454" s="8">
        <v>0</v>
      </c>
      <c r="X454" s="8">
        <v>0</v>
      </c>
      <c r="Y454" s="8">
        <v>1</v>
      </c>
      <c r="Z454" s="8">
        <v>0</v>
      </c>
      <c r="AA454" s="8">
        <v>0</v>
      </c>
      <c r="AB454" s="8">
        <v>0</v>
      </c>
      <c r="AC454" s="8">
        <v>0</v>
      </c>
    </row>
    <row r="455" spans="3:29" x14ac:dyDescent="0.25">
      <c r="C455" s="9" t="s">
        <v>595</v>
      </c>
      <c r="D455" s="8">
        <v>30</v>
      </c>
      <c r="E455" s="8">
        <v>10</v>
      </c>
      <c r="F455" s="8">
        <v>5</v>
      </c>
      <c r="G455" s="8">
        <v>2700</v>
      </c>
      <c r="H455" s="8">
        <v>3</v>
      </c>
      <c r="I455" s="8">
        <v>0</v>
      </c>
      <c r="J455" s="8">
        <v>1</v>
      </c>
      <c r="K455" s="8">
        <v>0</v>
      </c>
      <c r="L455" s="8">
        <v>0</v>
      </c>
      <c r="M455" s="8">
        <v>0</v>
      </c>
      <c r="N455" s="8">
        <v>0</v>
      </c>
      <c r="O455" s="8">
        <v>1</v>
      </c>
      <c r="P455" s="8">
        <v>1</v>
      </c>
      <c r="Q455" s="8">
        <v>0</v>
      </c>
      <c r="R455" s="8">
        <v>0</v>
      </c>
      <c r="S455" s="8">
        <v>1</v>
      </c>
      <c r="T455" s="8">
        <v>0</v>
      </c>
      <c r="U455" s="8">
        <v>0</v>
      </c>
      <c r="V455" s="8">
        <v>1</v>
      </c>
      <c r="W455" s="8">
        <v>0</v>
      </c>
      <c r="X455" s="8">
        <v>1</v>
      </c>
      <c r="Y455" s="8">
        <v>0</v>
      </c>
      <c r="Z455" s="8">
        <v>0</v>
      </c>
      <c r="AA455" s="8">
        <v>0</v>
      </c>
      <c r="AB455" s="8">
        <v>0</v>
      </c>
      <c r="AC455" s="8">
        <v>0</v>
      </c>
    </row>
    <row r="456" spans="3:29" x14ac:dyDescent="0.25">
      <c r="C456" s="9" t="s">
        <v>596</v>
      </c>
      <c r="D456" s="8">
        <v>50</v>
      </c>
      <c r="E456" s="8">
        <v>14</v>
      </c>
      <c r="F456" s="8">
        <v>5</v>
      </c>
      <c r="G456" s="8">
        <v>3348</v>
      </c>
      <c r="H456" s="8">
        <v>7</v>
      </c>
      <c r="I456" s="8">
        <v>1</v>
      </c>
      <c r="J456" s="8">
        <v>0</v>
      </c>
      <c r="K456" s="8">
        <v>0</v>
      </c>
      <c r="L456" s="8">
        <v>0</v>
      </c>
      <c r="M456" s="8">
        <v>1</v>
      </c>
      <c r="N456" s="8">
        <v>0</v>
      </c>
      <c r="O456" s="8">
        <v>0</v>
      </c>
      <c r="P456" s="8">
        <v>0</v>
      </c>
      <c r="Q456" s="8">
        <v>0</v>
      </c>
      <c r="R456" s="8">
        <v>0</v>
      </c>
      <c r="S456" s="8">
        <v>1</v>
      </c>
      <c r="T456" s="8">
        <v>0</v>
      </c>
      <c r="U456" s="8">
        <v>0</v>
      </c>
      <c r="V456" s="8">
        <v>1</v>
      </c>
      <c r="W456" s="8">
        <v>0</v>
      </c>
      <c r="X456" s="8">
        <v>0</v>
      </c>
      <c r="Y456" s="8">
        <v>0</v>
      </c>
      <c r="Z456" s="8">
        <v>0</v>
      </c>
      <c r="AA456" s="8">
        <v>0</v>
      </c>
      <c r="AB456" s="8">
        <v>0</v>
      </c>
      <c r="AC456" s="8">
        <v>1</v>
      </c>
    </row>
    <row r="457" spans="3:29" x14ac:dyDescent="0.25">
      <c r="C457" s="9" t="s">
        <v>597</v>
      </c>
      <c r="D457" s="8">
        <v>38</v>
      </c>
      <c r="E457" s="8">
        <v>18</v>
      </c>
      <c r="F457" s="8">
        <v>5</v>
      </c>
      <c r="G457" s="8">
        <v>1282</v>
      </c>
      <c r="H457" s="8">
        <v>8</v>
      </c>
      <c r="I457" s="8">
        <v>0</v>
      </c>
      <c r="J457" s="8">
        <v>1</v>
      </c>
      <c r="K457" s="8">
        <v>0</v>
      </c>
      <c r="L457" s="8">
        <v>0</v>
      </c>
      <c r="M457" s="8">
        <v>0</v>
      </c>
      <c r="N457" s="8">
        <v>0</v>
      </c>
      <c r="O457" s="8">
        <v>1</v>
      </c>
      <c r="P457" s="8">
        <v>0</v>
      </c>
      <c r="Q457" s="8">
        <v>0</v>
      </c>
      <c r="R457" s="8">
        <v>0</v>
      </c>
      <c r="S457" s="8">
        <v>1</v>
      </c>
      <c r="T457" s="8">
        <v>0</v>
      </c>
      <c r="U457" s="8">
        <v>0</v>
      </c>
      <c r="V457" s="8">
        <v>1</v>
      </c>
      <c r="W457" s="8">
        <v>0</v>
      </c>
      <c r="X457" s="8">
        <v>0</v>
      </c>
      <c r="Y457" s="8">
        <v>0</v>
      </c>
      <c r="Z457" s="8">
        <v>1</v>
      </c>
      <c r="AA457" s="8">
        <v>0</v>
      </c>
      <c r="AB457" s="8">
        <v>0</v>
      </c>
      <c r="AC457" s="8">
        <v>0</v>
      </c>
    </row>
    <row r="458" spans="3:29" x14ac:dyDescent="0.25">
      <c r="C458" s="9" t="s">
        <v>598</v>
      </c>
      <c r="D458" s="8">
        <v>12</v>
      </c>
      <c r="E458" s="8">
        <v>7</v>
      </c>
      <c r="F458" s="8">
        <v>5</v>
      </c>
      <c r="G458" s="8">
        <v>2884</v>
      </c>
      <c r="H458" s="8">
        <v>5</v>
      </c>
      <c r="I458" s="8">
        <v>0</v>
      </c>
      <c r="J458" s="8">
        <v>0</v>
      </c>
      <c r="K458" s="8">
        <v>0</v>
      </c>
      <c r="L458" s="8">
        <v>1</v>
      </c>
      <c r="M458" s="8">
        <v>0</v>
      </c>
      <c r="N458" s="8">
        <v>1</v>
      </c>
      <c r="O458" s="8">
        <v>0</v>
      </c>
      <c r="P458" s="8">
        <v>1</v>
      </c>
      <c r="Q458" s="8">
        <v>0</v>
      </c>
      <c r="R458" s="8">
        <v>1</v>
      </c>
      <c r="S458" s="8">
        <v>0</v>
      </c>
      <c r="T458" s="8">
        <v>1</v>
      </c>
      <c r="U458" s="8">
        <v>0</v>
      </c>
      <c r="V458" s="8">
        <v>0</v>
      </c>
      <c r="W458" s="8">
        <v>0</v>
      </c>
      <c r="X458" s="8">
        <v>1</v>
      </c>
      <c r="Y458" s="8">
        <v>0</v>
      </c>
      <c r="Z458" s="8">
        <v>0</v>
      </c>
      <c r="AA458" s="8">
        <v>0</v>
      </c>
      <c r="AB458" s="8">
        <v>0</v>
      </c>
      <c r="AC458" s="8">
        <v>0</v>
      </c>
    </row>
    <row r="459" spans="3:29" x14ac:dyDescent="0.25">
      <c r="C459" s="9" t="s">
        <v>599</v>
      </c>
      <c r="D459" s="8">
        <v>56</v>
      </c>
      <c r="E459" s="8">
        <v>16</v>
      </c>
      <c r="F459" s="8">
        <v>4</v>
      </c>
      <c r="G459" s="8">
        <v>2916</v>
      </c>
      <c r="H459" s="8">
        <v>9</v>
      </c>
      <c r="I459" s="8">
        <v>0</v>
      </c>
      <c r="J459" s="8">
        <v>0</v>
      </c>
      <c r="K459" s="8">
        <v>1</v>
      </c>
      <c r="L459" s="8">
        <v>0</v>
      </c>
      <c r="M459" s="8">
        <v>1</v>
      </c>
      <c r="N459" s="8">
        <v>0</v>
      </c>
      <c r="O459" s="8">
        <v>0</v>
      </c>
      <c r="P459" s="8">
        <v>0</v>
      </c>
      <c r="Q459" s="8">
        <v>0</v>
      </c>
      <c r="R459" s="8">
        <v>1</v>
      </c>
      <c r="S459" s="8">
        <v>0</v>
      </c>
      <c r="T459" s="8">
        <v>0</v>
      </c>
      <c r="U459" s="8">
        <v>0</v>
      </c>
      <c r="V459" s="8">
        <v>1</v>
      </c>
      <c r="W459" s="8">
        <v>0</v>
      </c>
      <c r="X459" s="8">
        <v>0</v>
      </c>
      <c r="Y459" s="8">
        <v>0</v>
      </c>
      <c r="Z459" s="8">
        <v>0</v>
      </c>
      <c r="AA459" s="8">
        <v>0</v>
      </c>
      <c r="AB459" s="8">
        <v>1</v>
      </c>
      <c r="AC459" s="8">
        <v>0</v>
      </c>
    </row>
    <row r="460" spans="3:29" x14ac:dyDescent="0.25">
      <c r="C460" s="9" t="s">
        <v>600</v>
      </c>
      <c r="D460" s="8">
        <v>21</v>
      </c>
      <c r="E460" s="8">
        <v>6</v>
      </c>
      <c r="F460" s="8">
        <v>4</v>
      </c>
      <c r="G460" s="8">
        <v>826</v>
      </c>
      <c r="H460" s="8">
        <v>5</v>
      </c>
      <c r="I460" s="8">
        <v>0</v>
      </c>
      <c r="J460" s="8">
        <v>1</v>
      </c>
      <c r="K460" s="8">
        <v>0</v>
      </c>
      <c r="L460" s="8">
        <v>0</v>
      </c>
      <c r="M460" s="8">
        <v>0</v>
      </c>
      <c r="N460" s="8">
        <v>0</v>
      </c>
      <c r="O460" s="8">
        <v>1</v>
      </c>
      <c r="P460" s="8">
        <v>0</v>
      </c>
      <c r="Q460" s="8">
        <v>0</v>
      </c>
      <c r="R460" s="8">
        <v>1</v>
      </c>
      <c r="S460" s="8">
        <v>0</v>
      </c>
      <c r="T460" s="8">
        <v>0</v>
      </c>
      <c r="U460" s="8">
        <v>0</v>
      </c>
      <c r="V460" s="8">
        <v>1</v>
      </c>
      <c r="W460" s="8">
        <v>0</v>
      </c>
      <c r="X460" s="8">
        <v>0</v>
      </c>
      <c r="Y460" s="8">
        <v>0</v>
      </c>
      <c r="Z460" s="8">
        <v>0</v>
      </c>
      <c r="AA460" s="8">
        <v>0</v>
      </c>
      <c r="AB460" s="8">
        <v>1</v>
      </c>
      <c r="AC460" s="8">
        <v>0</v>
      </c>
    </row>
    <row r="461" spans="3:29" x14ac:dyDescent="0.25">
      <c r="C461" s="9" t="s">
        <v>601</v>
      </c>
      <c r="D461" s="8">
        <v>160</v>
      </c>
      <c r="E461" s="8">
        <v>34</v>
      </c>
      <c r="F461" s="8">
        <v>4</v>
      </c>
      <c r="G461" s="8">
        <v>732</v>
      </c>
      <c r="H461" s="8">
        <v>6</v>
      </c>
      <c r="I461" s="8">
        <v>1</v>
      </c>
      <c r="J461" s="8">
        <v>0</v>
      </c>
      <c r="K461" s="8">
        <v>0</v>
      </c>
      <c r="L461" s="8">
        <v>0</v>
      </c>
      <c r="M461" s="8">
        <v>1</v>
      </c>
      <c r="N461" s="8">
        <v>0</v>
      </c>
      <c r="O461" s="8">
        <v>0</v>
      </c>
      <c r="P461" s="8">
        <v>0</v>
      </c>
      <c r="Q461" s="8">
        <v>1</v>
      </c>
      <c r="R461" s="8">
        <v>0</v>
      </c>
      <c r="S461" s="8">
        <v>0</v>
      </c>
      <c r="T461" s="8">
        <v>0</v>
      </c>
      <c r="U461" s="8">
        <v>0</v>
      </c>
      <c r="V461" s="8">
        <v>1</v>
      </c>
      <c r="W461" s="8">
        <v>0</v>
      </c>
      <c r="X461" s="8">
        <v>0</v>
      </c>
      <c r="Y461" s="8">
        <v>1</v>
      </c>
      <c r="Z461" s="8">
        <v>0</v>
      </c>
      <c r="AA461" s="8">
        <v>0</v>
      </c>
      <c r="AB461" s="8">
        <v>0</v>
      </c>
      <c r="AC461" s="8">
        <v>0</v>
      </c>
    </row>
    <row r="462" spans="3:29" x14ac:dyDescent="0.25">
      <c r="C462" s="9" t="s">
        <v>602</v>
      </c>
      <c r="D462" s="8">
        <v>29</v>
      </c>
      <c r="E462" s="8">
        <v>11</v>
      </c>
      <c r="F462" s="8">
        <v>5</v>
      </c>
      <c r="G462" s="8">
        <v>2034</v>
      </c>
      <c r="H462" s="8">
        <v>6</v>
      </c>
      <c r="I462" s="8">
        <v>0</v>
      </c>
      <c r="J462" s="8">
        <v>0</v>
      </c>
      <c r="K462" s="8">
        <v>0</v>
      </c>
      <c r="L462" s="8">
        <v>1</v>
      </c>
      <c r="M462" s="8">
        <v>0</v>
      </c>
      <c r="N462" s="8">
        <v>0</v>
      </c>
      <c r="O462" s="8">
        <v>1</v>
      </c>
      <c r="P462" s="8">
        <v>0</v>
      </c>
      <c r="Q462" s="8">
        <v>0</v>
      </c>
      <c r="R462" s="8">
        <v>0</v>
      </c>
      <c r="S462" s="8">
        <v>1</v>
      </c>
      <c r="T462" s="8">
        <v>0</v>
      </c>
      <c r="U462" s="8">
        <v>0</v>
      </c>
      <c r="V462" s="8">
        <v>1</v>
      </c>
      <c r="W462" s="8">
        <v>0</v>
      </c>
      <c r="X462" s="8">
        <v>1</v>
      </c>
      <c r="Y462" s="8">
        <v>0</v>
      </c>
      <c r="Z462" s="8">
        <v>0</v>
      </c>
      <c r="AA462" s="8">
        <v>0</v>
      </c>
      <c r="AB462" s="8">
        <v>0</v>
      </c>
      <c r="AC462" s="8">
        <v>0</v>
      </c>
    </row>
    <row r="463" spans="3:29" x14ac:dyDescent="0.25">
      <c r="C463" s="9" t="s">
        <v>603</v>
      </c>
      <c r="D463" s="8">
        <v>18</v>
      </c>
      <c r="E463" s="8">
        <v>9</v>
      </c>
      <c r="F463" s="8">
        <v>3</v>
      </c>
      <c r="G463" s="8">
        <v>732</v>
      </c>
      <c r="H463" s="8">
        <v>7</v>
      </c>
      <c r="I463" s="8">
        <v>0</v>
      </c>
      <c r="J463" s="8">
        <v>0</v>
      </c>
      <c r="K463" s="8">
        <v>0</v>
      </c>
      <c r="L463" s="8">
        <v>1</v>
      </c>
      <c r="M463" s="8">
        <v>1</v>
      </c>
      <c r="N463" s="8">
        <v>0</v>
      </c>
      <c r="O463" s="8">
        <v>0</v>
      </c>
      <c r="P463" s="8">
        <v>0</v>
      </c>
      <c r="Q463" s="8">
        <v>1</v>
      </c>
      <c r="R463" s="8">
        <v>0</v>
      </c>
      <c r="S463" s="8">
        <v>0</v>
      </c>
      <c r="T463" s="8">
        <v>1</v>
      </c>
      <c r="U463" s="8">
        <v>0</v>
      </c>
      <c r="V463" s="8">
        <v>0</v>
      </c>
      <c r="W463" s="8">
        <v>0</v>
      </c>
      <c r="X463" s="8">
        <v>1</v>
      </c>
      <c r="Y463" s="8">
        <v>0</v>
      </c>
      <c r="Z463" s="8">
        <v>0</v>
      </c>
      <c r="AA463" s="8">
        <v>0</v>
      </c>
      <c r="AB463" s="8">
        <v>0</v>
      </c>
      <c r="AC463" s="8">
        <v>0</v>
      </c>
    </row>
    <row r="464" spans="3:29" x14ac:dyDescent="0.25">
      <c r="C464" s="9" t="s">
        <v>604</v>
      </c>
      <c r="D464" s="8">
        <v>56</v>
      </c>
      <c r="E464" s="8">
        <v>14</v>
      </c>
      <c r="F464" s="8">
        <v>5</v>
      </c>
      <c r="G464" s="8">
        <v>3003</v>
      </c>
      <c r="H464" s="8">
        <v>3</v>
      </c>
      <c r="I464" s="8">
        <v>1</v>
      </c>
      <c r="J464" s="8">
        <v>0</v>
      </c>
      <c r="K464" s="8">
        <v>0</v>
      </c>
      <c r="L464" s="8">
        <v>0</v>
      </c>
      <c r="M464" s="8">
        <v>0</v>
      </c>
      <c r="N464" s="8">
        <v>0</v>
      </c>
      <c r="O464" s="8">
        <v>1</v>
      </c>
      <c r="P464" s="8">
        <v>0</v>
      </c>
      <c r="Q464" s="8">
        <v>0</v>
      </c>
      <c r="R464" s="8">
        <v>1</v>
      </c>
      <c r="S464" s="8">
        <v>0</v>
      </c>
      <c r="T464" s="8">
        <v>0</v>
      </c>
      <c r="U464" s="8">
        <v>0</v>
      </c>
      <c r="V464" s="8">
        <v>1</v>
      </c>
      <c r="W464" s="8">
        <v>0</v>
      </c>
      <c r="X464" s="8">
        <v>1</v>
      </c>
      <c r="Y464" s="8">
        <v>0</v>
      </c>
      <c r="Z464" s="8">
        <v>0</v>
      </c>
      <c r="AA464" s="8">
        <v>0</v>
      </c>
      <c r="AB464" s="8">
        <v>0</v>
      </c>
      <c r="AC464" s="8">
        <v>0</v>
      </c>
    </row>
    <row r="465" spans="3:29" x14ac:dyDescent="0.25">
      <c r="C465" s="9" t="s">
        <v>605</v>
      </c>
      <c r="D465" s="8">
        <v>73</v>
      </c>
      <c r="E465" s="8">
        <v>4</v>
      </c>
      <c r="F465" s="8">
        <v>3</v>
      </c>
      <c r="G465" s="8">
        <v>2916</v>
      </c>
      <c r="H465" s="8">
        <v>3</v>
      </c>
      <c r="I465" s="8">
        <v>0</v>
      </c>
      <c r="J465" s="8">
        <v>0</v>
      </c>
      <c r="K465" s="8">
        <v>1</v>
      </c>
      <c r="L465" s="8">
        <v>0</v>
      </c>
      <c r="M465" s="8">
        <v>1</v>
      </c>
      <c r="N465" s="8">
        <v>0</v>
      </c>
      <c r="O465" s="8">
        <v>0</v>
      </c>
      <c r="P465" s="8">
        <v>0</v>
      </c>
      <c r="Q465" s="8">
        <v>0</v>
      </c>
      <c r="R465" s="8">
        <v>1</v>
      </c>
      <c r="S465" s="8">
        <v>0</v>
      </c>
      <c r="T465" s="8">
        <v>0</v>
      </c>
      <c r="U465" s="8">
        <v>0</v>
      </c>
      <c r="V465" s="8">
        <v>1</v>
      </c>
      <c r="W465" s="8">
        <v>0</v>
      </c>
      <c r="X465" s="8">
        <v>1</v>
      </c>
      <c r="Y465" s="8">
        <v>0</v>
      </c>
      <c r="Z465" s="8">
        <v>0</v>
      </c>
      <c r="AA465" s="8">
        <v>0</v>
      </c>
      <c r="AB465" s="8">
        <v>0</v>
      </c>
      <c r="AC465" s="8">
        <v>0</v>
      </c>
    </row>
    <row r="466" spans="3:29" x14ac:dyDescent="0.25">
      <c r="C466" s="9" t="s">
        <v>606</v>
      </c>
      <c r="D466" s="8">
        <v>92</v>
      </c>
      <c r="E466" s="8">
        <v>12</v>
      </c>
      <c r="F466" s="8">
        <v>4</v>
      </c>
      <c r="G466" s="8">
        <v>188</v>
      </c>
      <c r="H466" s="8">
        <v>2</v>
      </c>
      <c r="I466" s="8">
        <v>0</v>
      </c>
      <c r="J466" s="8">
        <v>0</v>
      </c>
      <c r="K466" s="8">
        <v>0</v>
      </c>
      <c r="L466" s="8">
        <v>1</v>
      </c>
      <c r="M466" s="8">
        <v>1</v>
      </c>
      <c r="N466" s="8">
        <v>0</v>
      </c>
      <c r="O466" s="8">
        <v>0</v>
      </c>
      <c r="P466" s="8">
        <v>0</v>
      </c>
      <c r="Q466" s="8">
        <v>0</v>
      </c>
      <c r="R466" s="8">
        <v>1</v>
      </c>
      <c r="S466" s="8">
        <v>0</v>
      </c>
      <c r="T466" s="8">
        <v>1</v>
      </c>
      <c r="U466" s="8">
        <v>0</v>
      </c>
      <c r="V466" s="8">
        <v>0</v>
      </c>
      <c r="W466" s="8">
        <v>0</v>
      </c>
      <c r="X466" s="8">
        <v>0</v>
      </c>
      <c r="Y466" s="8">
        <v>1</v>
      </c>
      <c r="Z466" s="8">
        <v>0</v>
      </c>
      <c r="AA466" s="8">
        <v>0</v>
      </c>
      <c r="AB466" s="8">
        <v>0</v>
      </c>
      <c r="AC466" s="8">
        <v>0</v>
      </c>
    </row>
    <row r="467" spans="3:29" x14ac:dyDescent="0.25">
      <c r="C467" s="9" t="s">
        <v>607</v>
      </c>
      <c r="D467" s="8">
        <v>26</v>
      </c>
      <c r="E467" s="8">
        <v>5</v>
      </c>
      <c r="F467" s="8">
        <v>4</v>
      </c>
      <c r="G467" s="8">
        <v>787</v>
      </c>
      <c r="H467" s="8">
        <v>1</v>
      </c>
      <c r="I467" s="8">
        <v>0</v>
      </c>
      <c r="J467" s="8">
        <v>0</v>
      </c>
      <c r="K467" s="8">
        <v>1</v>
      </c>
      <c r="L467" s="8">
        <v>0</v>
      </c>
      <c r="M467" s="8">
        <v>0</v>
      </c>
      <c r="N467" s="8">
        <v>1</v>
      </c>
      <c r="O467" s="8">
        <v>0</v>
      </c>
      <c r="P467" s="8">
        <v>1</v>
      </c>
      <c r="Q467" s="8">
        <v>1</v>
      </c>
      <c r="R467" s="8">
        <v>0</v>
      </c>
      <c r="S467" s="8">
        <v>0</v>
      </c>
      <c r="T467" s="8">
        <v>1</v>
      </c>
      <c r="U467" s="8">
        <v>0</v>
      </c>
      <c r="V467" s="8">
        <v>0</v>
      </c>
      <c r="W467" s="8">
        <v>0</v>
      </c>
      <c r="X467" s="8">
        <v>0</v>
      </c>
      <c r="Y467" s="8">
        <v>0</v>
      </c>
      <c r="Z467" s="8">
        <v>0</v>
      </c>
      <c r="AA467" s="8">
        <v>1</v>
      </c>
      <c r="AB467" s="8">
        <v>0</v>
      </c>
      <c r="AC467" s="8">
        <v>0</v>
      </c>
    </row>
    <row r="468" spans="3:29" x14ac:dyDescent="0.25">
      <c r="C468" s="9" t="s">
        <v>608</v>
      </c>
      <c r="D468" s="8">
        <v>12</v>
      </c>
      <c r="E468" s="8">
        <v>5</v>
      </c>
      <c r="F468" s="8">
        <v>5</v>
      </c>
      <c r="G468" s="8">
        <v>2034</v>
      </c>
      <c r="H468" s="8">
        <v>5</v>
      </c>
      <c r="I468" s="8">
        <v>0</v>
      </c>
      <c r="J468" s="8">
        <v>0</v>
      </c>
      <c r="K468" s="8">
        <v>0</v>
      </c>
      <c r="L468" s="8">
        <v>1</v>
      </c>
      <c r="M468" s="8">
        <v>0</v>
      </c>
      <c r="N468" s="8">
        <v>0</v>
      </c>
      <c r="O468" s="8">
        <v>1</v>
      </c>
      <c r="P468" s="8">
        <v>0</v>
      </c>
      <c r="Q468" s="8">
        <v>0</v>
      </c>
      <c r="R468" s="8">
        <v>0</v>
      </c>
      <c r="S468" s="8">
        <v>1</v>
      </c>
      <c r="T468" s="8">
        <v>0</v>
      </c>
      <c r="U468" s="8">
        <v>0</v>
      </c>
      <c r="V468" s="8">
        <v>1</v>
      </c>
      <c r="W468" s="8">
        <v>1</v>
      </c>
      <c r="X468" s="8">
        <v>0</v>
      </c>
      <c r="Y468" s="8">
        <v>0</v>
      </c>
      <c r="Z468" s="8">
        <v>0</v>
      </c>
      <c r="AA468" s="8">
        <v>0</v>
      </c>
      <c r="AB468" s="8">
        <v>0</v>
      </c>
      <c r="AC468" s="8">
        <v>0</v>
      </c>
    </row>
    <row r="469" spans="3:29" x14ac:dyDescent="0.25">
      <c r="C469" s="9" t="s">
        <v>609</v>
      </c>
      <c r="D469" s="8">
        <v>1</v>
      </c>
      <c r="E469" s="8">
        <v>0</v>
      </c>
      <c r="F469" s="8">
        <v>5</v>
      </c>
      <c r="G469" s="8">
        <v>1282</v>
      </c>
      <c r="H469" s="8">
        <v>0</v>
      </c>
      <c r="I469" s="8">
        <v>0</v>
      </c>
      <c r="J469" s="8">
        <v>0</v>
      </c>
      <c r="K469" s="8">
        <v>1</v>
      </c>
      <c r="L469" s="8">
        <v>0</v>
      </c>
      <c r="M469" s="8">
        <v>0</v>
      </c>
      <c r="N469" s="8">
        <v>0</v>
      </c>
      <c r="O469" s="8">
        <v>1</v>
      </c>
      <c r="P469" s="8">
        <v>0</v>
      </c>
      <c r="Q469" s="8">
        <v>0</v>
      </c>
      <c r="R469" s="8">
        <v>0</v>
      </c>
      <c r="S469" s="8">
        <v>1</v>
      </c>
      <c r="T469" s="8">
        <v>0</v>
      </c>
      <c r="U469" s="8">
        <v>0</v>
      </c>
      <c r="V469" s="8">
        <v>1</v>
      </c>
      <c r="W469" s="8">
        <v>0</v>
      </c>
      <c r="X469" s="8">
        <v>0</v>
      </c>
      <c r="Y469" s="8">
        <v>0</v>
      </c>
      <c r="Z469" s="8">
        <v>0</v>
      </c>
      <c r="AA469" s="8">
        <v>0</v>
      </c>
      <c r="AB469" s="8">
        <v>0</v>
      </c>
      <c r="AC469" s="8">
        <v>1</v>
      </c>
    </row>
    <row r="470" spans="3:29" x14ac:dyDescent="0.25">
      <c r="C470" s="9" t="s">
        <v>610</v>
      </c>
      <c r="D470" s="8">
        <v>11</v>
      </c>
      <c r="E470" s="8">
        <v>7</v>
      </c>
      <c r="F470" s="8">
        <v>4</v>
      </c>
      <c r="G470" s="8">
        <v>2700</v>
      </c>
      <c r="H470" s="8">
        <v>1</v>
      </c>
      <c r="I470" s="8">
        <v>0</v>
      </c>
      <c r="J470" s="8">
        <v>0</v>
      </c>
      <c r="K470" s="8">
        <v>1</v>
      </c>
      <c r="L470" s="8">
        <v>0</v>
      </c>
      <c r="M470" s="8">
        <v>0</v>
      </c>
      <c r="N470" s="8">
        <v>0</v>
      </c>
      <c r="O470" s="8">
        <v>1</v>
      </c>
      <c r="P470" s="8">
        <v>1</v>
      </c>
      <c r="Q470" s="8">
        <v>0</v>
      </c>
      <c r="R470" s="8">
        <v>0</v>
      </c>
      <c r="S470" s="8">
        <v>1</v>
      </c>
      <c r="T470" s="8">
        <v>0</v>
      </c>
      <c r="U470" s="8">
        <v>0</v>
      </c>
      <c r="V470" s="8">
        <v>1</v>
      </c>
      <c r="W470" s="8">
        <v>0</v>
      </c>
      <c r="X470" s="8">
        <v>1</v>
      </c>
      <c r="Y470" s="8">
        <v>0</v>
      </c>
      <c r="Z470" s="8">
        <v>0</v>
      </c>
      <c r="AA470" s="8">
        <v>0</v>
      </c>
      <c r="AB470" s="8">
        <v>0</v>
      </c>
      <c r="AC470" s="8">
        <v>0</v>
      </c>
    </row>
    <row r="471" spans="3:29" x14ac:dyDescent="0.25">
      <c r="C471" s="9" t="s">
        <v>611</v>
      </c>
      <c r="D471" s="8">
        <v>6</v>
      </c>
      <c r="E471" s="8">
        <v>5</v>
      </c>
      <c r="F471" s="8">
        <v>5</v>
      </c>
      <c r="G471" s="8">
        <v>732</v>
      </c>
      <c r="H471" s="8">
        <v>4</v>
      </c>
      <c r="I471" s="8">
        <v>0</v>
      </c>
      <c r="J471" s="8">
        <v>1</v>
      </c>
      <c r="K471" s="8">
        <v>0</v>
      </c>
      <c r="L471" s="8">
        <v>0</v>
      </c>
      <c r="M471" s="8">
        <v>0</v>
      </c>
      <c r="N471" s="8">
        <v>1</v>
      </c>
      <c r="O471" s="8">
        <v>0</v>
      </c>
      <c r="P471" s="8">
        <v>0</v>
      </c>
      <c r="Q471" s="8">
        <v>1</v>
      </c>
      <c r="R471" s="8">
        <v>0</v>
      </c>
      <c r="S471" s="8">
        <v>0</v>
      </c>
      <c r="T471" s="8">
        <v>0</v>
      </c>
      <c r="U471" s="8">
        <v>0</v>
      </c>
      <c r="V471" s="8">
        <v>1</v>
      </c>
      <c r="W471" s="8">
        <v>0</v>
      </c>
      <c r="X471" s="8">
        <v>0</v>
      </c>
      <c r="Y471" s="8">
        <v>0</v>
      </c>
      <c r="Z471" s="8">
        <v>0</v>
      </c>
      <c r="AA471" s="8">
        <v>0</v>
      </c>
      <c r="AB471" s="8">
        <v>1</v>
      </c>
      <c r="AC471" s="8">
        <v>0</v>
      </c>
    </row>
    <row r="472" spans="3:29" x14ac:dyDescent="0.25">
      <c r="C472" s="9" t="s">
        <v>612</v>
      </c>
      <c r="D472" s="8">
        <v>11</v>
      </c>
      <c r="E472" s="8">
        <v>9</v>
      </c>
      <c r="F472" s="8">
        <v>3</v>
      </c>
      <c r="G472" s="8">
        <v>2884</v>
      </c>
      <c r="H472" s="8">
        <v>0</v>
      </c>
      <c r="I472" s="8">
        <v>0</v>
      </c>
      <c r="J472" s="8">
        <v>0</v>
      </c>
      <c r="K472" s="8">
        <v>0</v>
      </c>
      <c r="L472" s="8">
        <v>1</v>
      </c>
      <c r="M472" s="8">
        <v>0</v>
      </c>
      <c r="N472" s="8">
        <v>0</v>
      </c>
      <c r="O472" s="8">
        <v>1</v>
      </c>
      <c r="P472" s="8">
        <v>1</v>
      </c>
      <c r="Q472" s="8">
        <v>0</v>
      </c>
      <c r="R472" s="8">
        <v>1</v>
      </c>
      <c r="S472" s="8">
        <v>0</v>
      </c>
      <c r="T472" s="8">
        <v>0</v>
      </c>
      <c r="U472" s="8">
        <v>1</v>
      </c>
      <c r="V472" s="8">
        <v>0</v>
      </c>
      <c r="W472" s="8">
        <v>1</v>
      </c>
      <c r="X472" s="8">
        <v>0</v>
      </c>
      <c r="Y472" s="8">
        <v>0</v>
      </c>
      <c r="Z472" s="8">
        <v>0</v>
      </c>
      <c r="AA472" s="8">
        <v>0</v>
      </c>
      <c r="AB472" s="8">
        <v>0</v>
      </c>
      <c r="AC472" s="8">
        <v>0</v>
      </c>
    </row>
    <row r="473" spans="3:29" x14ac:dyDescent="0.25">
      <c r="C473" s="9" t="s">
        <v>613</v>
      </c>
      <c r="D473" s="8">
        <v>23</v>
      </c>
      <c r="E473" s="8">
        <v>9</v>
      </c>
      <c r="F473" s="8">
        <v>3</v>
      </c>
      <c r="G473" s="8">
        <v>787</v>
      </c>
      <c r="H473" s="8">
        <v>4</v>
      </c>
      <c r="I473" s="8">
        <v>0</v>
      </c>
      <c r="J473" s="8">
        <v>0</v>
      </c>
      <c r="K473" s="8">
        <v>0</v>
      </c>
      <c r="L473" s="8">
        <v>1</v>
      </c>
      <c r="M473" s="8">
        <v>0</v>
      </c>
      <c r="N473" s="8">
        <v>1</v>
      </c>
      <c r="O473" s="8">
        <v>0</v>
      </c>
      <c r="P473" s="8">
        <v>1</v>
      </c>
      <c r="Q473" s="8">
        <v>1</v>
      </c>
      <c r="R473" s="8">
        <v>0</v>
      </c>
      <c r="S473" s="8">
        <v>0</v>
      </c>
      <c r="T473" s="8">
        <v>1</v>
      </c>
      <c r="U473" s="8">
        <v>0</v>
      </c>
      <c r="V473" s="8">
        <v>0</v>
      </c>
      <c r="W473" s="8">
        <v>0</v>
      </c>
      <c r="X473" s="8">
        <v>1</v>
      </c>
      <c r="Y473" s="8">
        <v>0</v>
      </c>
      <c r="Z473" s="8">
        <v>0</v>
      </c>
      <c r="AA473" s="8">
        <v>0</v>
      </c>
      <c r="AB473" s="8">
        <v>0</v>
      </c>
      <c r="AC473" s="8">
        <v>0</v>
      </c>
    </row>
    <row r="474" spans="3:29" x14ac:dyDescent="0.25">
      <c r="C474" s="9" t="s">
        <v>614</v>
      </c>
      <c r="D474" s="8">
        <v>33</v>
      </c>
      <c r="E474" s="8">
        <v>11</v>
      </c>
      <c r="F474" s="8">
        <v>5</v>
      </c>
      <c r="G474" s="8">
        <v>826</v>
      </c>
      <c r="H474" s="8">
        <v>4</v>
      </c>
      <c r="I474" s="8">
        <v>0</v>
      </c>
      <c r="J474" s="8">
        <v>0</v>
      </c>
      <c r="K474" s="8">
        <v>1</v>
      </c>
      <c r="L474" s="8">
        <v>0</v>
      </c>
      <c r="M474" s="8">
        <v>1</v>
      </c>
      <c r="N474" s="8">
        <v>0</v>
      </c>
      <c r="O474" s="8">
        <v>0</v>
      </c>
      <c r="P474" s="8">
        <v>0</v>
      </c>
      <c r="Q474" s="8">
        <v>0</v>
      </c>
      <c r="R474" s="8">
        <v>1</v>
      </c>
      <c r="S474" s="8">
        <v>0</v>
      </c>
      <c r="T474" s="8">
        <v>0</v>
      </c>
      <c r="U474" s="8">
        <v>0</v>
      </c>
      <c r="V474" s="8">
        <v>1</v>
      </c>
      <c r="W474" s="8">
        <v>0</v>
      </c>
      <c r="X474" s="8">
        <v>0</v>
      </c>
      <c r="Y474" s="8">
        <v>0</v>
      </c>
      <c r="Z474" s="8">
        <v>0</v>
      </c>
      <c r="AA474" s="8">
        <v>0</v>
      </c>
      <c r="AB474" s="8">
        <v>0</v>
      </c>
      <c r="AC474" s="8">
        <v>1</v>
      </c>
    </row>
    <row r="475" spans="3:29" x14ac:dyDescent="0.25">
      <c r="C475" s="9" t="s">
        <v>615</v>
      </c>
      <c r="D475" s="8">
        <v>35</v>
      </c>
      <c r="E475" s="8">
        <v>16</v>
      </c>
      <c r="F475" s="8">
        <v>4</v>
      </c>
      <c r="G475" s="8">
        <v>1282</v>
      </c>
      <c r="H475" s="8">
        <v>2</v>
      </c>
      <c r="I475" s="8">
        <v>0</v>
      </c>
      <c r="J475" s="8">
        <v>0</v>
      </c>
      <c r="K475" s="8">
        <v>0</v>
      </c>
      <c r="L475" s="8">
        <v>1</v>
      </c>
      <c r="M475" s="8">
        <v>0</v>
      </c>
      <c r="N475" s="8">
        <v>1</v>
      </c>
      <c r="O475" s="8">
        <v>0</v>
      </c>
      <c r="P475" s="8">
        <v>0</v>
      </c>
      <c r="Q475" s="8">
        <v>0</v>
      </c>
      <c r="R475" s="8">
        <v>0</v>
      </c>
      <c r="S475" s="8">
        <v>1</v>
      </c>
      <c r="T475" s="8">
        <v>1</v>
      </c>
      <c r="U475" s="8">
        <v>0</v>
      </c>
      <c r="V475" s="8">
        <v>0</v>
      </c>
      <c r="W475" s="8">
        <v>0</v>
      </c>
      <c r="X475" s="8">
        <v>0</v>
      </c>
      <c r="Y475" s="8">
        <v>0</v>
      </c>
      <c r="Z475" s="8">
        <v>0</v>
      </c>
      <c r="AA475" s="8">
        <v>0</v>
      </c>
      <c r="AB475" s="8">
        <v>1</v>
      </c>
      <c r="AC475" s="8">
        <v>0</v>
      </c>
    </row>
    <row r="476" spans="3:29" x14ac:dyDescent="0.25">
      <c r="C476" s="9" t="s">
        <v>616</v>
      </c>
      <c r="D476" s="8">
        <v>19</v>
      </c>
      <c r="E476" s="8">
        <v>8</v>
      </c>
      <c r="F476" s="8">
        <v>5</v>
      </c>
      <c r="G476" s="8">
        <v>4027</v>
      </c>
      <c r="H476" s="8">
        <v>10</v>
      </c>
      <c r="I476" s="8">
        <v>0</v>
      </c>
      <c r="J476" s="8">
        <v>1</v>
      </c>
      <c r="K476" s="8">
        <v>0</v>
      </c>
      <c r="L476" s="8">
        <v>0</v>
      </c>
      <c r="M476" s="8">
        <v>0</v>
      </c>
      <c r="N476" s="8">
        <v>1</v>
      </c>
      <c r="O476" s="8">
        <v>0</v>
      </c>
      <c r="P476" s="8">
        <v>0</v>
      </c>
      <c r="Q476" s="8">
        <v>0</v>
      </c>
      <c r="R476" s="8">
        <v>0</v>
      </c>
      <c r="S476" s="8">
        <v>1</v>
      </c>
      <c r="T476" s="8">
        <v>0</v>
      </c>
      <c r="U476" s="8">
        <v>0</v>
      </c>
      <c r="V476" s="8">
        <v>1</v>
      </c>
      <c r="W476" s="8">
        <v>0</v>
      </c>
      <c r="X476" s="8">
        <v>0</v>
      </c>
      <c r="Y476" s="8">
        <v>0</v>
      </c>
      <c r="Z476" s="8">
        <v>0</v>
      </c>
      <c r="AA476" s="8">
        <v>0</v>
      </c>
      <c r="AB476" s="8">
        <v>0</v>
      </c>
      <c r="AC476" s="8">
        <v>1</v>
      </c>
    </row>
    <row r="477" spans="3:29" x14ac:dyDescent="0.25">
      <c r="C477" s="9" t="s">
        <v>617</v>
      </c>
      <c r="D477" s="8">
        <v>47</v>
      </c>
      <c r="E477" s="8">
        <v>6</v>
      </c>
      <c r="F477" s="8">
        <v>4</v>
      </c>
      <c r="G477" s="8">
        <v>3981</v>
      </c>
      <c r="H477" s="8">
        <v>5</v>
      </c>
      <c r="I477" s="8">
        <v>0</v>
      </c>
      <c r="J477" s="8">
        <v>0</v>
      </c>
      <c r="K477" s="8">
        <v>0</v>
      </c>
      <c r="L477" s="8">
        <v>1</v>
      </c>
      <c r="M477" s="8">
        <v>1</v>
      </c>
      <c r="N477" s="8">
        <v>0</v>
      </c>
      <c r="O477" s="8">
        <v>0</v>
      </c>
      <c r="P477" s="8">
        <v>0</v>
      </c>
      <c r="Q477" s="8">
        <v>1</v>
      </c>
      <c r="R477" s="8">
        <v>0</v>
      </c>
      <c r="S477" s="8">
        <v>0</v>
      </c>
      <c r="T477" s="8">
        <v>0</v>
      </c>
      <c r="U477" s="8">
        <v>1</v>
      </c>
      <c r="V477" s="8">
        <v>0</v>
      </c>
      <c r="W477" s="8">
        <v>0</v>
      </c>
      <c r="X477" s="8">
        <v>1</v>
      </c>
      <c r="Y477" s="8">
        <v>0</v>
      </c>
      <c r="Z477" s="8">
        <v>0</v>
      </c>
      <c r="AA477" s="8">
        <v>0</v>
      </c>
      <c r="AB477" s="8">
        <v>0</v>
      </c>
      <c r="AC477" s="8">
        <v>0</v>
      </c>
    </row>
    <row r="478" spans="3:29" x14ac:dyDescent="0.25">
      <c r="C478" s="9" t="s">
        <v>618</v>
      </c>
      <c r="D478" s="8">
        <v>9</v>
      </c>
      <c r="E478" s="8">
        <v>6</v>
      </c>
      <c r="F478" s="8">
        <v>2</v>
      </c>
      <c r="G478" s="8">
        <v>826</v>
      </c>
      <c r="H478" s="8">
        <v>9</v>
      </c>
      <c r="I478" s="8">
        <v>1</v>
      </c>
      <c r="J478" s="8">
        <v>0</v>
      </c>
      <c r="K478" s="8">
        <v>0</v>
      </c>
      <c r="L478" s="8">
        <v>0</v>
      </c>
      <c r="M478" s="8">
        <v>0</v>
      </c>
      <c r="N478" s="8">
        <v>1</v>
      </c>
      <c r="O478" s="8">
        <v>0</v>
      </c>
      <c r="P478" s="8">
        <v>0</v>
      </c>
      <c r="Q478" s="8">
        <v>0</v>
      </c>
      <c r="R478" s="8">
        <v>1</v>
      </c>
      <c r="S478" s="8">
        <v>0</v>
      </c>
      <c r="T478" s="8">
        <v>0</v>
      </c>
      <c r="U478" s="8">
        <v>0</v>
      </c>
      <c r="V478" s="8">
        <v>1</v>
      </c>
      <c r="W478" s="8">
        <v>0</v>
      </c>
      <c r="X478" s="8">
        <v>0</v>
      </c>
      <c r="Y478" s="8">
        <v>0</v>
      </c>
      <c r="Z478" s="8">
        <v>0</v>
      </c>
      <c r="AA478" s="8">
        <v>0</v>
      </c>
      <c r="AB478" s="8">
        <v>0</v>
      </c>
      <c r="AC478" s="8">
        <v>1</v>
      </c>
    </row>
    <row r="479" spans="3:29" x14ac:dyDescent="0.25">
      <c r="C479" s="9" t="s">
        <v>619</v>
      </c>
      <c r="D479" s="8">
        <v>15</v>
      </c>
      <c r="E479" s="8">
        <v>5</v>
      </c>
      <c r="F479" s="8">
        <v>5</v>
      </c>
      <c r="G479" s="8">
        <v>2959</v>
      </c>
      <c r="H479" s="8">
        <v>3</v>
      </c>
      <c r="I479" s="8">
        <v>0</v>
      </c>
      <c r="J479" s="8">
        <v>1</v>
      </c>
      <c r="K479" s="8">
        <v>0</v>
      </c>
      <c r="L479" s="8">
        <v>0</v>
      </c>
      <c r="M479" s="8">
        <v>1</v>
      </c>
      <c r="N479" s="8">
        <v>0</v>
      </c>
      <c r="O479" s="8">
        <v>0</v>
      </c>
      <c r="P479" s="8">
        <v>0</v>
      </c>
      <c r="Q479" s="8">
        <v>0</v>
      </c>
      <c r="R479" s="8">
        <v>0</v>
      </c>
      <c r="S479" s="8">
        <v>1</v>
      </c>
      <c r="T479" s="8">
        <v>0</v>
      </c>
      <c r="U479" s="8">
        <v>1</v>
      </c>
      <c r="V479" s="8">
        <v>0</v>
      </c>
      <c r="W479" s="8">
        <v>0</v>
      </c>
      <c r="X479" s="8">
        <v>0</v>
      </c>
      <c r="Y479" s="8">
        <v>0</v>
      </c>
      <c r="Z479" s="8">
        <v>0</v>
      </c>
      <c r="AA479" s="8">
        <v>0</v>
      </c>
      <c r="AB479" s="8">
        <v>0</v>
      </c>
      <c r="AC479" s="8">
        <v>1</v>
      </c>
    </row>
    <row r="480" spans="3:29" x14ac:dyDescent="0.25">
      <c r="C480" s="9" t="s">
        <v>620</v>
      </c>
      <c r="D480" s="8">
        <v>8</v>
      </c>
      <c r="E480" s="8">
        <v>7</v>
      </c>
      <c r="F480" s="8">
        <v>2</v>
      </c>
      <c r="G480" s="8">
        <v>3773</v>
      </c>
      <c r="H480" s="8">
        <v>10</v>
      </c>
      <c r="I480" s="8">
        <v>0</v>
      </c>
      <c r="J480" s="8">
        <v>0</v>
      </c>
      <c r="K480" s="8">
        <v>0</v>
      </c>
      <c r="L480" s="8">
        <v>1</v>
      </c>
      <c r="M480" s="8">
        <v>0</v>
      </c>
      <c r="N480" s="8">
        <v>0</v>
      </c>
      <c r="O480" s="8">
        <v>1</v>
      </c>
      <c r="P480" s="8">
        <v>0</v>
      </c>
      <c r="Q480" s="8">
        <v>1</v>
      </c>
      <c r="R480" s="8">
        <v>0</v>
      </c>
      <c r="S480" s="8">
        <v>0</v>
      </c>
      <c r="T480" s="8">
        <v>0</v>
      </c>
      <c r="U480" s="8">
        <v>0</v>
      </c>
      <c r="V480" s="8">
        <v>1</v>
      </c>
      <c r="W480" s="8">
        <v>0</v>
      </c>
      <c r="X480" s="8">
        <v>1</v>
      </c>
      <c r="Y480" s="8">
        <v>0</v>
      </c>
      <c r="Z480" s="8">
        <v>0</v>
      </c>
      <c r="AA480" s="8">
        <v>0</v>
      </c>
      <c r="AB480" s="8">
        <v>0</v>
      </c>
      <c r="AC480" s="8">
        <v>0</v>
      </c>
    </row>
    <row r="481" spans="3:29" x14ac:dyDescent="0.25">
      <c r="C481" s="9" t="s">
        <v>621</v>
      </c>
      <c r="D481" s="8">
        <v>7</v>
      </c>
      <c r="E481" s="8">
        <v>4</v>
      </c>
      <c r="F481" s="8">
        <v>5</v>
      </c>
      <c r="G481" s="8">
        <v>1282</v>
      </c>
      <c r="H481" s="8">
        <v>7</v>
      </c>
      <c r="I481" s="8">
        <v>0</v>
      </c>
      <c r="J481" s="8">
        <v>0</v>
      </c>
      <c r="K481" s="8">
        <v>1</v>
      </c>
      <c r="L481" s="8">
        <v>0</v>
      </c>
      <c r="M481" s="8">
        <v>0</v>
      </c>
      <c r="N481" s="8">
        <v>1</v>
      </c>
      <c r="O481" s="8">
        <v>0</v>
      </c>
      <c r="P481" s="8">
        <v>0</v>
      </c>
      <c r="Q481" s="8">
        <v>0</v>
      </c>
      <c r="R481" s="8">
        <v>0</v>
      </c>
      <c r="S481" s="8">
        <v>1</v>
      </c>
      <c r="T481" s="8">
        <v>1</v>
      </c>
      <c r="U481" s="8">
        <v>0</v>
      </c>
      <c r="V481" s="8">
        <v>0</v>
      </c>
      <c r="W481" s="8">
        <v>0</v>
      </c>
      <c r="X481" s="8">
        <v>0</v>
      </c>
      <c r="Y481" s="8">
        <v>0</v>
      </c>
      <c r="Z481" s="8">
        <v>1</v>
      </c>
      <c r="AA481" s="8">
        <v>0</v>
      </c>
      <c r="AB481" s="8">
        <v>0</v>
      </c>
      <c r="AC481" s="8">
        <v>0</v>
      </c>
    </row>
    <row r="482" spans="3:29" x14ac:dyDescent="0.25">
      <c r="C482" s="9" t="s">
        <v>622</v>
      </c>
      <c r="D482" s="8">
        <v>43</v>
      </c>
      <c r="E482" s="8">
        <v>8</v>
      </c>
      <c r="F482" s="8">
        <v>4</v>
      </c>
      <c r="G482" s="8">
        <v>2884</v>
      </c>
      <c r="H482" s="8">
        <v>1</v>
      </c>
      <c r="I482" s="8">
        <v>0</v>
      </c>
      <c r="J482" s="8">
        <v>0</v>
      </c>
      <c r="K482" s="8">
        <v>1</v>
      </c>
      <c r="L482" s="8">
        <v>0</v>
      </c>
      <c r="M482" s="8">
        <v>0</v>
      </c>
      <c r="N482" s="8">
        <v>0</v>
      </c>
      <c r="O482" s="8">
        <v>1</v>
      </c>
      <c r="P482" s="8">
        <v>1</v>
      </c>
      <c r="Q482" s="8">
        <v>0</v>
      </c>
      <c r="R482" s="8">
        <v>1</v>
      </c>
      <c r="S482" s="8">
        <v>0</v>
      </c>
      <c r="T482" s="8">
        <v>0</v>
      </c>
      <c r="U482" s="8">
        <v>0</v>
      </c>
      <c r="V482" s="8">
        <v>1</v>
      </c>
      <c r="W482" s="8">
        <v>1</v>
      </c>
      <c r="X482" s="8">
        <v>0</v>
      </c>
      <c r="Y482" s="8">
        <v>0</v>
      </c>
      <c r="Z482" s="8">
        <v>0</v>
      </c>
      <c r="AA482" s="8">
        <v>0</v>
      </c>
      <c r="AB482" s="8">
        <v>0</v>
      </c>
      <c r="AC482" s="8">
        <v>0</v>
      </c>
    </row>
    <row r="483" spans="3:29" x14ac:dyDescent="0.25">
      <c r="C483" s="9" t="s">
        <v>623</v>
      </c>
      <c r="D483" s="8">
        <v>3</v>
      </c>
      <c r="E483" s="8">
        <v>0</v>
      </c>
      <c r="F483" s="8">
        <v>5</v>
      </c>
      <c r="G483" s="8">
        <v>188</v>
      </c>
      <c r="H483" s="8">
        <v>1</v>
      </c>
      <c r="I483" s="8">
        <v>0</v>
      </c>
      <c r="J483" s="8">
        <v>0</v>
      </c>
      <c r="K483" s="8">
        <v>1</v>
      </c>
      <c r="L483" s="8">
        <v>0</v>
      </c>
      <c r="M483" s="8">
        <v>0</v>
      </c>
      <c r="N483" s="8">
        <v>0</v>
      </c>
      <c r="O483" s="8">
        <v>1</v>
      </c>
      <c r="P483" s="8">
        <v>0</v>
      </c>
      <c r="Q483" s="8">
        <v>0</v>
      </c>
      <c r="R483" s="8">
        <v>1</v>
      </c>
      <c r="S483" s="8">
        <v>0</v>
      </c>
      <c r="T483" s="8">
        <v>0</v>
      </c>
      <c r="U483" s="8">
        <v>0</v>
      </c>
      <c r="V483" s="8">
        <v>1</v>
      </c>
      <c r="W483" s="8">
        <v>0</v>
      </c>
      <c r="X483" s="8">
        <v>0</v>
      </c>
      <c r="Y483" s="8">
        <v>0</v>
      </c>
      <c r="Z483" s="8">
        <v>0</v>
      </c>
      <c r="AA483" s="8">
        <v>0</v>
      </c>
      <c r="AB483" s="8">
        <v>1</v>
      </c>
      <c r="AC483" s="8">
        <v>0</v>
      </c>
    </row>
    <row r="484" spans="3:29" x14ac:dyDescent="0.25">
      <c r="C484" s="9" t="s">
        <v>624</v>
      </c>
      <c r="D484" s="8">
        <v>78</v>
      </c>
      <c r="E484" s="8">
        <v>17</v>
      </c>
      <c r="F484" s="8">
        <v>5</v>
      </c>
      <c r="G484" s="8">
        <v>1282</v>
      </c>
      <c r="H484" s="8">
        <v>5</v>
      </c>
      <c r="I484" s="8">
        <v>0</v>
      </c>
      <c r="J484" s="8">
        <v>1</v>
      </c>
      <c r="K484" s="8">
        <v>0</v>
      </c>
      <c r="L484" s="8">
        <v>0</v>
      </c>
      <c r="M484" s="8">
        <v>0</v>
      </c>
      <c r="N484" s="8">
        <v>0</v>
      </c>
      <c r="O484" s="8">
        <v>1</v>
      </c>
      <c r="P484" s="8">
        <v>0</v>
      </c>
      <c r="Q484" s="8">
        <v>0</v>
      </c>
      <c r="R484" s="8">
        <v>0</v>
      </c>
      <c r="S484" s="8">
        <v>1</v>
      </c>
      <c r="T484" s="8">
        <v>0</v>
      </c>
      <c r="U484" s="8">
        <v>0</v>
      </c>
      <c r="V484" s="8">
        <v>1</v>
      </c>
      <c r="W484" s="8">
        <v>0</v>
      </c>
      <c r="X484" s="8">
        <v>1</v>
      </c>
      <c r="Y484" s="8">
        <v>0</v>
      </c>
      <c r="Z484" s="8">
        <v>0</v>
      </c>
      <c r="AA484" s="8">
        <v>0</v>
      </c>
      <c r="AB484" s="8">
        <v>0</v>
      </c>
      <c r="AC484" s="8">
        <v>0</v>
      </c>
    </row>
    <row r="485" spans="3:29" x14ac:dyDescent="0.25">
      <c r="C485" s="9" t="s">
        <v>625</v>
      </c>
      <c r="D485" s="8">
        <v>20</v>
      </c>
      <c r="E485" s="8">
        <v>11</v>
      </c>
      <c r="F485" s="8">
        <v>5</v>
      </c>
      <c r="G485" s="8">
        <v>3025</v>
      </c>
      <c r="H485" s="8">
        <v>9</v>
      </c>
      <c r="I485" s="8">
        <v>0</v>
      </c>
      <c r="J485" s="8">
        <v>1</v>
      </c>
      <c r="K485" s="8">
        <v>0</v>
      </c>
      <c r="L485" s="8">
        <v>0</v>
      </c>
      <c r="M485" s="8">
        <v>0</v>
      </c>
      <c r="N485" s="8">
        <v>1</v>
      </c>
      <c r="O485" s="8">
        <v>0</v>
      </c>
      <c r="P485" s="8">
        <v>0</v>
      </c>
      <c r="Q485" s="8">
        <v>0</v>
      </c>
      <c r="R485" s="8">
        <v>0</v>
      </c>
      <c r="S485" s="8">
        <v>1</v>
      </c>
      <c r="T485" s="8">
        <v>0</v>
      </c>
      <c r="U485" s="8">
        <v>0</v>
      </c>
      <c r="V485" s="8">
        <v>1</v>
      </c>
      <c r="W485" s="8">
        <v>1</v>
      </c>
      <c r="X485" s="8">
        <v>0</v>
      </c>
      <c r="Y485" s="8">
        <v>0</v>
      </c>
      <c r="Z485" s="8">
        <v>0</v>
      </c>
      <c r="AA485" s="8">
        <v>0</v>
      </c>
      <c r="AB485" s="8">
        <v>0</v>
      </c>
      <c r="AC485" s="8">
        <v>0</v>
      </c>
    </row>
    <row r="486" spans="3:29" x14ac:dyDescent="0.25">
      <c r="C486" s="9" t="s">
        <v>626</v>
      </c>
      <c r="D486" s="8">
        <v>13</v>
      </c>
      <c r="E486" s="8">
        <v>3</v>
      </c>
      <c r="F486" s="8">
        <v>2</v>
      </c>
      <c r="G486" s="8">
        <v>3003</v>
      </c>
      <c r="H486" s="8">
        <v>1</v>
      </c>
      <c r="I486" s="8">
        <v>0</v>
      </c>
      <c r="J486" s="8">
        <v>0</v>
      </c>
      <c r="K486" s="8">
        <v>0</v>
      </c>
      <c r="L486" s="8">
        <v>1</v>
      </c>
      <c r="M486" s="8">
        <v>0</v>
      </c>
      <c r="N486" s="8">
        <v>0</v>
      </c>
      <c r="O486" s="8">
        <v>1</v>
      </c>
      <c r="P486" s="8">
        <v>0</v>
      </c>
      <c r="Q486" s="8">
        <v>0</v>
      </c>
      <c r="R486" s="8">
        <v>1</v>
      </c>
      <c r="S486" s="8">
        <v>0</v>
      </c>
      <c r="T486" s="8">
        <v>0</v>
      </c>
      <c r="U486" s="8">
        <v>0</v>
      </c>
      <c r="V486" s="8">
        <v>1</v>
      </c>
      <c r="W486" s="8">
        <v>0</v>
      </c>
      <c r="X486" s="8">
        <v>0</v>
      </c>
      <c r="Y486" s="8">
        <v>0</v>
      </c>
      <c r="Z486" s="8">
        <v>1</v>
      </c>
      <c r="AA486" s="8">
        <v>0</v>
      </c>
      <c r="AB486" s="8">
        <v>0</v>
      </c>
      <c r="AC486" s="8">
        <v>0</v>
      </c>
    </row>
    <row r="487" spans="3:29" x14ac:dyDescent="0.25">
      <c r="C487" s="9" t="s">
        <v>627</v>
      </c>
      <c r="D487" s="8">
        <v>25</v>
      </c>
      <c r="E487" s="8">
        <v>19</v>
      </c>
      <c r="F487" s="8">
        <v>3</v>
      </c>
      <c r="G487" s="8">
        <v>826</v>
      </c>
      <c r="H487" s="8">
        <v>8</v>
      </c>
      <c r="I487" s="8">
        <v>1</v>
      </c>
      <c r="J487" s="8">
        <v>0</v>
      </c>
      <c r="K487" s="8">
        <v>0</v>
      </c>
      <c r="L487" s="8">
        <v>0</v>
      </c>
      <c r="M487" s="8">
        <v>0</v>
      </c>
      <c r="N487" s="8">
        <v>0</v>
      </c>
      <c r="O487" s="8">
        <v>1</v>
      </c>
      <c r="P487" s="8">
        <v>0</v>
      </c>
      <c r="Q487" s="8">
        <v>0</v>
      </c>
      <c r="R487" s="8">
        <v>1</v>
      </c>
      <c r="S487" s="8">
        <v>0</v>
      </c>
      <c r="T487" s="8">
        <v>0</v>
      </c>
      <c r="U487" s="8">
        <v>0</v>
      </c>
      <c r="V487" s="8">
        <v>1</v>
      </c>
      <c r="W487" s="8">
        <v>0</v>
      </c>
      <c r="X487" s="8">
        <v>1</v>
      </c>
      <c r="Y487" s="8">
        <v>0</v>
      </c>
      <c r="Z487" s="8">
        <v>0</v>
      </c>
      <c r="AA487" s="8">
        <v>0</v>
      </c>
      <c r="AB487" s="8">
        <v>0</v>
      </c>
      <c r="AC487" s="8">
        <v>0</v>
      </c>
    </row>
    <row r="488" spans="3:29" x14ac:dyDescent="0.25">
      <c r="C488" s="9" t="s">
        <v>628</v>
      </c>
      <c r="D488" s="8">
        <v>21</v>
      </c>
      <c r="E488" s="8">
        <v>13</v>
      </c>
      <c r="F488" s="8">
        <v>5</v>
      </c>
      <c r="G488" s="8">
        <v>732</v>
      </c>
      <c r="H488" s="8">
        <v>5</v>
      </c>
      <c r="I488" s="8">
        <v>1</v>
      </c>
      <c r="J488" s="8">
        <v>0</v>
      </c>
      <c r="K488" s="8">
        <v>0</v>
      </c>
      <c r="L488" s="8">
        <v>0</v>
      </c>
      <c r="M488" s="8">
        <v>1</v>
      </c>
      <c r="N488" s="8">
        <v>0</v>
      </c>
      <c r="O488" s="8">
        <v>0</v>
      </c>
      <c r="P488" s="8">
        <v>0</v>
      </c>
      <c r="Q488" s="8">
        <v>1</v>
      </c>
      <c r="R488" s="8">
        <v>0</v>
      </c>
      <c r="S488" s="8">
        <v>0</v>
      </c>
      <c r="T488" s="8">
        <v>0</v>
      </c>
      <c r="U488" s="8">
        <v>0</v>
      </c>
      <c r="V488" s="8">
        <v>1</v>
      </c>
      <c r="W488" s="8">
        <v>0</v>
      </c>
      <c r="X488" s="8">
        <v>0</v>
      </c>
      <c r="Y488" s="8">
        <v>0</v>
      </c>
      <c r="Z488" s="8">
        <v>0</v>
      </c>
      <c r="AA488" s="8">
        <v>1</v>
      </c>
      <c r="AB488" s="8">
        <v>0</v>
      </c>
      <c r="AC488" s="8">
        <v>0</v>
      </c>
    </row>
    <row r="489" spans="3:29" x14ac:dyDescent="0.25">
      <c r="C489" s="9" t="s">
        <v>629</v>
      </c>
      <c r="D489" s="8">
        <v>26</v>
      </c>
      <c r="E489" s="8">
        <v>6</v>
      </c>
      <c r="F489" s="8">
        <v>5</v>
      </c>
      <c r="G489" s="8">
        <v>188</v>
      </c>
      <c r="H489" s="8">
        <v>1</v>
      </c>
      <c r="I489" s="8">
        <v>1</v>
      </c>
      <c r="J489" s="8">
        <v>0</v>
      </c>
      <c r="K489" s="8">
        <v>0</v>
      </c>
      <c r="L489" s="8">
        <v>0</v>
      </c>
      <c r="M489" s="8">
        <v>0</v>
      </c>
      <c r="N489" s="8">
        <v>1</v>
      </c>
      <c r="O489" s="8">
        <v>0</v>
      </c>
      <c r="P489" s="8">
        <v>0</v>
      </c>
      <c r="Q489" s="8">
        <v>0</v>
      </c>
      <c r="R489" s="8">
        <v>1</v>
      </c>
      <c r="S489" s="8">
        <v>0</v>
      </c>
      <c r="T489" s="8">
        <v>0</v>
      </c>
      <c r="U489" s="8">
        <v>0</v>
      </c>
      <c r="V489" s="8">
        <v>1</v>
      </c>
      <c r="W489" s="8">
        <v>0</v>
      </c>
      <c r="X489" s="8">
        <v>0</v>
      </c>
      <c r="Y489" s="8">
        <v>0</v>
      </c>
      <c r="Z489" s="8">
        <v>1</v>
      </c>
      <c r="AA489" s="8">
        <v>0</v>
      </c>
      <c r="AB489" s="8">
        <v>0</v>
      </c>
      <c r="AC489" s="8">
        <v>0</v>
      </c>
    </row>
    <row r="490" spans="3:29" x14ac:dyDescent="0.25">
      <c r="C490" s="9" t="s">
        <v>630</v>
      </c>
      <c r="D490" s="8">
        <v>20</v>
      </c>
      <c r="E490" s="8">
        <v>5</v>
      </c>
      <c r="F490" s="8">
        <v>3</v>
      </c>
      <c r="G490" s="8">
        <v>3981</v>
      </c>
      <c r="H490" s="8">
        <v>8</v>
      </c>
      <c r="I490" s="8">
        <v>0</v>
      </c>
      <c r="J490" s="8">
        <v>0</v>
      </c>
      <c r="K490" s="8">
        <v>0</v>
      </c>
      <c r="L490" s="8">
        <v>1</v>
      </c>
      <c r="M490" s="8">
        <v>0</v>
      </c>
      <c r="N490" s="8">
        <v>0</v>
      </c>
      <c r="O490" s="8">
        <v>1</v>
      </c>
      <c r="P490" s="8">
        <v>0</v>
      </c>
      <c r="Q490" s="8">
        <v>1</v>
      </c>
      <c r="R490" s="8">
        <v>0</v>
      </c>
      <c r="S490" s="8">
        <v>0</v>
      </c>
      <c r="T490" s="8">
        <v>0</v>
      </c>
      <c r="U490" s="8">
        <v>0</v>
      </c>
      <c r="V490" s="8">
        <v>1</v>
      </c>
      <c r="W490" s="8">
        <v>0</v>
      </c>
      <c r="X490" s="8">
        <v>0</v>
      </c>
      <c r="Y490" s="8">
        <v>1</v>
      </c>
      <c r="Z490" s="8">
        <v>0</v>
      </c>
      <c r="AA490" s="8">
        <v>0</v>
      </c>
      <c r="AB490" s="8">
        <v>0</v>
      </c>
      <c r="AC490" s="8">
        <v>0</v>
      </c>
    </row>
    <row r="491" spans="3:29" x14ac:dyDescent="0.25">
      <c r="C491" s="9" t="s">
        <v>631</v>
      </c>
      <c r="D491" s="8">
        <v>12</v>
      </c>
      <c r="E491" s="8">
        <v>12</v>
      </c>
      <c r="F491" s="8">
        <v>3</v>
      </c>
      <c r="G491" s="8">
        <v>716</v>
      </c>
      <c r="H491" s="8">
        <v>4</v>
      </c>
      <c r="I491" s="8">
        <v>1</v>
      </c>
      <c r="J491" s="8">
        <v>0</v>
      </c>
      <c r="K491" s="8">
        <v>0</v>
      </c>
      <c r="L491" s="8">
        <v>0</v>
      </c>
      <c r="M491" s="8">
        <v>1</v>
      </c>
      <c r="N491" s="8">
        <v>0</v>
      </c>
      <c r="O491" s="8">
        <v>0</v>
      </c>
      <c r="P491" s="8">
        <v>1</v>
      </c>
      <c r="Q491" s="8">
        <v>1</v>
      </c>
      <c r="R491" s="8">
        <v>0</v>
      </c>
      <c r="S491" s="8">
        <v>0</v>
      </c>
      <c r="T491" s="8">
        <v>0</v>
      </c>
      <c r="U491" s="8">
        <v>1</v>
      </c>
      <c r="V491" s="8">
        <v>0</v>
      </c>
      <c r="W491" s="8">
        <v>1</v>
      </c>
      <c r="X491" s="8">
        <v>0</v>
      </c>
      <c r="Y491" s="8">
        <v>0</v>
      </c>
      <c r="Z491" s="8">
        <v>0</v>
      </c>
      <c r="AA491" s="8">
        <v>0</v>
      </c>
      <c r="AB491" s="8">
        <v>0</v>
      </c>
      <c r="AC491" s="8">
        <v>0</v>
      </c>
    </row>
    <row r="492" spans="3:29" x14ac:dyDescent="0.25">
      <c r="C492" s="9" t="s">
        <v>632</v>
      </c>
      <c r="D492" s="8">
        <v>113</v>
      </c>
      <c r="E492" s="8">
        <v>48</v>
      </c>
      <c r="F492" s="8">
        <v>3</v>
      </c>
      <c r="G492" s="8">
        <v>315</v>
      </c>
      <c r="H492" s="8">
        <v>4</v>
      </c>
      <c r="I492" s="8">
        <v>0</v>
      </c>
      <c r="J492" s="8">
        <v>0</v>
      </c>
      <c r="K492" s="8">
        <v>1</v>
      </c>
      <c r="L492" s="8">
        <v>0</v>
      </c>
      <c r="M492" s="8">
        <v>0</v>
      </c>
      <c r="N492" s="8">
        <v>1</v>
      </c>
      <c r="O492" s="8">
        <v>0</v>
      </c>
      <c r="P492" s="8">
        <v>0</v>
      </c>
      <c r="Q492" s="8">
        <v>1</v>
      </c>
      <c r="R492" s="8">
        <v>0</v>
      </c>
      <c r="S492" s="8">
        <v>0</v>
      </c>
      <c r="T492" s="8">
        <v>0</v>
      </c>
      <c r="U492" s="8">
        <v>0</v>
      </c>
      <c r="V492" s="8">
        <v>1</v>
      </c>
      <c r="W492" s="8">
        <v>0</v>
      </c>
      <c r="X492" s="8">
        <v>0</v>
      </c>
      <c r="Y492" s="8">
        <v>0</v>
      </c>
      <c r="Z492" s="8">
        <v>1</v>
      </c>
      <c r="AA492" s="8">
        <v>0</v>
      </c>
      <c r="AB492" s="8">
        <v>0</v>
      </c>
      <c r="AC492" s="8">
        <v>0</v>
      </c>
    </row>
    <row r="493" spans="3:29" x14ac:dyDescent="0.25">
      <c r="C493" s="9" t="s">
        <v>633</v>
      </c>
      <c r="D493" s="8">
        <v>16</v>
      </c>
      <c r="E493" s="8">
        <v>10</v>
      </c>
      <c r="F493" s="8">
        <v>5</v>
      </c>
      <c r="G493" s="8">
        <v>4027</v>
      </c>
      <c r="H493" s="8">
        <v>9</v>
      </c>
      <c r="I493" s="8">
        <v>1</v>
      </c>
      <c r="J493" s="8">
        <v>0</v>
      </c>
      <c r="K493" s="8">
        <v>0</v>
      </c>
      <c r="L493" s="8">
        <v>0</v>
      </c>
      <c r="M493" s="8">
        <v>0</v>
      </c>
      <c r="N493" s="8">
        <v>1</v>
      </c>
      <c r="O493" s="8">
        <v>0</v>
      </c>
      <c r="P493" s="8">
        <v>0</v>
      </c>
      <c r="Q493" s="8">
        <v>0</v>
      </c>
      <c r="R493" s="8">
        <v>0</v>
      </c>
      <c r="S493" s="8">
        <v>1</v>
      </c>
      <c r="T493" s="8">
        <v>1</v>
      </c>
      <c r="U493" s="8">
        <v>0</v>
      </c>
      <c r="V493" s="8">
        <v>0</v>
      </c>
      <c r="W493" s="8">
        <v>0</v>
      </c>
      <c r="X493" s="8">
        <v>0</v>
      </c>
      <c r="Y493" s="8">
        <v>0</v>
      </c>
      <c r="Z493" s="8">
        <v>0</v>
      </c>
      <c r="AA493" s="8">
        <v>1</v>
      </c>
      <c r="AB493" s="8">
        <v>0</v>
      </c>
      <c r="AC493" s="8">
        <v>0</v>
      </c>
    </row>
    <row r="494" spans="3:29" x14ac:dyDescent="0.25">
      <c r="C494" s="9" t="s">
        <v>634</v>
      </c>
      <c r="D494" s="8">
        <v>5</v>
      </c>
      <c r="E494" s="8">
        <v>5</v>
      </c>
      <c r="F494" s="8">
        <v>5</v>
      </c>
      <c r="G494" s="8">
        <v>2034</v>
      </c>
      <c r="H494" s="8">
        <v>5</v>
      </c>
      <c r="I494" s="8">
        <v>0</v>
      </c>
      <c r="J494" s="8">
        <v>0</v>
      </c>
      <c r="K494" s="8">
        <v>0</v>
      </c>
      <c r="L494" s="8">
        <v>1</v>
      </c>
      <c r="M494" s="8">
        <v>0</v>
      </c>
      <c r="N494" s="8">
        <v>0</v>
      </c>
      <c r="O494" s="8">
        <v>1</v>
      </c>
      <c r="P494" s="8">
        <v>0</v>
      </c>
      <c r="Q494" s="8">
        <v>0</v>
      </c>
      <c r="R494" s="8">
        <v>0</v>
      </c>
      <c r="S494" s="8">
        <v>1</v>
      </c>
      <c r="T494" s="8">
        <v>0</v>
      </c>
      <c r="U494" s="8">
        <v>0</v>
      </c>
      <c r="V494" s="8">
        <v>1</v>
      </c>
      <c r="W494" s="8">
        <v>0</v>
      </c>
      <c r="X494" s="8">
        <v>0</v>
      </c>
      <c r="Y494" s="8">
        <v>0</v>
      </c>
      <c r="Z494" s="8">
        <v>1</v>
      </c>
      <c r="AA494" s="8">
        <v>0</v>
      </c>
      <c r="AB494" s="8">
        <v>0</v>
      </c>
      <c r="AC494" s="8">
        <v>0</v>
      </c>
    </row>
    <row r="495" spans="3:29" x14ac:dyDescent="0.25">
      <c r="C495" s="9" t="s">
        <v>635</v>
      </c>
      <c r="D495" s="8">
        <v>29</v>
      </c>
      <c r="E495" s="8">
        <v>7</v>
      </c>
      <c r="F495" s="8">
        <v>5</v>
      </c>
      <c r="G495" s="8">
        <v>4027</v>
      </c>
      <c r="H495" s="8">
        <v>7</v>
      </c>
      <c r="I495" s="8">
        <v>0</v>
      </c>
      <c r="J495" s="8">
        <v>0</v>
      </c>
      <c r="K495" s="8">
        <v>0</v>
      </c>
      <c r="L495" s="8">
        <v>1</v>
      </c>
      <c r="M495" s="8">
        <v>0</v>
      </c>
      <c r="N495" s="8">
        <v>0</v>
      </c>
      <c r="O495" s="8">
        <v>1</v>
      </c>
      <c r="P495" s="8">
        <v>0</v>
      </c>
      <c r="Q495" s="8">
        <v>0</v>
      </c>
      <c r="R495" s="8">
        <v>0</v>
      </c>
      <c r="S495" s="8">
        <v>1</v>
      </c>
      <c r="T495" s="8">
        <v>0</v>
      </c>
      <c r="U495" s="8">
        <v>1</v>
      </c>
      <c r="V495" s="8">
        <v>0</v>
      </c>
      <c r="W495" s="8">
        <v>0</v>
      </c>
      <c r="X495" s="8">
        <v>0</v>
      </c>
      <c r="Y495" s="8">
        <v>0</v>
      </c>
      <c r="Z495" s="8">
        <v>0</v>
      </c>
      <c r="AA495" s="8">
        <v>1</v>
      </c>
      <c r="AB495" s="8">
        <v>0</v>
      </c>
      <c r="AC495" s="8">
        <v>0</v>
      </c>
    </row>
    <row r="496" spans="3:29" x14ac:dyDescent="0.25">
      <c r="C496" s="9" t="s">
        <v>636</v>
      </c>
      <c r="D496" s="8">
        <v>30</v>
      </c>
      <c r="E496" s="8">
        <v>12</v>
      </c>
      <c r="F496" s="8">
        <v>5</v>
      </c>
      <c r="G496" s="8">
        <v>3981</v>
      </c>
      <c r="H496" s="8">
        <v>8</v>
      </c>
      <c r="I496" s="8">
        <v>1</v>
      </c>
      <c r="J496" s="8">
        <v>0</v>
      </c>
      <c r="K496" s="8">
        <v>0</v>
      </c>
      <c r="L496" s="8">
        <v>0</v>
      </c>
      <c r="M496" s="8">
        <v>0</v>
      </c>
      <c r="N496" s="8">
        <v>0</v>
      </c>
      <c r="O496" s="8">
        <v>1</v>
      </c>
      <c r="P496" s="8">
        <v>0</v>
      </c>
      <c r="Q496" s="8">
        <v>1</v>
      </c>
      <c r="R496" s="8">
        <v>0</v>
      </c>
      <c r="S496" s="8">
        <v>0</v>
      </c>
      <c r="T496" s="8">
        <v>0</v>
      </c>
      <c r="U496" s="8">
        <v>0</v>
      </c>
      <c r="V496" s="8">
        <v>1</v>
      </c>
      <c r="W496" s="8">
        <v>1</v>
      </c>
      <c r="X496" s="8">
        <v>0</v>
      </c>
      <c r="Y496" s="8">
        <v>0</v>
      </c>
      <c r="Z496" s="8">
        <v>0</v>
      </c>
      <c r="AA496" s="8">
        <v>0</v>
      </c>
      <c r="AB496" s="8">
        <v>0</v>
      </c>
      <c r="AC496" s="8">
        <v>0</v>
      </c>
    </row>
    <row r="497" spans="3:29" x14ac:dyDescent="0.25">
      <c r="C497" s="9" t="s">
        <v>637</v>
      </c>
      <c r="D497" s="8">
        <v>10</v>
      </c>
      <c r="E497" s="8">
        <v>6</v>
      </c>
      <c r="F497" s="8">
        <v>5</v>
      </c>
      <c r="G497" s="8">
        <v>2700</v>
      </c>
      <c r="H497" s="8">
        <v>5</v>
      </c>
      <c r="I497" s="8">
        <v>1</v>
      </c>
      <c r="J497" s="8">
        <v>0</v>
      </c>
      <c r="K497" s="8">
        <v>0</v>
      </c>
      <c r="L497" s="8">
        <v>0</v>
      </c>
      <c r="M497" s="8">
        <v>0</v>
      </c>
      <c r="N497" s="8">
        <v>0</v>
      </c>
      <c r="O497" s="8">
        <v>1</v>
      </c>
      <c r="P497" s="8">
        <v>1</v>
      </c>
      <c r="Q497" s="8">
        <v>0</v>
      </c>
      <c r="R497" s="8">
        <v>0</v>
      </c>
      <c r="S497" s="8">
        <v>1</v>
      </c>
      <c r="T497" s="8">
        <v>0</v>
      </c>
      <c r="U497" s="8">
        <v>1</v>
      </c>
      <c r="V497" s="8">
        <v>0</v>
      </c>
      <c r="W497" s="8">
        <v>0</v>
      </c>
      <c r="X497" s="8">
        <v>0</v>
      </c>
      <c r="Y497" s="8">
        <v>0</v>
      </c>
      <c r="Z497" s="8">
        <v>0</v>
      </c>
      <c r="AA497" s="8">
        <v>0</v>
      </c>
      <c r="AB497" s="8">
        <v>1</v>
      </c>
      <c r="AC497" s="8">
        <v>0</v>
      </c>
    </row>
    <row r="498" spans="3:29" x14ac:dyDescent="0.25">
      <c r="C498" s="9" t="s">
        <v>638</v>
      </c>
      <c r="D498" s="8">
        <v>10</v>
      </c>
      <c r="E498" s="8">
        <v>6</v>
      </c>
      <c r="F498" s="8">
        <v>5</v>
      </c>
      <c r="G498" s="8">
        <v>1467</v>
      </c>
      <c r="H498" s="8">
        <v>4</v>
      </c>
      <c r="I498" s="8">
        <v>1</v>
      </c>
      <c r="J498" s="8">
        <v>0</v>
      </c>
      <c r="K498" s="8">
        <v>0</v>
      </c>
      <c r="L498" s="8">
        <v>0</v>
      </c>
      <c r="M498" s="8">
        <v>0</v>
      </c>
      <c r="N498" s="8">
        <v>0</v>
      </c>
      <c r="O498" s="8">
        <v>1</v>
      </c>
      <c r="P498" s="8">
        <v>1</v>
      </c>
      <c r="Q498" s="8">
        <v>0</v>
      </c>
      <c r="R498" s="8">
        <v>1</v>
      </c>
      <c r="S498" s="8">
        <v>0</v>
      </c>
      <c r="T498" s="8">
        <v>0</v>
      </c>
      <c r="U498" s="8">
        <v>1</v>
      </c>
      <c r="V498" s="8">
        <v>0</v>
      </c>
      <c r="W498" s="8">
        <v>0</v>
      </c>
      <c r="X498" s="8">
        <v>0</v>
      </c>
      <c r="Y498" s="8">
        <v>1</v>
      </c>
      <c r="Z498" s="8">
        <v>0</v>
      </c>
      <c r="AA498" s="8">
        <v>0</v>
      </c>
      <c r="AB498" s="8">
        <v>0</v>
      </c>
      <c r="AC498" s="8">
        <v>0</v>
      </c>
    </row>
    <row r="499" spans="3:29" x14ac:dyDescent="0.25">
      <c r="C499" s="9" t="s">
        <v>639</v>
      </c>
      <c r="D499" s="8">
        <v>12</v>
      </c>
      <c r="E499" s="8">
        <v>3</v>
      </c>
      <c r="F499" s="8">
        <v>5</v>
      </c>
      <c r="G499" s="8">
        <v>1467</v>
      </c>
      <c r="H499" s="8">
        <v>4</v>
      </c>
      <c r="I499" s="8">
        <v>1</v>
      </c>
      <c r="J499" s="8">
        <v>0</v>
      </c>
      <c r="K499" s="8">
        <v>0</v>
      </c>
      <c r="L499" s="8">
        <v>0</v>
      </c>
      <c r="M499" s="8">
        <v>0</v>
      </c>
      <c r="N499" s="8">
        <v>1</v>
      </c>
      <c r="O499" s="8">
        <v>0</v>
      </c>
      <c r="P499" s="8">
        <v>1</v>
      </c>
      <c r="Q499" s="8">
        <v>0</v>
      </c>
      <c r="R499" s="8">
        <v>1</v>
      </c>
      <c r="S499" s="8">
        <v>0</v>
      </c>
      <c r="T499" s="8">
        <v>0</v>
      </c>
      <c r="U499" s="8">
        <v>1</v>
      </c>
      <c r="V499" s="8">
        <v>0</v>
      </c>
      <c r="W499" s="8">
        <v>0</v>
      </c>
      <c r="X499" s="8">
        <v>0</v>
      </c>
      <c r="Y499" s="8">
        <v>0</v>
      </c>
      <c r="Z499" s="8">
        <v>0</v>
      </c>
      <c r="AA499" s="8">
        <v>1</v>
      </c>
      <c r="AB499" s="8">
        <v>0</v>
      </c>
      <c r="AC499" s="8">
        <v>0</v>
      </c>
    </row>
    <row r="500" spans="3:29" x14ac:dyDescent="0.25">
      <c r="C500" s="9" t="s">
        <v>640</v>
      </c>
      <c r="D500" s="8">
        <v>56</v>
      </c>
      <c r="E500" s="8">
        <v>18</v>
      </c>
      <c r="F500" s="8">
        <v>5</v>
      </c>
      <c r="G500" s="8">
        <v>315</v>
      </c>
      <c r="H500" s="8">
        <v>4</v>
      </c>
      <c r="I500" s="8">
        <v>0</v>
      </c>
      <c r="J500" s="8">
        <v>0</v>
      </c>
      <c r="K500" s="8">
        <v>0</v>
      </c>
      <c r="L500" s="8">
        <v>1</v>
      </c>
      <c r="M500" s="8">
        <v>1</v>
      </c>
      <c r="N500" s="8">
        <v>0</v>
      </c>
      <c r="O500" s="8">
        <v>0</v>
      </c>
      <c r="P500" s="8">
        <v>0</v>
      </c>
      <c r="Q500" s="8">
        <v>1</v>
      </c>
      <c r="R500" s="8">
        <v>0</v>
      </c>
      <c r="S500" s="8">
        <v>0</v>
      </c>
      <c r="T500" s="8">
        <v>0</v>
      </c>
      <c r="U500" s="8">
        <v>0</v>
      </c>
      <c r="V500" s="8">
        <v>1</v>
      </c>
      <c r="W500" s="8">
        <v>0</v>
      </c>
      <c r="X500" s="8">
        <v>0</v>
      </c>
      <c r="Y500" s="8">
        <v>1</v>
      </c>
      <c r="Z500" s="8">
        <v>0</v>
      </c>
      <c r="AA500" s="8">
        <v>0</v>
      </c>
      <c r="AB500" s="8">
        <v>0</v>
      </c>
      <c r="AC500" s="8">
        <v>0</v>
      </c>
    </row>
    <row r="501" spans="3:29" x14ac:dyDescent="0.25">
      <c r="C501" s="9" t="s">
        <v>641</v>
      </c>
      <c r="D501" s="8">
        <v>9</v>
      </c>
      <c r="E501" s="8">
        <v>3</v>
      </c>
      <c r="F501" s="8">
        <v>5</v>
      </c>
      <c r="G501" s="8">
        <v>2034</v>
      </c>
      <c r="H501" s="8">
        <v>1</v>
      </c>
      <c r="I501" s="8">
        <v>0</v>
      </c>
      <c r="J501" s="8">
        <v>1</v>
      </c>
      <c r="K501" s="8">
        <v>0</v>
      </c>
      <c r="L501" s="8">
        <v>0</v>
      </c>
      <c r="M501" s="8">
        <v>0</v>
      </c>
      <c r="N501" s="8">
        <v>1</v>
      </c>
      <c r="O501" s="8">
        <v>0</v>
      </c>
      <c r="P501" s="8">
        <v>0</v>
      </c>
      <c r="Q501" s="8">
        <v>0</v>
      </c>
      <c r="R501" s="8">
        <v>0</v>
      </c>
      <c r="S501" s="8">
        <v>1</v>
      </c>
      <c r="T501" s="8">
        <v>0</v>
      </c>
      <c r="U501" s="8">
        <v>1</v>
      </c>
      <c r="V501" s="8">
        <v>0</v>
      </c>
      <c r="W501" s="8">
        <v>0</v>
      </c>
      <c r="X501" s="8">
        <v>0</v>
      </c>
      <c r="Y501" s="8">
        <v>0</v>
      </c>
      <c r="Z501" s="8">
        <v>0</v>
      </c>
      <c r="AA501" s="8">
        <v>1</v>
      </c>
      <c r="AB501" s="8">
        <v>0</v>
      </c>
      <c r="AC501" s="8">
        <v>0</v>
      </c>
    </row>
    <row r="502" spans="3:29" x14ac:dyDescent="0.25">
      <c r="C502" s="9" t="s">
        <v>642</v>
      </c>
      <c r="D502" s="8">
        <v>20</v>
      </c>
      <c r="E502" s="8">
        <v>16</v>
      </c>
      <c r="F502" s="8">
        <v>4</v>
      </c>
      <c r="G502" s="8">
        <v>1228</v>
      </c>
      <c r="H502" s="8">
        <v>7</v>
      </c>
      <c r="I502" s="8">
        <v>1</v>
      </c>
      <c r="J502" s="8">
        <v>0</v>
      </c>
      <c r="K502" s="8">
        <v>0</v>
      </c>
      <c r="L502" s="8">
        <v>0</v>
      </c>
      <c r="M502" s="8">
        <v>0</v>
      </c>
      <c r="N502" s="8">
        <v>0</v>
      </c>
      <c r="O502" s="8">
        <v>1</v>
      </c>
      <c r="P502" s="8">
        <v>0</v>
      </c>
      <c r="Q502" s="8">
        <v>1</v>
      </c>
      <c r="R502" s="8">
        <v>0</v>
      </c>
      <c r="S502" s="8">
        <v>0</v>
      </c>
      <c r="T502" s="8">
        <v>1</v>
      </c>
      <c r="U502" s="8">
        <v>0</v>
      </c>
      <c r="V502" s="8">
        <v>0</v>
      </c>
      <c r="W502" s="8">
        <v>0</v>
      </c>
      <c r="X502" s="8">
        <v>0</v>
      </c>
      <c r="Y502" s="8">
        <v>0</v>
      </c>
      <c r="Z502" s="8">
        <v>0</v>
      </c>
      <c r="AA502" s="8">
        <v>0</v>
      </c>
      <c r="AB502" s="8">
        <v>1</v>
      </c>
      <c r="AC502" s="8">
        <v>0</v>
      </c>
    </row>
  </sheetData>
  <mergeCells count="27">
    <mergeCell ref="B4:C4"/>
    <mergeCell ref="D4:E4"/>
    <mergeCell ref="F4:G4"/>
    <mergeCell ref="B3:G3"/>
    <mergeCell ref="J3:M3"/>
    <mergeCell ref="C24:E24"/>
    <mergeCell ref="C25:E25"/>
    <mergeCell ref="C26:E26"/>
    <mergeCell ref="F23:I23"/>
    <mergeCell ref="F24:I24"/>
    <mergeCell ref="F25:I25"/>
    <mergeCell ref="F26:I26"/>
    <mergeCell ref="C18:AE18"/>
    <mergeCell ref="C19:E19"/>
    <mergeCell ref="C20:E20"/>
    <mergeCell ref="F19:AE19"/>
    <mergeCell ref="C22:I22"/>
    <mergeCell ref="C23:E23"/>
    <mergeCell ref="C12:I12"/>
    <mergeCell ref="C13:E13"/>
    <mergeCell ref="C14:E14"/>
    <mergeCell ref="C15:E15"/>
    <mergeCell ref="C16:E16"/>
    <mergeCell ref="F13:I13"/>
    <mergeCell ref="F14:I14"/>
    <mergeCell ref="F15:I15"/>
    <mergeCell ref="F16:I16"/>
  </mergeCells>
  <hyperlinks>
    <hyperlink ref="B4" location="'STDPartition'!$B$10:$B$10" display="Inputs" xr:uid="{06CEED36-8F05-47C3-A46A-31AAFD8E3C78}"/>
    <hyperlink ref="D4" location="'STDPartition'!$B$28:$B$28" display="Partition Summary" xr:uid="{6EB8650C-CCA0-48A2-8B80-E84D5FF1B7AE}"/>
    <hyperlink ref="F4" location="'STDPartition'!$B$34:$B$34" display="Partitioned Data" xr:uid="{F39948A5-D3DC-42DD-93C0-1403E71BA702}"/>
  </hyperlinks>
  <pageMargins left="0.7" right="0.7" top="0.75" bottom="0.75" header="0.3" footer="0.3"/>
  <tableParts count="2">
    <tablePart r:id="rId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99698-B2FA-4BBC-AB40-DD78B0877179}">
  <sheetPr codeName="Sheet8">
    <tabColor rgb="FF7030A0"/>
  </sheetPr>
  <dimension ref="B1:CV78"/>
  <sheetViews>
    <sheetView showGridLines="0" topLeftCell="A49" workbookViewId="0">
      <selection activeCell="E84" sqref="E84:N86"/>
    </sheetView>
  </sheetViews>
  <sheetFormatPr defaultRowHeight="15" x14ac:dyDescent="0.25"/>
  <cols>
    <col min="3" max="3" width="31" bestFit="1" customWidth="1"/>
    <col min="4" max="4" width="11.42578125" customWidth="1"/>
    <col min="5" max="5" width="27" customWidth="1"/>
    <col min="6" max="6" width="27.140625" customWidth="1"/>
    <col min="7" max="7" width="15.7109375" customWidth="1"/>
    <col min="8" max="8" width="11.85546875" customWidth="1"/>
    <col min="9" max="9" width="10.140625" customWidth="1"/>
    <col min="14" max="14" width="15.5703125" bestFit="1" customWidth="1"/>
  </cols>
  <sheetData>
    <row r="1" spans="2:100" ht="18.75" x14ac:dyDescent="0.3">
      <c r="B1" s="6" t="s">
        <v>734</v>
      </c>
      <c r="N1" t="s">
        <v>955</v>
      </c>
      <c r="CV1" s="12" t="s">
        <v>748</v>
      </c>
    </row>
    <row r="3" spans="2:100" ht="15.75" x14ac:dyDescent="0.25">
      <c r="B3" s="13" t="s">
        <v>147</v>
      </c>
      <c r="C3" s="14"/>
      <c r="D3" s="14"/>
      <c r="E3" s="14"/>
      <c r="F3" s="14"/>
      <c r="G3" s="14"/>
      <c r="H3" s="14"/>
      <c r="I3" s="14"/>
      <c r="J3" s="14"/>
      <c r="K3" s="15"/>
      <c r="N3" s="13" t="s">
        <v>148</v>
      </c>
      <c r="O3" s="14"/>
      <c r="P3" s="14"/>
      <c r="Q3" s="15"/>
    </row>
    <row r="4" spans="2:100" x14ac:dyDescent="0.25">
      <c r="B4" s="25" t="s">
        <v>153</v>
      </c>
      <c r="C4" s="21"/>
      <c r="D4" s="25" t="s">
        <v>720</v>
      </c>
      <c r="E4" s="21"/>
      <c r="F4" s="25" t="s">
        <v>721</v>
      </c>
      <c r="G4" s="21"/>
      <c r="H4" s="25" t="s">
        <v>722</v>
      </c>
      <c r="I4" s="21"/>
      <c r="J4" s="25" t="s">
        <v>645</v>
      </c>
      <c r="K4" s="21"/>
      <c r="N4" s="11" t="s">
        <v>149</v>
      </c>
      <c r="O4" s="11" t="s">
        <v>150</v>
      </c>
      <c r="P4" s="11" t="s">
        <v>151</v>
      </c>
      <c r="Q4" s="11" t="s">
        <v>152</v>
      </c>
    </row>
    <row r="5" spans="2:100" x14ac:dyDescent="0.25">
      <c r="B5" s="25" t="s">
        <v>723</v>
      </c>
      <c r="C5" s="21"/>
      <c r="D5" s="25" t="s">
        <v>830</v>
      </c>
      <c r="E5" s="21"/>
      <c r="F5" s="25" t="s">
        <v>724</v>
      </c>
      <c r="G5" s="21"/>
      <c r="H5" s="25" t="s">
        <v>831</v>
      </c>
      <c r="I5" s="21"/>
      <c r="J5" s="19"/>
      <c r="K5" s="21"/>
      <c r="N5" s="10">
        <v>16</v>
      </c>
      <c r="O5" s="10">
        <v>2</v>
      </c>
      <c r="P5" s="10">
        <v>10</v>
      </c>
      <c r="Q5" s="10">
        <v>28</v>
      </c>
    </row>
    <row r="10" spans="2:100" ht="18.75" x14ac:dyDescent="0.3">
      <c r="B10" s="7" t="s">
        <v>153</v>
      </c>
    </row>
    <row r="12" spans="2:100" ht="15.75" x14ac:dyDescent="0.25">
      <c r="C12" s="13" t="s">
        <v>154</v>
      </c>
      <c r="D12" s="14"/>
      <c r="E12" s="14"/>
      <c r="F12" s="14"/>
      <c r="G12" s="14"/>
      <c r="H12" s="14"/>
      <c r="I12" s="14"/>
      <c r="J12" s="14"/>
      <c r="K12" s="15"/>
    </row>
    <row r="13" spans="2:100" x14ac:dyDescent="0.25">
      <c r="C13" s="16" t="s">
        <v>155</v>
      </c>
      <c r="D13" s="17"/>
      <c r="E13" s="17"/>
      <c r="F13" s="18"/>
      <c r="G13" s="22" t="s">
        <v>878</v>
      </c>
      <c r="H13" s="23"/>
      <c r="I13" s="23"/>
      <c r="J13" s="23"/>
      <c r="K13" s="24"/>
    </row>
    <row r="14" spans="2:100" x14ac:dyDescent="0.25">
      <c r="C14" s="16" t="s">
        <v>157</v>
      </c>
      <c r="D14" s="17"/>
      <c r="E14" s="17"/>
      <c r="F14" s="18"/>
      <c r="G14" s="22" t="s">
        <v>819</v>
      </c>
      <c r="H14" s="23"/>
      <c r="I14" s="23"/>
      <c r="J14" s="23"/>
      <c r="K14" s="24"/>
    </row>
    <row r="15" spans="2:100" x14ac:dyDescent="0.25">
      <c r="C15" s="16" t="s">
        <v>735</v>
      </c>
      <c r="D15" s="17"/>
      <c r="E15" s="17"/>
      <c r="F15" s="18"/>
      <c r="G15" s="22" t="s">
        <v>820</v>
      </c>
      <c r="H15" s="23"/>
      <c r="I15" s="23"/>
      <c r="J15" s="23"/>
      <c r="K15" s="24"/>
    </row>
    <row r="16" spans="2:100" x14ac:dyDescent="0.25">
      <c r="C16" s="16" t="s">
        <v>736</v>
      </c>
      <c r="D16" s="17"/>
      <c r="E16" s="17"/>
      <c r="F16" s="18"/>
      <c r="G16" s="22">
        <v>373</v>
      </c>
      <c r="H16" s="23"/>
      <c r="I16" s="23"/>
      <c r="J16" s="23"/>
      <c r="K16" s="24"/>
    </row>
    <row r="17" spans="3:11" x14ac:dyDescent="0.25">
      <c r="C17" s="16" t="s">
        <v>737</v>
      </c>
      <c r="D17" s="17"/>
      <c r="E17" s="17"/>
      <c r="F17" s="18"/>
      <c r="G17" s="22" t="s">
        <v>821</v>
      </c>
      <c r="H17" s="23"/>
      <c r="I17" s="23"/>
      <c r="J17" s="23"/>
      <c r="K17" s="24"/>
    </row>
    <row r="18" spans="3:11" x14ac:dyDescent="0.25">
      <c r="C18" s="16" t="s">
        <v>738</v>
      </c>
      <c r="D18" s="17"/>
      <c r="E18" s="17"/>
      <c r="F18" s="18"/>
      <c r="G18" s="22">
        <v>93</v>
      </c>
      <c r="H18" s="23"/>
      <c r="I18" s="23"/>
      <c r="J18" s="23"/>
      <c r="K18" s="24"/>
    </row>
    <row r="20" spans="3:11" ht="15.75" x14ac:dyDescent="0.25">
      <c r="C20" s="13" t="s">
        <v>161</v>
      </c>
      <c r="D20" s="14"/>
      <c r="E20" s="14"/>
      <c r="F20" s="14"/>
      <c r="G20" s="14"/>
      <c r="H20" s="15"/>
    </row>
    <row r="21" spans="3:11" x14ac:dyDescent="0.25">
      <c r="C21" s="16" t="s">
        <v>739</v>
      </c>
      <c r="D21" s="18"/>
      <c r="E21" s="22">
        <v>4</v>
      </c>
      <c r="F21" s="23"/>
      <c r="G21" s="23"/>
      <c r="H21" s="24"/>
    </row>
    <row r="22" spans="3:11" x14ac:dyDescent="0.25">
      <c r="C22" s="16" t="s">
        <v>740</v>
      </c>
      <c r="D22" s="18"/>
      <c r="E22" s="10" t="s">
        <v>15</v>
      </c>
      <c r="F22" s="10" t="s">
        <v>139</v>
      </c>
      <c r="G22" s="10" t="s">
        <v>140</v>
      </c>
      <c r="H22" s="10" t="s">
        <v>141</v>
      </c>
    </row>
    <row r="23" spans="3:11" x14ac:dyDescent="0.25">
      <c r="C23" s="16" t="s">
        <v>741</v>
      </c>
      <c r="D23" s="18"/>
      <c r="E23" s="10"/>
      <c r="F23" s="10"/>
      <c r="G23" s="10"/>
      <c r="H23" s="10"/>
    </row>
    <row r="24" spans="3:11" x14ac:dyDescent="0.25">
      <c r="C24" s="16" t="s">
        <v>742</v>
      </c>
      <c r="D24" s="18"/>
      <c r="E24" s="19" t="s">
        <v>4</v>
      </c>
      <c r="F24" s="20"/>
      <c r="G24" s="20"/>
      <c r="H24" s="21"/>
    </row>
    <row r="26" spans="3:11" ht="15.75" x14ac:dyDescent="0.25">
      <c r="C26" s="13" t="s">
        <v>743</v>
      </c>
      <c r="D26" s="14"/>
      <c r="E26" s="14"/>
      <c r="F26" s="14"/>
      <c r="G26" s="14"/>
      <c r="H26" s="14"/>
      <c r="I26" s="15"/>
    </row>
    <row r="27" spans="3:11" x14ac:dyDescent="0.25">
      <c r="C27" s="16" t="s">
        <v>744</v>
      </c>
      <c r="D27" s="17"/>
      <c r="E27" s="18"/>
      <c r="F27" s="22" t="b">
        <v>0</v>
      </c>
      <c r="G27" s="23"/>
      <c r="H27" s="23"/>
      <c r="I27" s="24"/>
    </row>
    <row r="29" spans="3:11" ht="15.75" x14ac:dyDescent="0.25">
      <c r="C29" s="13" t="s">
        <v>745</v>
      </c>
      <c r="D29" s="14"/>
      <c r="E29" s="14"/>
      <c r="F29" s="14"/>
      <c r="G29" s="14"/>
      <c r="H29" s="14"/>
      <c r="I29" s="15"/>
    </row>
    <row r="30" spans="3:11" x14ac:dyDescent="0.25">
      <c r="C30" s="16" t="s">
        <v>746</v>
      </c>
      <c r="D30" s="17"/>
      <c r="E30" s="18"/>
      <c r="F30" s="22" t="b">
        <v>1</v>
      </c>
      <c r="G30" s="23"/>
      <c r="H30" s="23"/>
      <c r="I30" s="24"/>
    </row>
    <row r="32" spans="3:11" ht="15.75" x14ac:dyDescent="0.25">
      <c r="C32" s="13" t="s">
        <v>747</v>
      </c>
      <c r="D32" s="14"/>
      <c r="E32" s="14"/>
      <c r="F32" s="14"/>
      <c r="G32" s="14"/>
      <c r="H32" s="14"/>
      <c r="I32" s="15"/>
    </row>
    <row r="33" spans="3:9" x14ac:dyDescent="0.25">
      <c r="C33" s="16" t="s">
        <v>749</v>
      </c>
      <c r="D33" s="17"/>
      <c r="E33" s="18"/>
      <c r="F33" s="22" t="b">
        <v>0</v>
      </c>
      <c r="G33" s="23"/>
      <c r="H33" s="23"/>
      <c r="I33" s="24"/>
    </row>
    <row r="34" spans="3:9" x14ac:dyDescent="0.25">
      <c r="C34" s="16" t="s">
        <v>750</v>
      </c>
      <c r="D34" s="17"/>
      <c r="E34" s="18"/>
      <c r="F34" s="22" t="b">
        <v>0</v>
      </c>
      <c r="G34" s="23"/>
      <c r="H34" s="23"/>
      <c r="I34" s="24"/>
    </row>
    <row r="35" spans="3:9" x14ac:dyDescent="0.25">
      <c r="C35" s="16" t="s">
        <v>751</v>
      </c>
      <c r="D35" s="17"/>
      <c r="E35" s="18"/>
      <c r="F35" s="22" t="b">
        <v>1</v>
      </c>
      <c r="G35" s="23"/>
      <c r="H35" s="23"/>
      <c r="I35" s="24"/>
    </row>
    <row r="37" spans="3:9" ht="15.75" x14ac:dyDescent="0.25">
      <c r="C37" s="13" t="s">
        <v>752</v>
      </c>
      <c r="D37" s="14"/>
      <c r="E37" s="14"/>
      <c r="F37" s="14"/>
      <c r="G37" s="14"/>
      <c r="H37" s="14"/>
      <c r="I37" s="15"/>
    </row>
    <row r="38" spans="3:9" x14ac:dyDescent="0.25">
      <c r="C38" s="16" t="s">
        <v>753</v>
      </c>
      <c r="D38" s="17"/>
      <c r="E38" s="18"/>
      <c r="F38" s="22" t="b">
        <v>0</v>
      </c>
      <c r="G38" s="23"/>
      <c r="H38" s="23"/>
      <c r="I38" s="24"/>
    </row>
    <row r="39" spans="3:9" x14ac:dyDescent="0.25">
      <c r="C39" s="16" t="s">
        <v>754</v>
      </c>
      <c r="D39" s="17"/>
      <c r="E39" s="18"/>
      <c r="F39" s="22" t="b">
        <v>0</v>
      </c>
      <c r="G39" s="23"/>
      <c r="H39" s="23"/>
      <c r="I39" s="24"/>
    </row>
    <row r="40" spans="3:9" x14ac:dyDescent="0.25">
      <c r="C40" s="16" t="s">
        <v>755</v>
      </c>
      <c r="D40" s="17"/>
      <c r="E40" s="18"/>
      <c r="F40" s="22" t="b">
        <v>0</v>
      </c>
      <c r="G40" s="23"/>
      <c r="H40" s="23"/>
      <c r="I40" s="24"/>
    </row>
    <row r="41" spans="3:9" x14ac:dyDescent="0.25">
      <c r="C41" s="16" t="s">
        <v>756</v>
      </c>
      <c r="D41" s="17"/>
      <c r="E41" s="18"/>
      <c r="F41" s="22" t="b">
        <v>0</v>
      </c>
      <c r="G41" s="23"/>
      <c r="H41" s="23"/>
      <c r="I41" s="24"/>
    </row>
    <row r="43" spans="3:9" ht="15.75" x14ac:dyDescent="0.25">
      <c r="C43" s="13" t="s">
        <v>757</v>
      </c>
      <c r="D43" s="14"/>
      <c r="E43" s="14"/>
      <c r="F43" s="14"/>
      <c r="G43" s="15"/>
    </row>
    <row r="44" spans="3:9" x14ac:dyDescent="0.25">
      <c r="C44" s="19" t="s">
        <v>758</v>
      </c>
      <c r="D44" s="20"/>
      <c r="E44" s="20"/>
      <c r="F44" s="20"/>
      <c r="G44" s="21"/>
    </row>
    <row r="45" spans="3:9" x14ac:dyDescent="0.25">
      <c r="C45" s="19" t="s">
        <v>834</v>
      </c>
      <c r="D45" s="20"/>
      <c r="E45" s="20"/>
      <c r="F45" s="20"/>
      <c r="G45" s="21"/>
    </row>
    <row r="46" spans="3:9" x14ac:dyDescent="0.25">
      <c r="C46" s="19" t="s">
        <v>759</v>
      </c>
      <c r="D46" s="20"/>
      <c r="E46" s="20"/>
      <c r="F46" s="20"/>
      <c r="G46" s="21"/>
    </row>
    <row r="47" spans="3:9" x14ac:dyDescent="0.25">
      <c r="C47" s="19" t="s">
        <v>835</v>
      </c>
      <c r="D47" s="20"/>
      <c r="E47" s="20"/>
      <c r="F47" s="20"/>
      <c r="G47" s="21"/>
    </row>
    <row r="50" spans="2:5" ht="18.75" x14ac:dyDescent="0.3">
      <c r="B50" s="7" t="s">
        <v>720</v>
      </c>
    </row>
    <row r="52" spans="2:5" x14ac:dyDescent="0.25">
      <c r="C52" s="9" t="s">
        <v>726</v>
      </c>
      <c r="D52" s="5" t="s">
        <v>727</v>
      </c>
    </row>
    <row r="53" spans="2:5" x14ac:dyDescent="0.25">
      <c r="C53" s="9" t="s">
        <v>760</v>
      </c>
      <c r="D53" s="8">
        <v>368</v>
      </c>
    </row>
    <row r="54" spans="2:5" x14ac:dyDescent="0.25">
      <c r="C54" s="9" t="s">
        <v>732</v>
      </c>
      <c r="D54" s="8">
        <v>7.505799592002893E-2</v>
      </c>
    </row>
    <row r="55" spans="2:5" x14ac:dyDescent="0.25">
      <c r="C55" s="9" t="s">
        <v>761</v>
      </c>
      <c r="D55" s="8">
        <v>6.5004278484377065E-2</v>
      </c>
    </row>
    <row r="56" spans="2:5" x14ac:dyDescent="0.25">
      <c r="C56" s="9" t="s">
        <v>762</v>
      </c>
      <c r="D56" s="8">
        <v>0.98921830040092684</v>
      </c>
    </row>
    <row r="57" spans="2:5" x14ac:dyDescent="0.25">
      <c r="C57" s="9" t="s">
        <v>763</v>
      </c>
      <c r="D57" s="8">
        <v>360.10744727210022</v>
      </c>
    </row>
    <row r="59" spans="2:5" ht="18.75" x14ac:dyDescent="0.3">
      <c r="B59" s="7" t="s">
        <v>721</v>
      </c>
    </row>
    <row r="61" spans="2:5" x14ac:dyDescent="0.25">
      <c r="C61" s="9" t="s">
        <v>764</v>
      </c>
      <c r="D61" s="5" t="s">
        <v>765</v>
      </c>
      <c r="E61" s="5" t="s">
        <v>766</v>
      </c>
    </row>
    <row r="62" spans="2:5" x14ac:dyDescent="0.25">
      <c r="C62" s="9" t="s">
        <v>767</v>
      </c>
      <c r="D62" s="8">
        <v>6.2285871908598498</v>
      </c>
      <c r="E62" s="8" t="b">
        <v>1</v>
      </c>
    </row>
    <row r="63" spans="2:5" x14ac:dyDescent="0.25">
      <c r="C63" s="9" t="s">
        <v>15</v>
      </c>
      <c r="D63" s="8">
        <v>50459.451968882895</v>
      </c>
      <c r="E63" s="8" t="b">
        <v>1</v>
      </c>
    </row>
    <row r="64" spans="2:5" x14ac:dyDescent="0.25">
      <c r="C64" s="9" t="s">
        <v>139</v>
      </c>
      <c r="D64" s="8">
        <v>10.114515726221262</v>
      </c>
      <c r="E64" s="8" t="b">
        <v>1</v>
      </c>
    </row>
    <row r="65" spans="2:9" x14ac:dyDescent="0.25">
      <c r="C65" s="9" t="s">
        <v>140</v>
      </c>
      <c r="D65" s="8">
        <v>10.3159518212866</v>
      </c>
      <c r="E65" s="8" t="b">
        <v>1</v>
      </c>
    </row>
    <row r="66" spans="2:9" x14ac:dyDescent="0.25">
      <c r="C66" s="9" t="s">
        <v>141</v>
      </c>
      <c r="D66" s="8">
        <v>8.866858101628166</v>
      </c>
      <c r="E66" s="8" t="b">
        <v>1</v>
      </c>
    </row>
    <row r="69" spans="2:9" x14ac:dyDescent="0.25">
      <c r="C69" s="9" t="s">
        <v>768</v>
      </c>
      <c r="D69" s="8">
        <v>4.1790982347586923E-9</v>
      </c>
    </row>
    <row r="71" spans="2:9" ht="18.75" x14ac:dyDescent="0.3">
      <c r="B71" s="7" t="s">
        <v>722</v>
      </c>
    </row>
    <row r="73" spans="2:9" x14ac:dyDescent="0.25">
      <c r="C73" s="9" t="s">
        <v>764</v>
      </c>
      <c r="D73" s="5" t="s">
        <v>769</v>
      </c>
      <c r="E73" s="5" t="s">
        <v>836</v>
      </c>
      <c r="F73" s="5" t="s">
        <v>837</v>
      </c>
      <c r="G73" s="5" t="s">
        <v>838</v>
      </c>
      <c r="H73" s="5" t="s">
        <v>839</v>
      </c>
      <c r="I73" s="5" t="s">
        <v>840</v>
      </c>
    </row>
    <row r="74" spans="2:9" x14ac:dyDescent="0.25">
      <c r="C74" s="9" t="s">
        <v>767</v>
      </c>
      <c r="D74" s="8">
        <v>4.6618818207251316</v>
      </c>
      <c r="E74" s="8">
        <v>4.3495750750294704</v>
      </c>
      <c r="F74" s="8">
        <v>4.9741885664207928</v>
      </c>
      <c r="G74" s="8">
        <v>0.15881904998497201</v>
      </c>
      <c r="H74" s="8">
        <v>29.353417119459248</v>
      </c>
      <c r="I74" s="8">
        <v>1.9651557294792281E-98</v>
      </c>
    </row>
    <row r="75" spans="2:9" x14ac:dyDescent="0.25">
      <c r="C75" s="9" t="s">
        <v>15</v>
      </c>
      <c r="D75" s="8">
        <v>-1.4752049767734229E-4</v>
      </c>
      <c r="E75" s="8">
        <v>-2.3425858887880774E-4</v>
      </c>
      <c r="F75" s="8">
        <v>-6.0782406475876844E-5</v>
      </c>
      <c r="G75" s="8">
        <v>4.4109393831508266E-5</v>
      </c>
      <c r="H75" s="8">
        <v>-3.3444235992190241</v>
      </c>
      <c r="I75" s="8">
        <v>9.0933625605756812E-4</v>
      </c>
    </row>
    <row r="76" spans="2:9" x14ac:dyDescent="0.25">
      <c r="C76" s="9" t="s">
        <v>139</v>
      </c>
      <c r="D76" s="8">
        <v>0.25888408111873701</v>
      </c>
      <c r="E76" s="8">
        <v>5.359342248575133E-2</v>
      </c>
      <c r="F76" s="8">
        <v>0.46417473975172269</v>
      </c>
      <c r="G76" s="8">
        <v>0.10439757649888309</v>
      </c>
      <c r="H76" s="8">
        <v>2.4797901426524658</v>
      </c>
      <c r="I76" s="8">
        <v>1.3592778331424667E-2</v>
      </c>
    </row>
    <row r="77" spans="2:9" x14ac:dyDescent="0.25">
      <c r="C77" s="9" t="s">
        <v>140</v>
      </c>
      <c r="D77" s="8">
        <v>-0.52671837538448807</v>
      </c>
      <c r="E77" s="8">
        <v>-0.78539336214063482</v>
      </c>
      <c r="F77" s="8">
        <v>-0.26804338862834137</v>
      </c>
      <c r="G77" s="8">
        <v>0.13154539957174302</v>
      </c>
      <c r="H77" s="8">
        <v>-4.0040805463304947</v>
      </c>
      <c r="I77" s="8">
        <v>7.533096831454416E-5</v>
      </c>
    </row>
    <row r="78" spans="2:9" x14ac:dyDescent="0.25">
      <c r="C78" s="9" t="s">
        <v>141</v>
      </c>
      <c r="D78" s="8">
        <v>-0.57233266405394478</v>
      </c>
      <c r="E78" s="8">
        <v>-0.83926174242205731</v>
      </c>
      <c r="F78" s="8">
        <v>-0.30540358568583226</v>
      </c>
      <c r="G78" s="8">
        <v>0.13574289772498113</v>
      </c>
      <c r="H78" s="8">
        <v>-4.2162991482140493</v>
      </c>
      <c r="I78" s="8">
        <v>3.129237641598549E-5</v>
      </c>
    </row>
  </sheetData>
  <mergeCells count="59">
    <mergeCell ref="B3:K3"/>
    <mergeCell ref="N3:Q3"/>
    <mergeCell ref="H4:I4"/>
    <mergeCell ref="J4:K4"/>
    <mergeCell ref="B5:C5"/>
    <mergeCell ref="D5:E5"/>
    <mergeCell ref="F5:G5"/>
    <mergeCell ref="H5:I5"/>
    <mergeCell ref="J5:K5"/>
    <mergeCell ref="C43:G43"/>
    <mergeCell ref="C44:G44"/>
    <mergeCell ref="C45:G45"/>
    <mergeCell ref="C46:G46"/>
    <mergeCell ref="C47:G47"/>
    <mergeCell ref="B4:C4"/>
    <mergeCell ref="D4:E4"/>
    <mergeCell ref="F4:G4"/>
    <mergeCell ref="C37:I37"/>
    <mergeCell ref="C38:E38"/>
    <mergeCell ref="C39:E39"/>
    <mergeCell ref="C40:E40"/>
    <mergeCell ref="C41:E41"/>
    <mergeCell ref="F38:I38"/>
    <mergeCell ref="F39:I39"/>
    <mergeCell ref="F40:I40"/>
    <mergeCell ref="F41:I41"/>
    <mergeCell ref="C32:I32"/>
    <mergeCell ref="C33:E33"/>
    <mergeCell ref="C34:E34"/>
    <mergeCell ref="C35:E35"/>
    <mergeCell ref="F33:I33"/>
    <mergeCell ref="F34:I34"/>
    <mergeCell ref="F35:I35"/>
    <mergeCell ref="C26:I26"/>
    <mergeCell ref="C27:E27"/>
    <mergeCell ref="F27:I27"/>
    <mergeCell ref="C29:I29"/>
    <mergeCell ref="C30:E30"/>
    <mergeCell ref="F30:I30"/>
    <mergeCell ref="C20:H20"/>
    <mergeCell ref="C21:D21"/>
    <mergeCell ref="C22:D22"/>
    <mergeCell ref="C23:D23"/>
    <mergeCell ref="C24:D24"/>
    <mergeCell ref="E21:H21"/>
    <mergeCell ref="E24:H24"/>
    <mergeCell ref="C18:F18"/>
    <mergeCell ref="G13:K13"/>
    <mergeCell ref="G14:K14"/>
    <mergeCell ref="G15:K15"/>
    <mergeCell ref="G16:K16"/>
    <mergeCell ref="G17:K17"/>
    <mergeCell ref="G18:K18"/>
    <mergeCell ref="C12:K12"/>
    <mergeCell ref="C13:F13"/>
    <mergeCell ref="C14:F14"/>
    <mergeCell ref="C15:F15"/>
    <mergeCell ref="C16:F16"/>
    <mergeCell ref="C17:F17"/>
  </mergeCells>
  <hyperlinks>
    <hyperlink ref="B4" location="'LinReg_Output'!$B$10:$B$10" display="Inputs" xr:uid="{E1036906-2B0B-485D-8E94-0160AA270408}"/>
    <hyperlink ref="D4" location="'LinReg_Output'!$B$50:$B$50" display="Regression Summary" xr:uid="{294EB8AF-EB61-482C-8068-BD15797165BD}"/>
    <hyperlink ref="F4" location="'LinReg_Output'!$B$59:$B$59" display="Predictor Screening" xr:uid="{A34E87A1-1059-43B0-8238-22381D501C22}"/>
    <hyperlink ref="H4" location="'LinReg_Output'!$B$71:$B$71" display="Coefficients" xr:uid="{4B711ACF-08EC-4AAA-B953-5D69ED797911}"/>
    <hyperlink ref="J4" location="'LinReg_Stored1'!$B$10:$B$10" display="PMML Model" xr:uid="{CE044BBB-CB4E-41B2-8958-98C93F542183}"/>
    <hyperlink ref="B5" location="'LinReg_TrainingScore1'!$B$10:$B$10" display="Training: Prediction Summary" xr:uid="{0DBC450F-F1D4-4270-BCC8-058AB2E9B202}"/>
    <hyperlink ref="D5" location="'LinReg_TrainingScore1'!$B$19:$B$19" display="Training: Prediction Details" xr:uid="{BA78D709-7E38-405B-B3FB-769E6A955D89}"/>
    <hyperlink ref="F5" location="'LinReg_ValidationScore1'!$B$10:$B$10" display="Validation: Prediction Summary" xr:uid="{09B8E405-93B4-49F2-B0F7-319C3C9B9245}"/>
    <hyperlink ref="H5" location="'LinReg_ValidationScore1'!$B$19:$B$19" display="Validation: Prediction Details" xr:uid="{9A6E8251-76B0-4B99-ABD6-330EEFD9D01D}"/>
  </hyperlinks>
  <pageMargins left="0.7" right="0.7" top="0.75" bottom="0.75" header="0.3" footer="0.3"/>
  <tableParts count="4">
    <tablePart r:id="rId1"/>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AC9E8-4630-4EAC-B754-1692028B525C}">
  <sheetPr codeName="Sheet9">
    <tabColor rgb="FF7030A0"/>
  </sheetPr>
  <dimension ref="B1:Q394"/>
  <sheetViews>
    <sheetView showGridLines="0" workbookViewId="0">
      <selection activeCell="E84" sqref="E84:N86"/>
    </sheetView>
  </sheetViews>
  <sheetFormatPr defaultRowHeight="15" x14ac:dyDescent="0.25"/>
  <cols>
    <col min="3" max="3" width="11.5703125" customWidth="1"/>
    <col min="5" max="5" width="18.140625" customWidth="1"/>
    <col min="6" max="6" width="10.7109375" customWidth="1"/>
    <col min="14" max="14" width="15.5703125" bestFit="1" customWidth="1"/>
  </cols>
  <sheetData>
    <row r="1" spans="2:17" ht="18.75" x14ac:dyDescent="0.3">
      <c r="B1" s="6" t="s">
        <v>733</v>
      </c>
      <c r="N1" t="s">
        <v>955</v>
      </c>
    </row>
    <row r="3" spans="2:17" ht="15.75" x14ac:dyDescent="0.25">
      <c r="B3" s="13" t="s">
        <v>147</v>
      </c>
      <c r="C3" s="14"/>
      <c r="D3" s="14"/>
      <c r="E3" s="14"/>
      <c r="F3" s="14"/>
      <c r="G3" s="14"/>
      <c r="H3" s="14"/>
      <c r="I3" s="14"/>
      <c r="J3" s="14"/>
      <c r="K3" s="15"/>
      <c r="N3" s="13" t="s">
        <v>148</v>
      </c>
      <c r="O3" s="14"/>
      <c r="P3" s="14"/>
      <c r="Q3" s="15"/>
    </row>
    <row r="4" spans="2:17" x14ac:dyDescent="0.25">
      <c r="B4" s="25" t="s">
        <v>153</v>
      </c>
      <c r="C4" s="21"/>
      <c r="D4" s="25" t="s">
        <v>720</v>
      </c>
      <c r="E4" s="21"/>
      <c r="F4" s="25" t="s">
        <v>721</v>
      </c>
      <c r="G4" s="21"/>
      <c r="H4" s="25" t="s">
        <v>722</v>
      </c>
      <c r="I4" s="21"/>
      <c r="J4" s="25" t="s">
        <v>645</v>
      </c>
      <c r="K4" s="21"/>
      <c r="N4" s="11" t="s">
        <v>149</v>
      </c>
      <c r="O4" s="11" t="s">
        <v>150</v>
      </c>
      <c r="P4" s="11" t="s">
        <v>151</v>
      </c>
      <c r="Q4" s="11" t="s">
        <v>152</v>
      </c>
    </row>
    <row r="5" spans="2:17" x14ac:dyDescent="0.25">
      <c r="B5" s="25" t="s">
        <v>723</v>
      </c>
      <c r="C5" s="21"/>
      <c r="D5" s="25" t="s">
        <v>830</v>
      </c>
      <c r="E5" s="21"/>
      <c r="F5" s="25" t="s">
        <v>724</v>
      </c>
      <c r="G5" s="21"/>
      <c r="H5" s="25" t="s">
        <v>831</v>
      </c>
      <c r="I5" s="21"/>
      <c r="J5" s="19"/>
      <c r="K5" s="21"/>
      <c r="N5" s="10">
        <v>16</v>
      </c>
      <c r="O5" s="10">
        <v>2</v>
      </c>
      <c r="P5" s="10">
        <v>10</v>
      </c>
      <c r="Q5" s="10">
        <v>28</v>
      </c>
    </row>
    <row r="10" spans="2:17" ht="18.75" x14ac:dyDescent="0.3">
      <c r="B10" s="7" t="s">
        <v>723</v>
      </c>
    </row>
    <row r="12" spans="2:17" x14ac:dyDescent="0.25">
      <c r="C12" t="s">
        <v>726</v>
      </c>
      <c r="D12" t="s">
        <v>727</v>
      </c>
    </row>
    <row r="13" spans="2:17" x14ac:dyDescent="0.25">
      <c r="C13" t="s">
        <v>728</v>
      </c>
      <c r="D13">
        <v>360.10744727209897</v>
      </c>
    </row>
    <row r="14" spans="2:17" x14ac:dyDescent="0.25">
      <c r="C14" t="s">
        <v>729</v>
      </c>
      <c r="D14">
        <v>0.96543551547479611</v>
      </c>
    </row>
    <row r="15" spans="2:17" x14ac:dyDescent="0.25">
      <c r="C15" t="s">
        <v>730</v>
      </c>
      <c r="D15">
        <v>0.98256578175448184</v>
      </c>
    </row>
    <row r="16" spans="2:17" x14ac:dyDescent="0.25">
      <c r="C16" t="s">
        <v>731</v>
      </c>
      <c r="D16">
        <v>0.76648028310186023</v>
      </c>
    </row>
    <row r="17" spans="2:6" x14ac:dyDescent="0.25">
      <c r="C17" t="s">
        <v>732</v>
      </c>
      <c r="D17">
        <v>7.5057995920031262E-2</v>
      </c>
    </row>
    <row r="19" spans="2:6" ht="18.75" x14ac:dyDescent="0.3">
      <c r="B19" s="7" t="s">
        <v>830</v>
      </c>
    </row>
    <row r="21" spans="2:6" x14ac:dyDescent="0.25">
      <c r="C21" s="9" t="s">
        <v>176</v>
      </c>
      <c r="D21" s="5" t="s">
        <v>4</v>
      </c>
      <c r="E21" s="5" t="s">
        <v>832</v>
      </c>
      <c r="F21" s="5" t="s">
        <v>833</v>
      </c>
    </row>
    <row r="22" spans="2:6" x14ac:dyDescent="0.25">
      <c r="C22" s="9" t="s">
        <v>177</v>
      </c>
      <c r="D22" s="8">
        <v>3</v>
      </c>
      <c r="E22" s="8">
        <v>4.0618153031078466</v>
      </c>
      <c r="F22" s="8">
        <v>-1.0618153031078466</v>
      </c>
    </row>
    <row r="23" spans="2:6" x14ac:dyDescent="0.25">
      <c r="C23" s="9" t="s">
        <v>454</v>
      </c>
      <c r="D23" s="8">
        <v>4</v>
      </c>
      <c r="E23" s="8">
        <v>3.9676972255897027</v>
      </c>
      <c r="F23" s="8">
        <v>3.2302774410297275E-2</v>
      </c>
    </row>
    <row r="24" spans="2:6" x14ac:dyDescent="0.25">
      <c r="C24" s="9" t="s">
        <v>178</v>
      </c>
      <c r="D24" s="8">
        <v>5</v>
      </c>
      <c r="E24" s="8">
        <v>4.5224605581150445</v>
      </c>
      <c r="F24" s="8">
        <v>0.47753944188495545</v>
      </c>
    </row>
    <row r="25" spans="2:6" x14ac:dyDescent="0.25">
      <c r="C25" s="9" t="s">
        <v>179</v>
      </c>
      <c r="D25" s="8">
        <v>4</v>
      </c>
      <c r="E25" s="8">
        <v>4.2156323152511712</v>
      </c>
      <c r="F25" s="8">
        <v>-0.21563231525117121</v>
      </c>
    </row>
    <row r="26" spans="2:6" x14ac:dyDescent="0.25">
      <c r="C26" s="9" t="s">
        <v>406</v>
      </c>
      <c r="D26" s="8">
        <v>5</v>
      </c>
      <c r="E26" s="8">
        <v>4.3618251284494169</v>
      </c>
      <c r="F26" s="8">
        <v>0.63817487155058306</v>
      </c>
    </row>
    <row r="27" spans="2:6" x14ac:dyDescent="0.25">
      <c r="C27" s="9" t="s">
        <v>180</v>
      </c>
      <c r="D27" s="8">
        <v>4</v>
      </c>
      <c r="E27" s="8">
        <v>4.4268672756201264</v>
      </c>
      <c r="F27" s="8">
        <v>-0.42686727562012639</v>
      </c>
    </row>
    <row r="28" spans="2:6" x14ac:dyDescent="0.25">
      <c r="C28" s="9" t="s">
        <v>475</v>
      </c>
      <c r="D28" s="8">
        <v>5</v>
      </c>
      <c r="E28" s="8">
        <v>4.5224605581150445</v>
      </c>
      <c r="F28" s="8">
        <v>0.47753944188495545</v>
      </c>
    </row>
    <row r="29" spans="2:6" x14ac:dyDescent="0.25">
      <c r="C29" s="9" t="s">
        <v>181</v>
      </c>
      <c r="D29" s="8">
        <v>5</v>
      </c>
      <c r="E29" s="8">
        <v>4.1679831945013897</v>
      </c>
      <c r="F29" s="8">
        <v>0.83201680549861035</v>
      </c>
    </row>
    <row r="30" spans="2:6" x14ac:dyDescent="0.25">
      <c r="C30" s="9" t="s">
        <v>182</v>
      </c>
      <c r="D30" s="8">
        <v>5</v>
      </c>
      <c r="E30" s="8">
        <v>4.4842527492166129</v>
      </c>
      <c r="F30" s="8">
        <v>0.51574725078338712</v>
      </c>
    </row>
    <row r="31" spans="2:6" x14ac:dyDescent="0.25">
      <c r="C31" s="9" t="s">
        <v>183</v>
      </c>
      <c r="D31" s="8">
        <v>3</v>
      </c>
      <c r="E31" s="8">
        <v>4.2156323152511712</v>
      </c>
      <c r="F31" s="8">
        <v>-1.2156323152511712</v>
      </c>
    </row>
    <row r="32" spans="2:6" x14ac:dyDescent="0.25">
      <c r="C32" s="9" t="s">
        <v>184</v>
      </c>
      <c r="D32" s="8">
        <v>4</v>
      </c>
      <c r="E32" s="8">
        <v>4.4727605427027788</v>
      </c>
      <c r="F32" s="8">
        <v>-0.47276054270277879</v>
      </c>
    </row>
    <row r="33" spans="3:6" x14ac:dyDescent="0.25">
      <c r="C33" s="9" t="s">
        <v>185</v>
      </c>
      <c r="D33" s="8">
        <v>3</v>
      </c>
      <c r="E33" s="8">
        <v>3.5785686076040313</v>
      </c>
      <c r="F33" s="8">
        <v>-0.57856860760403128</v>
      </c>
    </row>
    <row r="34" spans="3:6" x14ac:dyDescent="0.25">
      <c r="C34" s="9" t="s">
        <v>186</v>
      </c>
      <c r="D34" s="8">
        <v>5</v>
      </c>
      <c r="E34" s="8">
        <v>4.4842527492166129</v>
      </c>
      <c r="F34" s="8">
        <v>0.51574725078338712</v>
      </c>
    </row>
    <row r="35" spans="3:6" x14ac:dyDescent="0.25">
      <c r="C35" s="9" t="s">
        <v>187</v>
      </c>
      <c r="D35" s="8">
        <v>3</v>
      </c>
      <c r="E35" s="8">
        <v>4.0886944885722807</v>
      </c>
      <c r="F35" s="8">
        <v>-1.0886944885722807</v>
      </c>
    </row>
    <row r="36" spans="3:6" x14ac:dyDescent="0.25">
      <c r="C36" s="9" t="s">
        <v>409</v>
      </c>
      <c r="D36" s="8">
        <v>5</v>
      </c>
      <c r="E36" s="8">
        <v>4.2156323152511712</v>
      </c>
      <c r="F36" s="8">
        <v>0.78436768474882879</v>
      </c>
    </row>
    <row r="37" spans="3:6" x14ac:dyDescent="0.25">
      <c r="C37" s="9" t="s">
        <v>188</v>
      </c>
      <c r="D37" s="8">
        <v>5</v>
      </c>
      <c r="E37" s="8">
        <v>4.3206993842265833</v>
      </c>
      <c r="F37" s="8">
        <v>0.67930061577341672</v>
      </c>
    </row>
    <row r="38" spans="3:6" x14ac:dyDescent="0.25">
      <c r="C38" s="9" t="s">
        <v>189</v>
      </c>
      <c r="D38" s="8">
        <v>5</v>
      </c>
      <c r="E38" s="8">
        <v>4.0618153031078466</v>
      </c>
      <c r="F38" s="8">
        <v>0.93818469689215345</v>
      </c>
    </row>
    <row r="39" spans="3:6" x14ac:dyDescent="0.25">
      <c r="C39" s="9" t="s">
        <v>190</v>
      </c>
      <c r="D39" s="8">
        <v>5</v>
      </c>
      <c r="E39" s="8">
        <v>3.6593793854440566</v>
      </c>
      <c r="F39" s="8">
        <v>1.3406206145559434</v>
      </c>
    </row>
    <row r="40" spans="3:6" x14ac:dyDescent="0.25">
      <c r="C40" s="9" t="s">
        <v>191</v>
      </c>
      <c r="D40" s="8">
        <v>5</v>
      </c>
      <c r="E40" s="8">
        <v>3.9182634665627933</v>
      </c>
      <c r="F40" s="8">
        <v>1.0817365334372067</v>
      </c>
    </row>
    <row r="41" spans="3:6" x14ac:dyDescent="0.25">
      <c r="C41" s="9" t="s">
        <v>192</v>
      </c>
      <c r="D41" s="8">
        <v>5</v>
      </c>
      <c r="E41" s="8">
        <v>4.4745163963699079</v>
      </c>
      <c r="F41" s="8">
        <v>0.52548360363009206</v>
      </c>
    </row>
    <row r="42" spans="3:6" x14ac:dyDescent="0.25">
      <c r="C42" s="9" t="s">
        <v>193</v>
      </c>
      <c r="D42" s="8">
        <v>2</v>
      </c>
      <c r="E42" s="8">
        <v>3.9182634665627933</v>
      </c>
      <c r="F42" s="8">
        <v>-1.9182634665627933</v>
      </c>
    </row>
    <row r="43" spans="3:6" x14ac:dyDescent="0.25">
      <c r="C43" s="9" t="s">
        <v>194</v>
      </c>
      <c r="D43" s="8">
        <v>4</v>
      </c>
      <c r="E43" s="8">
        <v>3.954008274192867</v>
      </c>
      <c r="F43" s="8">
        <v>4.5991725807132955E-2</v>
      </c>
    </row>
    <row r="44" spans="3:6" x14ac:dyDescent="0.25">
      <c r="C44" s="9" t="s">
        <v>195</v>
      </c>
      <c r="D44" s="8">
        <v>5</v>
      </c>
      <c r="E44" s="8">
        <v>4.0271784410408289</v>
      </c>
      <c r="F44" s="8">
        <v>0.97282155895917111</v>
      </c>
    </row>
    <row r="45" spans="3:6" x14ac:dyDescent="0.25">
      <c r="C45" s="9" t="s">
        <v>412</v>
      </c>
      <c r="D45" s="8">
        <v>4</v>
      </c>
      <c r="E45" s="8">
        <v>4.4842527492166129</v>
      </c>
      <c r="F45" s="8">
        <v>-0.48425274921661288</v>
      </c>
    </row>
    <row r="46" spans="3:6" x14ac:dyDescent="0.25">
      <c r="C46" s="9" t="s">
        <v>407</v>
      </c>
      <c r="D46" s="8">
        <v>4</v>
      </c>
      <c r="E46" s="8">
        <v>4.0618153031078466</v>
      </c>
      <c r="F46" s="8">
        <v>-6.1815303107846553E-2</v>
      </c>
    </row>
    <row r="47" spans="3:6" x14ac:dyDescent="0.25">
      <c r="C47" s="9" t="s">
        <v>196</v>
      </c>
      <c r="D47" s="8">
        <v>5</v>
      </c>
      <c r="E47" s="8">
        <v>4.4727605427027788</v>
      </c>
      <c r="F47" s="8">
        <v>0.52723945729722121</v>
      </c>
    </row>
    <row r="48" spans="3:6" x14ac:dyDescent="0.25">
      <c r="C48" s="9" t="s">
        <v>197</v>
      </c>
      <c r="D48" s="8">
        <v>4</v>
      </c>
      <c r="E48" s="8">
        <v>3.8067684252058807</v>
      </c>
      <c r="F48" s="8">
        <v>0.19323157479411934</v>
      </c>
    </row>
    <row r="49" spans="3:6" x14ac:dyDescent="0.25">
      <c r="C49" s="9" t="s">
        <v>198</v>
      </c>
      <c r="D49" s="8">
        <v>4</v>
      </c>
      <c r="E49" s="8">
        <v>4.3475785696910174</v>
      </c>
      <c r="F49" s="8">
        <v>-0.34757856969101741</v>
      </c>
    </row>
    <row r="50" spans="3:6" x14ac:dyDescent="0.25">
      <c r="C50" s="9" t="s">
        <v>199</v>
      </c>
      <c r="D50" s="8">
        <v>5</v>
      </c>
      <c r="E50" s="8">
        <v>4.340567784478881</v>
      </c>
      <c r="F50" s="8">
        <v>0.65943221552111897</v>
      </c>
    </row>
    <row r="51" spans="3:6" x14ac:dyDescent="0.25">
      <c r="C51" s="9" t="s">
        <v>200</v>
      </c>
      <c r="D51" s="8">
        <v>3</v>
      </c>
      <c r="E51" s="8">
        <v>4.3206993842265833</v>
      </c>
      <c r="F51" s="8">
        <v>-1.3206993842265833</v>
      </c>
    </row>
    <row r="52" spans="3:6" x14ac:dyDescent="0.25">
      <c r="C52" s="9" t="s">
        <v>438</v>
      </c>
      <c r="D52" s="8">
        <v>3</v>
      </c>
      <c r="E52" s="8">
        <v>3.9182634665627933</v>
      </c>
      <c r="F52" s="8">
        <v>-0.91826346656279334</v>
      </c>
    </row>
    <row r="53" spans="3:6" x14ac:dyDescent="0.25">
      <c r="C53" s="9" t="s">
        <v>448</v>
      </c>
      <c r="D53" s="8">
        <v>3</v>
      </c>
      <c r="E53" s="8">
        <v>3.9182634665627933</v>
      </c>
      <c r="F53" s="8">
        <v>-0.91826346656279334</v>
      </c>
    </row>
    <row r="54" spans="3:6" x14ac:dyDescent="0.25">
      <c r="C54" s="9" t="s">
        <v>201</v>
      </c>
      <c r="D54" s="8">
        <v>2</v>
      </c>
      <c r="E54" s="8">
        <v>3.954008274192867</v>
      </c>
      <c r="F54" s="8">
        <v>-1.954008274192867</v>
      </c>
    </row>
    <row r="55" spans="3:6" x14ac:dyDescent="0.25">
      <c r="C55" s="9" t="s">
        <v>442</v>
      </c>
      <c r="D55" s="8">
        <v>5</v>
      </c>
      <c r="E55" s="8">
        <v>4.2860625221595656</v>
      </c>
      <c r="F55" s="8">
        <v>0.71393747784043438</v>
      </c>
    </row>
    <row r="56" spans="3:6" x14ac:dyDescent="0.25">
      <c r="C56" s="9" t="s">
        <v>202</v>
      </c>
      <c r="D56" s="8">
        <v>5</v>
      </c>
      <c r="E56" s="8">
        <v>4.2635764769963078</v>
      </c>
      <c r="F56" s="8">
        <v>0.73642352300369218</v>
      </c>
    </row>
    <row r="57" spans="3:6" x14ac:dyDescent="0.25">
      <c r="C57" s="9" t="s">
        <v>203</v>
      </c>
      <c r="D57" s="8">
        <v>4</v>
      </c>
      <c r="E57" s="8">
        <v>4.0816837033601443</v>
      </c>
      <c r="F57" s="8">
        <v>-8.16837033601443E-2</v>
      </c>
    </row>
    <row r="58" spans="3:6" x14ac:dyDescent="0.25">
      <c r="C58" s="9" t="s">
        <v>204</v>
      </c>
      <c r="D58" s="8">
        <v>4</v>
      </c>
      <c r="E58" s="8">
        <v>3.9676972255897027</v>
      </c>
      <c r="F58" s="8">
        <v>3.2302774410297275E-2</v>
      </c>
    </row>
    <row r="59" spans="3:6" x14ac:dyDescent="0.25">
      <c r="C59" s="9" t="s">
        <v>205</v>
      </c>
      <c r="D59" s="8">
        <v>5</v>
      </c>
      <c r="E59" s="8">
        <v>4.0190648136685754</v>
      </c>
      <c r="F59" s="8">
        <v>0.98093518633142462</v>
      </c>
    </row>
    <row r="60" spans="3:6" x14ac:dyDescent="0.25">
      <c r="C60" s="9" t="s">
        <v>206</v>
      </c>
      <c r="D60" s="8">
        <v>5</v>
      </c>
      <c r="E60" s="8">
        <v>4.0678167765784741</v>
      </c>
      <c r="F60" s="8">
        <v>0.93218322342152593</v>
      </c>
    </row>
    <row r="61" spans="3:6" x14ac:dyDescent="0.25">
      <c r="C61" s="9" t="s">
        <v>207</v>
      </c>
      <c r="D61" s="8">
        <v>5</v>
      </c>
      <c r="E61" s="8">
        <v>4.0295387690036666</v>
      </c>
      <c r="F61" s="8">
        <v>0.97046123099633341</v>
      </c>
    </row>
    <row r="62" spans="3:6" x14ac:dyDescent="0.25">
      <c r="C62" s="9" t="s">
        <v>208</v>
      </c>
      <c r="D62" s="8">
        <v>5</v>
      </c>
      <c r="E62" s="8">
        <v>4.2253686680978761</v>
      </c>
      <c r="F62" s="8">
        <v>0.77463133190212385</v>
      </c>
    </row>
    <row r="63" spans="3:6" x14ac:dyDescent="0.25">
      <c r="C63" s="9" t="s">
        <v>209</v>
      </c>
      <c r="D63" s="8">
        <v>5</v>
      </c>
      <c r="E63" s="8">
        <v>4.2253686680978761</v>
      </c>
      <c r="F63" s="8">
        <v>0.77463133190212385</v>
      </c>
    </row>
    <row r="64" spans="3:6" x14ac:dyDescent="0.25">
      <c r="C64" s="9" t="s">
        <v>210</v>
      </c>
      <c r="D64" s="8">
        <v>5</v>
      </c>
      <c r="E64" s="8">
        <v>4.4268672756201264</v>
      </c>
      <c r="F64" s="8">
        <v>0.57313272437987361</v>
      </c>
    </row>
    <row r="65" spans="3:6" x14ac:dyDescent="0.25">
      <c r="C65" s="9" t="s">
        <v>434</v>
      </c>
      <c r="D65" s="8">
        <v>4</v>
      </c>
      <c r="E65" s="8">
        <v>3.6593793854440566</v>
      </c>
      <c r="F65" s="8">
        <v>0.34062061455594339</v>
      </c>
    </row>
    <row r="66" spans="3:6" x14ac:dyDescent="0.25">
      <c r="C66" s="9" t="s">
        <v>408</v>
      </c>
      <c r="D66" s="8">
        <v>4</v>
      </c>
      <c r="E66" s="8">
        <v>4.0271784410408289</v>
      </c>
      <c r="F66" s="8">
        <v>-2.7178441040828893E-2</v>
      </c>
    </row>
    <row r="67" spans="3:6" x14ac:dyDescent="0.25">
      <c r="C67" s="9" t="s">
        <v>211</v>
      </c>
      <c r="D67" s="8">
        <v>5</v>
      </c>
      <c r="E67" s="8">
        <v>4.2128923553116042</v>
      </c>
      <c r="F67" s="8">
        <v>0.78710764468839578</v>
      </c>
    </row>
    <row r="68" spans="3:6" x14ac:dyDescent="0.25">
      <c r="C68" s="9" t="s">
        <v>212</v>
      </c>
      <c r="D68" s="8">
        <v>5</v>
      </c>
      <c r="E68" s="8">
        <v>4.3618251284494169</v>
      </c>
      <c r="F68" s="8">
        <v>0.63817487155058306</v>
      </c>
    </row>
    <row r="69" spans="3:6" x14ac:dyDescent="0.25">
      <c r="C69" s="9" t="s">
        <v>447</v>
      </c>
      <c r="D69" s="8">
        <v>5</v>
      </c>
      <c r="E69" s="8">
        <v>4.0816837033601443</v>
      </c>
      <c r="F69" s="8">
        <v>0.9183162966398557</v>
      </c>
    </row>
    <row r="70" spans="3:6" x14ac:dyDescent="0.25">
      <c r="C70" s="9" t="s">
        <v>213</v>
      </c>
      <c r="D70" s="8">
        <v>1</v>
      </c>
      <c r="E70" s="8">
        <v>4.4268672756201264</v>
      </c>
      <c r="F70" s="8">
        <v>-3.4268672756201264</v>
      </c>
    </row>
    <row r="71" spans="3:6" x14ac:dyDescent="0.25">
      <c r="C71" s="9" t="s">
        <v>214</v>
      </c>
      <c r="D71" s="8">
        <v>5</v>
      </c>
      <c r="E71" s="8">
        <v>3.954008274192867</v>
      </c>
      <c r="F71" s="8">
        <v>1.045991725807133</v>
      </c>
    </row>
    <row r="72" spans="3:6" x14ac:dyDescent="0.25">
      <c r="C72" s="9" t="s">
        <v>215</v>
      </c>
      <c r="D72" s="8">
        <v>5</v>
      </c>
      <c r="E72" s="8">
        <v>4.0190648136685754</v>
      </c>
      <c r="F72" s="8">
        <v>0.98093518633142462</v>
      </c>
    </row>
    <row r="73" spans="3:6" x14ac:dyDescent="0.25">
      <c r="C73" s="9" t="s">
        <v>216</v>
      </c>
      <c r="D73" s="8">
        <v>5</v>
      </c>
      <c r="E73" s="8">
        <v>3.9182634665627933</v>
      </c>
      <c r="F73" s="8">
        <v>1.0817365334372067</v>
      </c>
    </row>
    <row r="74" spans="3:6" x14ac:dyDescent="0.25">
      <c r="C74" s="9" t="s">
        <v>217</v>
      </c>
      <c r="D74" s="8">
        <v>3</v>
      </c>
      <c r="E74" s="8">
        <v>4.1679831945013897</v>
      </c>
      <c r="F74" s="8">
        <v>-1.1679831945013897</v>
      </c>
    </row>
    <row r="75" spans="3:6" x14ac:dyDescent="0.25">
      <c r="C75" s="9" t="s">
        <v>218</v>
      </c>
      <c r="D75" s="8">
        <v>4</v>
      </c>
      <c r="E75" s="8">
        <v>3.9229841224884687</v>
      </c>
      <c r="F75" s="8">
        <v>7.7015877511531272E-2</v>
      </c>
    </row>
    <row r="76" spans="3:6" x14ac:dyDescent="0.25">
      <c r="C76" s="9" t="s">
        <v>219</v>
      </c>
      <c r="D76" s="8">
        <v>3</v>
      </c>
      <c r="E76" s="8">
        <v>3.5478843440871439</v>
      </c>
      <c r="F76" s="8">
        <v>-0.54788434408714393</v>
      </c>
    </row>
    <row r="77" spans="3:6" x14ac:dyDescent="0.25">
      <c r="C77" s="9" t="s">
        <v>220</v>
      </c>
      <c r="D77" s="8">
        <v>5</v>
      </c>
      <c r="E77" s="8">
        <v>4.0271784410408289</v>
      </c>
      <c r="F77" s="8">
        <v>0.97282155895917111</v>
      </c>
    </row>
    <row r="78" spans="3:6" x14ac:dyDescent="0.25">
      <c r="C78" s="9" t="s">
        <v>221</v>
      </c>
      <c r="D78" s="8">
        <v>5</v>
      </c>
      <c r="E78" s="8">
        <v>4.2128923553116042</v>
      </c>
      <c r="F78" s="8">
        <v>0.78710764468839578</v>
      </c>
    </row>
    <row r="79" spans="3:6" x14ac:dyDescent="0.25">
      <c r="C79" s="9" t="s">
        <v>222</v>
      </c>
      <c r="D79" s="8">
        <v>4</v>
      </c>
      <c r="E79" s="8">
        <v>4.4268672756201264</v>
      </c>
      <c r="F79" s="8">
        <v>-0.42686727562012639</v>
      </c>
    </row>
    <row r="80" spans="3:6" x14ac:dyDescent="0.25">
      <c r="C80" s="9" t="s">
        <v>223</v>
      </c>
      <c r="D80" s="8">
        <v>5</v>
      </c>
      <c r="E80" s="8">
        <v>4.2884228501224033</v>
      </c>
      <c r="F80" s="8">
        <v>0.71157714987759668</v>
      </c>
    </row>
    <row r="81" spans="3:6" x14ac:dyDescent="0.25">
      <c r="C81" s="9" t="s">
        <v>224</v>
      </c>
      <c r="D81" s="8">
        <v>4</v>
      </c>
      <c r="E81" s="8">
        <v>3.5785686076040313</v>
      </c>
      <c r="F81" s="8">
        <v>0.42143139239596872</v>
      </c>
    </row>
    <row r="82" spans="3:6" x14ac:dyDescent="0.25">
      <c r="C82" s="9" t="s">
        <v>225</v>
      </c>
      <c r="D82" s="8">
        <v>5</v>
      </c>
      <c r="E82" s="8">
        <v>4.2779488947873121</v>
      </c>
      <c r="F82" s="8">
        <v>0.72205110521268789</v>
      </c>
    </row>
    <row r="83" spans="3:6" x14ac:dyDescent="0.25">
      <c r="C83" s="9" t="s">
        <v>226</v>
      </c>
      <c r="D83" s="8">
        <v>3</v>
      </c>
      <c r="E83" s="8">
        <v>3.9054291832648644</v>
      </c>
      <c r="F83" s="8">
        <v>-0.90542918326486443</v>
      </c>
    </row>
    <row r="84" spans="3:6" x14ac:dyDescent="0.25">
      <c r="C84" s="9" t="s">
        <v>458</v>
      </c>
      <c r="D84" s="8">
        <v>4</v>
      </c>
      <c r="E84" s="8">
        <v>4.1679831945013897</v>
      </c>
      <c r="F84" s="8">
        <v>-0.16798319450138965</v>
      </c>
    </row>
    <row r="85" spans="3:6" x14ac:dyDescent="0.25">
      <c r="C85" s="9" t="s">
        <v>427</v>
      </c>
      <c r="D85" s="8">
        <v>4</v>
      </c>
      <c r="E85" s="8">
        <v>4.5224605581150445</v>
      </c>
      <c r="F85" s="8">
        <v>-0.52246055811504455</v>
      </c>
    </row>
    <row r="86" spans="3:6" x14ac:dyDescent="0.25">
      <c r="C86" s="9" t="s">
        <v>227</v>
      </c>
      <c r="D86" s="8">
        <v>3</v>
      </c>
      <c r="E86" s="8">
        <v>3.8731365865785259</v>
      </c>
      <c r="F86" s="8">
        <v>-0.87313658657852589</v>
      </c>
    </row>
    <row r="87" spans="3:6" x14ac:dyDescent="0.25">
      <c r="C87" s="9" t="s">
        <v>420</v>
      </c>
      <c r="D87" s="8">
        <v>4</v>
      </c>
      <c r="E87" s="8">
        <v>4.0816837033601443</v>
      </c>
      <c r="F87" s="8">
        <v>-8.16837033601443E-2</v>
      </c>
    </row>
    <row r="88" spans="3:6" x14ac:dyDescent="0.25">
      <c r="C88" s="9" t="s">
        <v>228</v>
      </c>
      <c r="D88" s="8">
        <v>4</v>
      </c>
      <c r="E88" s="8">
        <v>4.2860625221595656</v>
      </c>
      <c r="F88" s="8">
        <v>-0.28606252215956562</v>
      </c>
    </row>
    <row r="89" spans="3:6" x14ac:dyDescent="0.25">
      <c r="C89" s="9" t="s">
        <v>229</v>
      </c>
      <c r="D89" s="8">
        <v>4</v>
      </c>
      <c r="E89" s="8">
        <v>3.8731365865785259</v>
      </c>
      <c r="F89" s="8">
        <v>0.12686341342147411</v>
      </c>
    </row>
    <row r="90" spans="3:6" x14ac:dyDescent="0.25">
      <c r="C90" s="9" t="s">
        <v>230</v>
      </c>
      <c r="D90" s="8">
        <v>5</v>
      </c>
      <c r="E90" s="8">
        <v>4.4727605427027788</v>
      </c>
      <c r="F90" s="8">
        <v>0.52723945729722121</v>
      </c>
    </row>
    <row r="91" spans="3:6" x14ac:dyDescent="0.25">
      <c r="C91" s="9" t="s">
        <v>231</v>
      </c>
      <c r="D91" s="8">
        <v>4</v>
      </c>
      <c r="E91" s="8">
        <v>4.2779488947873121</v>
      </c>
      <c r="F91" s="8">
        <v>-0.27794889478731211</v>
      </c>
    </row>
    <row r="92" spans="3:6" x14ac:dyDescent="0.25">
      <c r="C92" s="9" t="s">
        <v>232</v>
      </c>
      <c r="D92" s="8">
        <v>4</v>
      </c>
      <c r="E92" s="8">
        <v>3.664100041369732</v>
      </c>
      <c r="F92" s="8">
        <v>0.335899958630268</v>
      </c>
    </row>
    <row r="93" spans="3:6" x14ac:dyDescent="0.25">
      <c r="C93" s="9" t="s">
        <v>233</v>
      </c>
      <c r="D93" s="8">
        <v>3</v>
      </c>
      <c r="E93" s="8">
        <v>3.5478843440871439</v>
      </c>
      <c r="F93" s="8">
        <v>-0.54788434408714393</v>
      </c>
    </row>
    <row r="94" spans="3:6" x14ac:dyDescent="0.25">
      <c r="C94" s="9" t="s">
        <v>234</v>
      </c>
      <c r="D94" s="8">
        <v>5</v>
      </c>
      <c r="E94" s="8">
        <v>4.3267008576972108</v>
      </c>
      <c r="F94" s="8">
        <v>0.6732991423027892</v>
      </c>
    </row>
    <row r="95" spans="3:6" x14ac:dyDescent="0.25">
      <c r="C95" s="9" t="s">
        <v>441</v>
      </c>
      <c r="D95" s="8">
        <v>3</v>
      </c>
      <c r="E95" s="8">
        <v>4.1679831945013897</v>
      </c>
      <c r="F95" s="8">
        <v>-1.1679831945013897</v>
      </c>
    </row>
    <row r="96" spans="3:6" x14ac:dyDescent="0.25">
      <c r="C96" s="9" t="s">
        <v>235</v>
      </c>
      <c r="D96" s="8">
        <v>5</v>
      </c>
      <c r="E96" s="8">
        <v>3.5478843440871439</v>
      </c>
      <c r="F96" s="8">
        <v>1.4521156559128561</v>
      </c>
    </row>
    <row r="97" spans="3:6" x14ac:dyDescent="0.25">
      <c r="C97" s="9" t="s">
        <v>236</v>
      </c>
      <c r="D97" s="8">
        <v>5</v>
      </c>
      <c r="E97" s="8">
        <v>4.1320206676972626</v>
      </c>
      <c r="F97" s="8">
        <v>0.86797933230273738</v>
      </c>
    </row>
    <row r="98" spans="3:6" x14ac:dyDescent="0.25">
      <c r="C98" s="9" t="s">
        <v>237</v>
      </c>
      <c r="D98" s="8">
        <v>4</v>
      </c>
      <c r="E98" s="8">
        <v>4.3618251284494169</v>
      </c>
      <c r="F98" s="8">
        <v>-0.36182512844941694</v>
      </c>
    </row>
    <row r="99" spans="3:6" x14ac:dyDescent="0.25">
      <c r="C99" s="9" t="s">
        <v>238</v>
      </c>
      <c r="D99" s="8">
        <v>5</v>
      </c>
      <c r="E99" s="8">
        <v>4.2779488947873121</v>
      </c>
      <c r="F99" s="8">
        <v>0.72205110521268789</v>
      </c>
    </row>
    <row r="100" spans="3:6" x14ac:dyDescent="0.25">
      <c r="C100" s="9" t="s">
        <v>239</v>
      </c>
      <c r="D100" s="8">
        <v>4</v>
      </c>
      <c r="E100" s="8">
        <v>3.664100041369732</v>
      </c>
      <c r="F100" s="8">
        <v>0.335899958630268</v>
      </c>
    </row>
    <row r="101" spans="3:6" x14ac:dyDescent="0.25">
      <c r="C101" s="9" t="s">
        <v>449</v>
      </c>
      <c r="D101" s="8">
        <v>4</v>
      </c>
      <c r="E101" s="8">
        <v>3.9182634665627933</v>
      </c>
      <c r="F101" s="8">
        <v>8.173653343720666E-2</v>
      </c>
    </row>
    <row r="102" spans="3:6" x14ac:dyDescent="0.25">
      <c r="C102" s="9" t="s">
        <v>467</v>
      </c>
      <c r="D102" s="8">
        <v>3</v>
      </c>
      <c r="E102" s="8">
        <v>3.837452688722768</v>
      </c>
      <c r="F102" s="8">
        <v>-0.83745268872276801</v>
      </c>
    </row>
    <row r="103" spans="3:6" x14ac:dyDescent="0.25">
      <c r="C103" s="9" t="s">
        <v>240</v>
      </c>
      <c r="D103" s="8">
        <v>4</v>
      </c>
      <c r="E103" s="8">
        <v>4.2156323152511712</v>
      </c>
      <c r="F103" s="8">
        <v>-0.21563231525117121</v>
      </c>
    </row>
    <row r="104" spans="3:6" x14ac:dyDescent="0.25">
      <c r="C104" s="9" t="s">
        <v>241</v>
      </c>
      <c r="D104" s="8">
        <v>2</v>
      </c>
      <c r="E104" s="8">
        <v>4.3475785696910174</v>
      </c>
      <c r="F104" s="8">
        <v>-2.3475785696910174</v>
      </c>
    </row>
    <row r="105" spans="3:6" x14ac:dyDescent="0.25">
      <c r="C105" s="9" t="s">
        <v>417</v>
      </c>
      <c r="D105" s="8">
        <v>4</v>
      </c>
      <c r="E105" s="8">
        <v>4.3267008576972108</v>
      </c>
      <c r="F105" s="8">
        <v>-0.3267008576972108</v>
      </c>
    </row>
    <row r="106" spans="3:6" x14ac:dyDescent="0.25">
      <c r="C106" s="9" t="s">
        <v>242</v>
      </c>
      <c r="D106" s="8">
        <v>4</v>
      </c>
      <c r="E106" s="8">
        <v>4.0678167765784741</v>
      </c>
      <c r="F106" s="8">
        <v>-6.7816776578474069E-2</v>
      </c>
    </row>
    <row r="107" spans="3:6" x14ac:dyDescent="0.25">
      <c r="C107" s="9" t="s">
        <v>243</v>
      </c>
      <c r="D107" s="8">
        <v>4</v>
      </c>
      <c r="E107" s="8">
        <v>4.3618251284494169</v>
      </c>
      <c r="F107" s="8">
        <v>-0.36182512844941694</v>
      </c>
    </row>
    <row r="108" spans="3:6" x14ac:dyDescent="0.25">
      <c r="C108" s="9" t="s">
        <v>244</v>
      </c>
      <c r="D108" s="8">
        <v>5</v>
      </c>
      <c r="E108" s="8">
        <v>3.9182634665627933</v>
      </c>
      <c r="F108" s="8">
        <v>1.0817365334372067</v>
      </c>
    </row>
    <row r="109" spans="3:6" x14ac:dyDescent="0.25">
      <c r="C109" s="9" t="s">
        <v>245</v>
      </c>
      <c r="D109" s="8">
        <v>4</v>
      </c>
      <c r="E109" s="8">
        <v>4.340567784478881</v>
      </c>
      <c r="F109" s="8">
        <v>-0.34056778447888103</v>
      </c>
    </row>
    <row r="110" spans="3:6" x14ac:dyDescent="0.25">
      <c r="C110" s="9" t="s">
        <v>246</v>
      </c>
      <c r="D110" s="8">
        <v>4</v>
      </c>
      <c r="E110" s="8">
        <v>4.3475785696910174</v>
      </c>
      <c r="F110" s="8">
        <v>-0.34757856969101741</v>
      </c>
    </row>
    <row r="111" spans="3:6" x14ac:dyDescent="0.25">
      <c r="C111" s="9" t="s">
        <v>247</v>
      </c>
      <c r="D111" s="8">
        <v>4</v>
      </c>
      <c r="E111" s="8">
        <v>3.9182634665627933</v>
      </c>
      <c r="F111" s="8">
        <v>8.173653343720666E-2</v>
      </c>
    </row>
    <row r="112" spans="3:6" x14ac:dyDescent="0.25">
      <c r="C112" s="9" t="s">
        <v>248</v>
      </c>
      <c r="D112" s="8">
        <v>3</v>
      </c>
      <c r="E112" s="8">
        <v>4.0886944885722807</v>
      </c>
      <c r="F112" s="8">
        <v>-1.0886944885722807</v>
      </c>
    </row>
    <row r="113" spans="3:6" x14ac:dyDescent="0.25">
      <c r="C113" s="9" t="s">
        <v>410</v>
      </c>
      <c r="D113" s="8">
        <v>5</v>
      </c>
      <c r="E113" s="8">
        <v>4.2265813067084395</v>
      </c>
      <c r="F113" s="8">
        <v>0.77341869329156054</v>
      </c>
    </row>
    <row r="114" spans="3:6" x14ac:dyDescent="0.25">
      <c r="C114" s="9" t="s">
        <v>249</v>
      </c>
      <c r="D114" s="8">
        <v>4</v>
      </c>
      <c r="E114" s="8">
        <v>3.5478843440871439</v>
      </c>
      <c r="F114" s="8">
        <v>0.45211565591285607</v>
      </c>
    </row>
    <row r="115" spans="3:6" x14ac:dyDescent="0.25">
      <c r="C115" s="9" t="s">
        <v>250</v>
      </c>
      <c r="D115" s="8">
        <v>2</v>
      </c>
      <c r="E115" s="8">
        <v>4.4842527492166129</v>
      </c>
      <c r="F115" s="8">
        <v>-2.4842527492166129</v>
      </c>
    </row>
    <row r="116" spans="3:6" x14ac:dyDescent="0.25">
      <c r="C116" s="9" t="s">
        <v>251</v>
      </c>
      <c r="D116" s="8">
        <v>4</v>
      </c>
      <c r="E116" s="8">
        <v>4.2128923553116042</v>
      </c>
      <c r="F116" s="8">
        <v>-0.21289235531160422</v>
      </c>
    </row>
    <row r="117" spans="3:6" x14ac:dyDescent="0.25">
      <c r="C117" s="9" t="s">
        <v>252</v>
      </c>
      <c r="D117" s="8">
        <v>5</v>
      </c>
      <c r="E117" s="8">
        <v>4.3475785696910174</v>
      </c>
      <c r="F117" s="8">
        <v>0.65242143030898259</v>
      </c>
    </row>
    <row r="118" spans="3:6" x14ac:dyDescent="0.25">
      <c r="C118" s="9" t="s">
        <v>451</v>
      </c>
      <c r="D118" s="8">
        <v>3</v>
      </c>
      <c r="E118" s="8">
        <v>3.5785686076040313</v>
      </c>
      <c r="F118" s="8">
        <v>-0.57856860760403128</v>
      </c>
    </row>
    <row r="119" spans="3:6" x14ac:dyDescent="0.25">
      <c r="C119" s="9" t="s">
        <v>253</v>
      </c>
      <c r="D119" s="8">
        <v>4</v>
      </c>
      <c r="E119" s="8">
        <v>3.9054291832648644</v>
      </c>
      <c r="F119" s="8">
        <v>9.4570816735135566E-2</v>
      </c>
    </row>
    <row r="120" spans="3:6" x14ac:dyDescent="0.25">
      <c r="C120" s="9" t="s">
        <v>254</v>
      </c>
      <c r="D120" s="8">
        <v>4</v>
      </c>
      <c r="E120" s="8">
        <v>4.0271784410408289</v>
      </c>
      <c r="F120" s="8">
        <v>-2.7178441040828893E-2</v>
      </c>
    </row>
    <row r="121" spans="3:6" x14ac:dyDescent="0.25">
      <c r="C121" s="9" t="s">
        <v>424</v>
      </c>
      <c r="D121" s="8">
        <v>4</v>
      </c>
      <c r="E121" s="8">
        <v>3.9182634665627933</v>
      </c>
      <c r="F121" s="8">
        <v>8.173653343720666E-2</v>
      </c>
    </row>
    <row r="122" spans="3:6" x14ac:dyDescent="0.25">
      <c r="C122" s="9" t="s">
        <v>255</v>
      </c>
      <c r="D122" s="8">
        <v>5</v>
      </c>
      <c r="E122" s="8">
        <v>4.6207092095681537</v>
      </c>
      <c r="F122" s="8">
        <v>0.37929079043184633</v>
      </c>
    </row>
    <row r="123" spans="3:6" x14ac:dyDescent="0.25">
      <c r="C123" s="9" t="s">
        <v>256</v>
      </c>
      <c r="D123" s="8">
        <v>5</v>
      </c>
      <c r="E123" s="8">
        <v>4.7316446238215155</v>
      </c>
      <c r="F123" s="8">
        <v>0.26835537617848448</v>
      </c>
    </row>
    <row r="124" spans="3:6" x14ac:dyDescent="0.25">
      <c r="C124" s="9" t="s">
        <v>459</v>
      </c>
      <c r="D124" s="8">
        <v>3</v>
      </c>
      <c r="E124" s="8">
        <v>3.9676972255897027</v>
      </c>
      <c r="F124" s="8">
        <v>-0.96769722558970273</v>
      </c>
    </row>
    <row r="125" spans="3:6" x14ac:dyDescent="0.25">
      <c r="C125" s="9" t="s">
        <v>257</v>
      </c>
      <c r="D125" s="8">
        <v>3</v>
      </c>
      <c r="E125" s="8">
        <v>4.0295387690036666</v>
      </c>
      <c r="F125" s="8">
        <v>-1.0295387690036666</v>
      </c>
    </row>
    <row r="126" spans="3:6" x14ac:dyDescent="0.25">
      <c r="C126" s="9" t="s">
        <v>258</v>
      </c>
      <c r="D126" s="8">
        <v>4</v>
      </c>
      <c r="E126" s="8">
        <v>4.3475785696910174</v>
      </c>
      <c r="F126" s="8">
        <v>-0.34757856969101741</v>
      </c>
    </row>
    <row r="127" spans="3:6" x14ac:dyDescent="0.25">
      <c r="C127" s="9" t="s">
        <v>259</v>
      </c>
      <c r="D127" s="8">
        <v>4</v>
      </c>
      <c r="E127" s="8">
        <v>4.2156323152511712</v>
      </c>
      <c r="F127" s="8">
        <v>-0.21563231525117121</v>
      </c>
    </row>
    <row r="128" spans="3:6" x14ac:dyDescent="0.25">
      <c r="C128" s="9" t="s">
        <v>415</v>
      </c>
      <c r="D128" s="8">
        <v>4</v>
      </c>
      <c r="E128" s="8">
        <v>4.3206993842265833</v>
      </c>
      <c r="F128" s="8">
        <v>-0.32069938422658328</v>
      </c>
    </row>
    <row r="129" spans="3:6" x14ac:dyDescent="0.25">
      <c r="C129" s="9" t="s">
        <v>260</v>
      </c>
      <c r="D129" s="8">
        <v>5</v>
      </c>
      <c r="E129" s="8">
        <v>4.3475785696910174</v>
      </c>
      <c r="F129" s="8">
        <v>0.65242143030898259</v>
      </c>
    </row>
    <row r="130" spans="3:6" x14ac:dyDescent="0.25">
      <c r="C130" s="9" t="s">
        <v>473</v>
      </c>
      <c r="D130" s="8">
        <v>3</v>
      </c>
      <c r="E130" s="8">
        <v>3.9676972255897027</v>
      </c>
      <c r="F130" s="8">
        <v>-0.96769722558970273</v>
      </c>
    </row>
    <row r="131" spans="3:6" x14ac:dyDescent="0.25">
      <c r="C131" s="9" t="s">
        <v>261</v>
      </c>
      <c r="D131" s="8">
        <v>5</v>
      </c>
      <c r="E131" s="8">
        <v>4.0886944885722807</v>
      </c>
      <c r="F131" s="8">
        <v>0.91130551142771932</v>
      </c>
    </row>
    <row r="132" spans="3:6" x14ac:dyDescent="0.25">
      <c r="C132" s="9" t="s">
        <v>262</v>
      </c>
      <c r="D132" s="8">
        <v>3</v>
      </c>
      <c r="E132" s="8">
        <v>3.5478843440871439</v>
      </c>
      <c r="F132" s="8">
        <v>-0.54788434408714393</v>
      </c>
    </row>
    <row r="133" spans="3:6" x14ac:dyDescent="0.25">
      <c r="C133" s="9" t="s">
        <v>263</v>
      </c>
      <c r="D133" s="8">
        <v>4</v>
      </c>
      <c r="E133" s="8">
        <v>4.0678167765784741</v>
      </c>
      <c r="F133" s="8">
        <v>-6.7816776578474069E-2</v>
      </c>
    </row>
    <row r="134" spans="3:6" x14ac:dyDescent="0.25">
      <c r="C134" s="9" t="s">
        <v>264</v>
      </c>
      <c r="D134" s="8">
        <v>4</v>
      </c>
      <c r="E134" s="8">
        <v>4.5224605581150445</v>
      </c>
      <c r="F134" s="8">
        <v>-0.52246055811504455</v>
      </c>
    </row>
    <row r="135" spans="3:6" x14ac:dyDescent="0.25">
      <c r="C135" s="9" t="s">
        <v>265</v>
      </c>
      <c r="D135" s="8">
        <v>1</v>
      </c>
      <c r="E135" s="8">
        <v>4.3618251284494169</v>
      </c>
      <c r="F135" s="8">
        <v>-3.3618251284494169</v>
      </c>
    </row>
    <row r="136" spans="3:6" x14ac:dyDescent="0.25">
      <c r="C136" s="9" t="s">
        <v>455</v>
      </c>
      <c r="D136" s="8">
        <v>1</v>
      </c>
      <c r="E136" s="8">
        <v>4.2128923553116042</v>
      </c>
      <c r="F136" s="8">
        <v>-3.2128923553116042</v>
      </c>
    </row>
    <row r="137" spans="3:6" x14ac:dyDescent="0.25">
      <c r="C137" s="9" t="s">
        <v>266</v>
      </c>
      <c r="D137" s="8">
        <v>5</v>
      </c>
      <c r="E137" s="8">
        <v>3.954008274192867</v>
      </c>
      <c r="F137" s="8">
        <v>1.045991725807133</v>
      </c>
    </row>
    <row r="138" spans="3:6" x14ac:dyDescent="0.25">
      <c r="C138" s="9" t="s">
        <v>267</v>
      </c>
      <c r="D138" s="8">
        <v>2</v>
      </c>
      <c r="E138" s="8">
        <v>4.0816837033601443</v>
      </c>
      <c r="F138" s="8">
        <v>-2.0816837033601443</v>
      </c>
    </row>
    <row r="139" spans="3:6" x14ac:dyDescent="0.25">
      <c r="C139" s="9" t="s">
        <v>268</v>
      </c>
      <c r="D139" s="8">
        <v>3</v>
      </c>
      <c r="E139" s="8">
        <v>3.6465451021461277</v>
      </c>
      <c r="F139" s="8">
        <v>-0.6465451021461277</v>
      </c>
    </row>
    <row r="140" spans="3:6" x14ac:dyDescent="0.25">
      <c r="C140" s="9" t="s">
        <v>269</v>
      </c>
      <c r="D140" s="8">
        <v>3</v>
      </c>
      <c r="E140" s="8">
        <v>3.837452688722768</v>
      </c>
      <c r="F140" s="8">
        <v>-0.83745268872276801</v>
      </c>
    </row>
    <row r="141" spans="3:6" x14ac:dyDescent="0.25">
      <c r="C141" s="9" t="s">
        <v>270</v>
      </c>
      <c r="D141" s="8">
        <v>4</v>
      </c>
      <c r="E141" s="8">
        <v>3.5478843440871439</v>
      </c>
      <c r="F141" s="8">
        <v>0.45211565591285607</v>
      </c>
    </row>
    <row r="142" spans="3:6" x14ac:dyDescent="0.25">
      <c r="C142" s="9" t="s">
        <v>271</v>
      </c>
      <c r="D142" s="8">
        <v>4</v>
      </c>
      <c r="E142" s="8">
        <v>3.5785686076040313</v>
      </c>
      <c r="F142" s="8">
        <v>0.42143139239596872</v>
      </c>
    </row>
    <row r="143" spans="3:6" x14ac:dyDescent="0.25">
      <c r="C143" s="9" t="s">
        <v>272</v>
      </c>
      <c r="D143" s="8">
        <v>3</v>
      </c>
      <c r="E143" s="8">
        <v>3.9054291832648644</v>
      </c>
      <c r="F143" s="8">
        <v>-0.90542918326486443</v>
      </c>
    </row>
    <row r="144" spans="3:6" x14ac:dyDescent="0.25">
      <c r="C144" s="9" t="s">
        <v>273</v>
      </c>
      <c r="D144" s="8">
        <v>4</v>
      </c>
      <c r="E144" s="8">
        <v>4.2884228501224033</v>
      </c>
      <c r="F144" s="8">
        <v>-0.28842285012240332</v>
      </c>
    </row>
    <row r="145" spans="3:6" x14ac:dyDescent="0.25">
      <c r="C145" s="9" t="s">
        <v>419</v>
      </c>
      <c r="D145" s="8">
        <v>5</v>
      </c>
      <c r="E145" s="8">
        <v>4.0816837033601443</v>
      </c>
      <c r="F145" s="8">
        <v>0.9183162966398557</v>
      </c>
    </row>
    <row r="146" spans="3:6" x14ac:dyDescent="0.25">
      <c r="C146" s="9" t="s">
        <v>274</v>
      </c>
      <c r="D146" s="8">
        <v>4</v>
      </c>
      <c r="E146" s="8">
        <v>4.2265813067084395</v>
      </c>
      <c r="F146" s="8">
        <v>-0.22658130670843946</v>
      </c>
    </row>
    <row r="147" spans="3:6" x14ac:dyDescent="0.25">
      <c r="C147" s="9" t="s">
        <v>275</v>
      </c>
      <c r="D147" s="8">
        <v>3</v>
      </c>
      <c r="E147" s="8">
        <v>4.2884228501224033</v>
      </c>
      <c r="F147" s="8">
        <v>-1.2884228501224033</v>
      </c>
    </row>
    <row r="148" spans="3:6" x14ac:dyDescent="0.25">
      <c r="C148" s="9" t="s">
        <v>276</v>
      </c>
      <c r="D148" s="8">
        <v>4</v>
      </c>
      <c r="E148" s="8">
        <v>4.2265813067084395</v>
      </c>
      <c r="F148" s="8">
        <v>-0.22658130670843946</v>
      </c>
    </row>
    <row r="149" spans="3:6" x14ac:dyDescent="0.25">
      <c r="C149" s="9" t="s">
        <v>277</v>
      </c>
      <c r="D149" s="8">
        <v>5</v>
      </c>
      <c r="E149" s="8">
        <v>4.0295387690036666</v>
      </c>
      <c r="F149" s="8">
        <v>0.97046123099633341</v>
      </c>
    </row>
    <row r="150" spans="3:6" x14ac:dyDescent="0.25">
      <c r="C150" s="9" t="s">
        <v>471</v>
      </c>
      <c r="D150" s="8">
        <v>5</v>
      </c>
      <c r="E150" s="8">
        <v>4.3206993842265833</v>
      </c>
      <c r="F150" s="8">
        <v>0.67930061577341672</v>
      </c>
    </row>
    <row r="151" spans="3:6" x14ac:dyDescent="0.25">
      <c r="C151" s="9" t="s">
        <v>278</v>
      </c>
      <c r="D151" s="8">
        <v>4</v>
      </c>
      <c r="E151" s="8">
        <v>4.4727605427027788</v>
      </c>
      <c r="F151" s="8">
        <v>-0.47276054270277879</v>
      </c>
    </row>
    <row r="152" spans="3:6" x14ac:dyDescent="0.25">
      <c r="C152" s="9" t="s">
        <v>463</v>
      </c>
      <c r="D152" s="8">
        <v>5</v>
      </c>
      <c r="E152" s="8">
        <v>4.1679831945013897</v>
      </c>
      <c r="F152" s="8">
        <v>0.83201680549861035</v>
      </c>
    </row>
    <row r="153" spans="3:6" x14ac:dyDescent="0.25">
      <c r="C153" s="9" t="s">
        <v>450</v>
      </c>
      <c r="D153" s="8">
        <v>2</v>
      </c>
      <c r="E153" s="8">
        <v>4.0816837033601443</v>
      </c>
      <c r="F153" s="8">
        <v>-2.0816837033601443</v>
      </c>
    </row>
    <row r="154" spans="3:6" x14ac:dyDescent="0.25">
      <c r="C154" s="9" t="s">
        <v>279</v>
      </c>
      <c r="D154" s="8">
        <v>5</v>
      </c>
      <c r="E154" s="8">
        <v>4.7316446238215155</v>
      </c>
      <c r="F154" s="8">
        <v>0.26835537617848448</v>
      </c>
    </row>
    <row r="155" spans="3:6" x14ac:dyDescent="0.25">
      <c r="C155" s="9" t="s">
        <v>280</v>
      </c>
      <c r="D155" s="8">
        <v>4</v>
      </c>
      <c r="E155" s="8">
        <v>4.1320206676972626</v>
      </c>
      <c r="F155" s="8">
        <v>-0.13202066769726262</v>
      </c>
    </row>
    <row r="156" spans="3:6" x14ac:dyDescent="0.25">
      <c r="C156" s="9" t="s">
        <v>281</v>
      </c>
      <c r="D156" s="8">
        <v>5</v>
      </c>
      <c r="E156" s="8">
        <v>4.340567784478881</v>
      </c>
      <c r="F156" s="8">
        <v>0.65943221552111897</v>
      </c>
    </row>
    <row r="157" spans="3:6" x14ac:dyDescent="0.25">
      <c r="C157" s="9" t="s">
        <v>282</v>
      </c>
      <c r="D157" s="8">
        <v>2</v>
      </c>
      <c r="E157" s="8">
        <v>3.6465451021461277</v>
      </c>
      <c r="F157" s="8">
        <v>-1.6465451021461277</v>
      </c>
    </row>
    <row r="158" spans="3:6" x14ac:dyDescent="0.25">
      <c r="C158" s="9" t="s">
        <v>422</v>
      </c>
      <c r="D158" s="8">
        <v>3</v>
      </c>
      <c r="E158" s="8">
        <v>3.664100041369732</v>
      </c>
      <c r="F158" s="8">
        <v>-0.664100041369732</v>
      </c>
    </row>
    <row r="159" spans="3:6" x14ac:dyDescent="0.25">
      <c r="C159" s="9" t="s">
        <v>283</v>
      </c>
      <c r="D159" s="8">
        <v>4</v>
      </c>
      <c r="E159" s="8">
        <v>3.9054291832648644</v>
      </c>
      <c r="F159" s="8">
        <v>9.4570816735135566E-2</v>
      </c>
    </row>
    <row r="160" spans="3:6" x14ac:dyDescent="0.25">
      <c r="C160" s="9" t="s">
        <v>284</v>
      </c>
      <c r="D160" s="8">
        <v>5</v>
      </c>
      <c r="E160" s="8">
        <v>4.2635764769963078</v>
      </c>
      <c r="F160" s="8">
        <v>0.73642352300369218</v>
      </c>
    </row>
    <row r="161" spans="3:6" x14ac:dyDescent="0.25">
      <c r="C161" s="9" t="s">
        <v>423</v>
      </c>
      <c r="D161" s="8">
        <v>3</v>
      </c>
      <c r="E161" s="8">
        <v>3.664100041369732</v>
      </c>
      <c r="F161" s="8">
        <v>-0.664100041369732</v>
      </c>
    </row>
    <row r="162" spans="3:6" x14ac:dyDescent="0.25">
      <c r="C162" s="9" t="s">
        <v>285</v>
      </c>
      <c r="D162" s="8">
        <v>5</v>
      </c>
      <c r="E162" s="8">
        <v>4.1679831945013897</v>
      </c>
      <c r="F162" s="8">
        <v>0.83201680549861035</v>
      </c>
    </row>
    <row r="163" spans="3:6" x14ac:dyDescent="0.25">
      <c r="C163" s="9" t="s">
        <v>286</v>
      </c>
      <c r="D163" s="8">
        <v>5</v>
      </c>
      <c r="E163" s="8">
        <v>4.0618153031078466</v>
      </c>
      <c r="F163" s="8">
        <v>0.93818469689215345</v>
      </c>
    </row>
    <row r="164" spans="3:6" x14ac:dyDescent="0.25">
      <c r="C164" s="9" t="s">
        <v>416</v>
      </c>
      <c r="D164" s="8">
        <v>3</v>
      </c>
      <c r="E164" s="8">
        <v>3.8731365865785259</v>
      </c>
      <c r="F164" s="8">
        <v>-0.87313658657852589</v>
      </c>
    </row>
    <row r="165" spans="3:6" x14ac:dyDescent="0.25">
      <c r="C165" s="9" t="s">
        <v>452</v>
      </c>
      <c r="D165" s="8">
        <v>3</v>
      </c>
      <c r="E165" s="8">
        <v>4.2635764769963078</v>
      </c>
      <c r="F165" s="8">
        <v>-1.2635764769963078</v>
      </c>
    </row>
    <row r="166" spans="3:6" x14ac:dyDescent="0.25">
      <c r="C166" s="9" t="s">
        <v>476</v>
      </c>
      <c r="D166" s="8">
        <v>4</v>
      </c>
      <c r="E166" s="8">
        <v>3.8731365865785259</v>
      </c>
      <c r="F166" s="8">
        <v>0.12686341342147411</v>
      </c>
    </row>
    <row r="167" spans="3:6" x14ac:dyDescent="0.25">
      <c r="C167" s="9" t="s">
        <v>436</v>
      </c>
      <c r="D167" s="8">
        <v>4</v>
      </c>
      <c r="E167" s="8">
        <v>4.0190648136685754</v>
      </c>
      <c r="F167" s="8">
        <v>-1.9064813668575376E-2</v>
      </c>
    </row>
    <row r="168" spans="3:6" x14ac:dyDescent="0.25">
      <c r="C168" s="9" t="s">
        <v>469</v>
      </c>
      <c r="D168" s="8">
        <v>2</v>
      </c>
      <c r="E168" s="8">
        <v>4.2128923553116042</v>
      </c>
      <c r="F168" s="8">
        <v>-2.2128923553116042</v>
      </c>
    </row>
    <row r="169" spans="3:6" x14ac:dyDescent="0.25">
      <c r="C169" s="9" t="s">
        <v>457</v>
      </c>
      <c r="D169" s="8">
        <v>1</v>
      </c>
      <c r="E169" s="8">
        <v>4.0618153031078466</v>
      </c>
      <c r="F169" s="8">
        <v>-3.0618153031078466</v>
      </c>
    </row>
    <row r="170" spans="3:6" x14ac:dyDescent="0.25">
      <c r="C170" s="9" t="s">
        <v>287</v>
      </c>
      <c r="D170" s="8">
        <v>4</v>
      </c>
      <c r="E170" s="8">
        <v>4.0678167765784741</v>
      </c>
      <c r="F170" s="8">
        <v>-6.7816776578474069E-2</v>
      </c>
    </row>
    <row r="171" spans="3:6" x14ac:dyDescent="0.25">
      <c r="C171" s="9" t="s">
        <v>288</v>
      </c>
      <c r="D171" s="8">
        <v>4</v>
      </c>
      <c r="E171" s="8">
        <v>3.8067684252058807</v>
      </c>
      <c r="F171" s="8">
        <v>0.19323157479411934</v>
      </c>
    </row>
    <row r="172" spans="3:6" x14ac:dyDescent="0.25">
      <c r="C172" s="9" t="s">
        <v>289</v>
      </c>
      <c r="D172" s="8">
        <v>4</v>
      </c>
      <c r="E172" s="8">
        <v>4.0190648136685754</v>
      </c>
      <c r="F172" s="8">
        <v>-1.9064813668575376E-2</v>
      </c>
    </row>
    <row r="173" spans="3:6" x14ac:dyDescent="0.25">
      <c r="C173" s="9" t="s">
        <v>472</v>
      </c>
      <c r="D173" s="8">
        <v>4</v>
      </c>
      <c r="E173" s="8">
        <v>3.8067684252058807</v>
      </c>
      <c r="F173" s="8">
        <v>0.19323157479411934</v>
      </c>
    </row>
    <row r="174" spans="3:6" x14ac:dyDescent="0.25">
      <c r="C174" s="9" t="s">
        <v>456</v>
      </c>
      <c r="D174" s="8">
        <v>4</v>
      </c>
      <c r="E174" s="8">
        <v>4.2253686680978761</v>
      </c>
      <c r="F174" s="8">
        <v>-0.22536866809787615</v>
      </c>
    </row>
    <row r="175" spans="3:6" x14ac:dyDescent="0.25">
      <c r="C175" s="9" t="s">
        <v>290</v>
      </c>
      <c r="D175" s="8">
        <v>5</v>
      </c>
      <c r="E175" s="8">
        <v>4.3267008576972108</v>
      </c>
      <c r="F175" s="8">
        <v>0.6732991423027892</v>
      </c>
    </row>
    <row r="176" spans="3:6" x14ac:dyDescent="0.25">
      <c r="C176" s="9" t="s">
        <v>291</v>
      </c>
      <c r="D176" s="8">
        <v>4</v>
      </c>
      <c r="E176" s="8">
        <v>4.0886944885722807</v>
      </c>
      <c r="F176" s="8">
        <v>-8.8694488572280683E-2</v>
      </c>
    </row>
    <row r="177" spans="3:6" x14ac:dyDescent="0.25">
      <c r="C177" s="9" t="s">
        <v>292</v>
      </c>
      <c r="D177" s="8">
        <v>5</v>
      </c>
      <c r="E177" s="8">
        <v>4.2156323152511712</v>
      </c>
      <c r="F177" s="8">
        <v>0.78436768474882879</v>
      </c>
    </row>
    <row r="178" spans="3:6" x14ac:dyDescent="0.25">
      <c r="C178" s="9" t="s">
        <v>293</v>
      </c>
      <c r="D178" s="8">
        <v>1</v>
      </c>
      <c r="E178" s="8">
        <v>4.4727605427027788</v>
      </c>
      <c r="F178" s="8">
        <v>-3.4727605427027788</v>
      </c>
    </row>
    <row r="179" spans="3:6" x14ac:dyDescent="0.25">
      <c r="C179" s="9" t="s">
        <v>294</v>
      </c>
      <c r="D179" s="8">
        <v>5</v>
      </c>
      <c r="E179" s="8">
        <v>3.9229841224884687</v>
      </c>
      <c r="F179" s="8">
        <v>1.0770158775115313</v>
      </c>
    </row>
    <row r="180" spans="3:6" x14ac:dyDescent="0.25">
      <c r="C180" s="9" t="s">
        <v>418</v>
      </c>
      <c r="D180" s="8">
        <v>5</v>
      </c>
      <c r="E180" s="8">
        <v>4.5224605581150445</v>
      </c>
      <c r="F180" s="8">
        <v>0.47753944188495545</v>
      </c>
    </row>
    <row r="181" spans="3:6" x14ac:dyDescent="0.25">
      <c r="C181" s="9" t="s">
        <v>295</v>
      </c>
      <c r="D181" s="8">
        <v>5</v>
      </c>
      <c r="E181" s="8">
        <v>3.954008274192867</v>
      </c>
      <c r="F181" s="8">
        <v>1.045991725807133</v>
      </c>
    </row>
    <row r="182" spans="3:6" x14ac:dyDescent="0.25">
      <c r="C182" s="9" t="s">
        <v>296</v>
      </c>
      <c r="D182" s="8">
        <v>3</v>
      </c>
      <c r="E182" s="8">
        <v>3.664100041369732</v>
      </c>
      <c r="F182" s="8">
        <v>-0.664100041369732</v>
      </c>
    </row>
    <row r="183" spans="3:6" x14ac:dyDescent="0.25">
      <c r="C183" s="9" t="s">
        <v>297</v>
      </c>
      <c r="D183" s="8">
        <v>3</v>
      </c>
      <c r="E183" s="8">
        <v>4.2884228501224033</v>
      </c>
      <c r="F183" s="8">
        <v>-1.2884228501224033</v>
      </c>
    </row>
    <row r="184" spans="3:6" x14ac:dyDescent="0.25">
      <c r="C184" s="9" t="s">
        <v>439</v>
      </c>
      <c r="D184" s="8">
        <v>4</v>
      </c>
      <c r="E184" s="8">
        <v>4.2253686680978761</v>
      </c>
      <c r="F184" s="8">
        <v>-0.22536866809787615</v>
      </c>
    </row>
    <row r="185" spans="3:6" x14ac:dyDescent="0.25">
      <c r="C185" s="9" t="s">
        <v>298</v>
      </c>
      <c r="D185" s="8">
        <v>4</v>
      </c>
      <c r="E185" s="8">
        <v>3.5785686076040313</v>
      </c>
      <c r="F185" s="8">
        <v>0.42143139239596872</v>
      </c>
    </row>
    <row r="186" spans="3:6" x14ac:dyDescent="0.25">
      <c r="C186" s="9" t="s">
        <v>299</v>
      </c>
      <c r="D186" s="8">
        <v>1</v>
      </c>
      <c r="E186" s="8">
        <v>4.2253686680978761</v>
      </c>
      <c r="F186" s="8">
        <v>-3.2253686680978761</v>
      </c>
    </row>
    <row r="187" spans="3:6" x14ac:dyDescent="0.25">
      <c r="C187" s="9" t="s">
        <v>443</v>
      </c>
      <c r="D187" s="8">
        <v>5</v>
      </c>
      <c r="E187" s="8">
        <v>4.0190648136685754</v>
      </c>
      <c r="F187" s="8">
        <v>0.98093518633142462</v>
      </c>
    </row>
    <row r="188" spans="3:6" x14ac:dyDescent="0.25">
      <c r="C188" s="9" t="s">
        <v>444</v>
      </c>
      <c r="D188" s="8">
        <v>5</v>
      </c>
      <c r="E188" s="8">
        <v>4.0190648136685754</v>
      </c>
      <c r="F188" s="8">
        <v>0.98093518633142462</v>
      </c>
    </row>
    <row r="189" spans="3:6" x14ac:dyDescent="0.25">
      <c r="C189" s="9" t="s">
        <v>300</v>
      </c>
      <c r="D189" s="8">
        <v>4</v>
      </c>
      <c r="E189" s="8">
        <v>4.2884228501224033</v>
      </c>
      <c r="F189" s="8">
        <v>-0.28842285012240332</v>
      </c>
    </row>
    <row r="190" spans="3:6" x14ac:dyDescent="0.25">
      <c r="C190" s="9" t="s">
        <v>301</v>
      </c>
      <c r="D190" s="8">
        <v>5</v>
      </c>
      <c r="E190" s="8">
        <v>3.9054291832648644</v>
      </c>
      <c r="F190" s="8">
        <v>1.0945708167351356</v>
      </c>
    </row>
    <row r="191" spans="3:6" x14ac:dyDescent="0.25">
      <c r="C191" s="9" t="s">
        <v>302</v>
      </c>
      <c r="D191" s="8">
        <v>5</v>
      </c>
      <c r="E191" s="8">
        <v>4.2860625221595656</v>
      </c>
      <c r="F191" s="8">
        <v>0.71393747784043438</v>
      </c>
    </row>
    <row r="192" spans="3:6" x14ac:dyDescent="0.25">
      <c r="C192" s="9" t="s">
        <v>303</v>
      </c>
      <c r="D192" s="8">
        <v>5</v>
      </c>
      <c r="E192" s="8">
        <v>3.8067684252058807</v>
      </c>
      <c r="F192" s="8">
        <v>1.1932315747941193</v>
      </c>
    </row>
    <row r="193" spans="3:6" x14ac:dyDescent="0.25">
      <c r="C193" s="9" t="s">
        <v>304</v>
      </c>
      <c r="D193" s="8">
        <v>5</v>
      </c>
      <c r="E193" s="8">
        <v>3.9676972255897027</v>
      </c>
      <c r="F193" s="8">
        <v>1.0323027744102973</v>
      </c>
    </row>
    <row r="194" spans="3:6" x14ac:dyDescent="0.25">
      <c r="C194" s="9" t="s">
        <v>305</v>
      </c>
      <c r="D194" s="8">
        <v>5</v>
      </c>
      <c r="E194" s="8">
        <v>3.9182634665627933</v>
      </c>
      <c r="F194" s="8">
        <v>1.0817365334372067</v>
      </c>
    </row>
    <row r="195" spans="3:6" x14ac:dyDescent="0.25">
      <c r="C195" s="9" t="s">
        <v>306</v>
      </c>
      <c r="D195" s="8">
        <v>5</v>
      </c>
      <c r="E195" s="8">
        <v>3.5785686076040313</v>
      </c>
      <c r="F195" s="8">
        <v>1.4214313923959687</v>
      </c>
    </row>
    <row r="196" spans="3:6" x14ac:dyDescent="0.25">
      <c r="C196" s="9" t="s">
        <v>307</v>
      </c>
      <c r="D196" s="8">
        <v>5</v>
      </c>
      <c r="E196" s="8">
        <v>4.0816837033601443</v>
      </c>
      <c r="F196" s="8">
        <v>0.9183162966398557</v>
      </c>
    </row>
    <row r="197" spans="3:6" x14ac:dyDescent="0.25">
      <c r="C197" s="9" t="s">
        <v>308</v>
      </c>
      <c r="D197" s="8">
        <v>5</v>
      </c>
      <c r="E197" s="8">
        <v>4.4727605427027788</v>
      </c>
      <c r="F197" s="8">
        <v>0.52723945729722121</v>
      </c>
    </row>
    <row r="198" spans="3:6" x14ac:dyDescent="0.25">
      <c r="C198" s="9" t="s">
        <v>309</v>
      </c>
      <c r="D198" s="8">
        <v>3</v>
      </c>
      <c r="E198" s="8">
        <v>4.0886944885722807</v>
      </c>
      <c r="F198" s="8">
        <v>-1.0886944885722807</v>
      </c>
    </row>
    <row r="199" spans="3:6" x14ac:dyDescent="0.25">
      <c r="C199" s="9" t="s">
        <v>310</v>
      </c>
      <c r="D199" s="8">
        <v>4</v>
      </c>
      <c r="E199" s="8">
        <v>4.340567784478881</v>
      </c>
      <c r="F199" s="8">
        <v>-0.34056778447888103</v>
      </c>
    </row>
    <row r="200" spans="3:6" x14ac:dyDescent="0.25">
      <c r="C200" s="9" t="s">
        <v>311</v>
      </c>
      <c r="D200" s="8">
        <v>4</v>
      </c>
      <c r="E200" s="8">
        <v>4.3267008576972108</v>
      </c>
      <c r="F200" s="8">
        <v>-0.3267008576972108</v>
      </c>
    </row>
    <row r="201" spans="3:6" x14ac:dyDescent="0.25">
      <c r="C201" s="9" t="s">
        <v>312</v>
      </c>
      <c r="D201" s="8">
        <v>4</v>
      </c>
      <c r="E201" s="8">
        <v>4.2635764769963078</v>
      </c>
      <c r="F201" s="8">
        <v>-0.26357647699630782</v>
      </c>
    </row>
    <row r="202" spans="3:6" x14ac:dyDescent="0.25">
      <c r="C202" s="9" t="s">
        <v>313</v>
      </c>
      <c r="D202" s="8">
        <v>5</v>
      </c>
      <c r="E202" s="8">
        <v>3.9182634665627933</v>
      </c>
      <c r="F202" s="8">
        <v>1.0817365334372067</v>
      </c>
    </row>
    <row r="203" spans="3:6" x14ac:dyDescent="0.25">
      <c r="C203" s="9" t="s">
        <v>440</v>
      </c>
      <c r="D203" s="8">
        <v>3</v>
      </c>
      <c r="E203" s="8">
        <v>3.6465451021461277</v>
      </c>
      <c r="F203" s="8">
        <v>-0.6465451021461277</v>
      </c>
    </row>
    <row r="204" spans="3:6" x14ac:dyDescent="0.25">
      <c r="C204" s="9" t="s">
        <v>314</v>
      </c>
      <c r="D204" s="8">
        <v>3</v>
      </c>
      <c r="E204" s="8">
        <v>3.9676972255897027</v>
      </c>
      <c r="F204" s="8">
        <v>-0.96769722558970273</v>
      </c>
    </row>
    <row r="205" spans="3:6" x14ac:dyDescent="0.25">
      <c r="C205" s="9" t="s">
        <v>315</v>
      </c>
      <c r="D205" s="8">
        <v>4</v>
      </c>
      <c r="E205" s="8">
        <v>3.6593793854440566</v>
      </c>
      <c r="F205" s="8">
        <v>0.34062061455594339</v>
      </c>
    </row>
    <row r="206" spans="3:6" x14ac:dyDescent="0.25">
      <c r="C206" s="9" t="s">
        <v>462</v>
      </c>
      <c r="D206" s="8">
        <v>4</v>
      </c>
      <c r="E206" s="8">
        <v>3.8731365865785259</v>
      </c>
      <c r="F206" s="8">
        <v>0.12686341342147411</v>
      </c>
    </row>
    <row r="207" spans="3:6" x14ac:dyDescent="0.25">
      <c r="C207" s="9" t="s">
        <v>316</v>
      </c>
      <c r="D207" s="8">
        <v>4</v>
      </c>
      <c r="E207" s="8">
        <v>3.9054291832648644</v>
      </c>
      <c r="F207" s="8">
        <v>9.4570816735135566E-2</v>
      </c>
    </row>
    <row r="208" spans="3:6" x14ac:dyDescent="0.25">
      <c r="C208" s="9" t="s">
        <v>317</v>
      </c>
      <c r="D208" s="8">
        <v>3</v>
      </c>
      <c r="E208" s="8">
        <v>3.5785686076040313</v>
      </c>
      <c r="F208" s="8">
        <v>-0.57856860760403128</v>
      </c>
    </row>
    <row r="209" spans="3:6" x14ac:dyDescent="0.25">
      <c r="C209" s="9" t="s">
        <v>435</v>
      </c>
      <c r="D209" s="8">
        <v>5</v>
      </c>
      <c r="E209" s="8">
        <v>4.2156323152511712</v>
      </c>
      <c r="F209" s="8">
        <v>0.78436768474882879</v>
      </c>
    </row>
    <row r="210" spans="3:6" x14ac:dyDescent="0.25">
      <c r="C210" s="9" t="s">
        <v>318</v>
      </c>
      <c r="D210" s="8">
        <v>4</v>
      </c>
      <c r="E210" s="8">
        <v>4.0816837033601443</v>
      </c>
      <c r="F210" s="8">
        <v>-8.16837033601443E-2</v>
      </c>
    </row>
    <row r="211" spans="3:6" x14ac:dyDescent="0.25">
      <c r="C211" s="9" t="s">
        <v>319</v>
      </c>
      <c r="D211" s="8">
        <v>4</v>
      </c>
      <c r="E211" s="8">
        <v>3.954008274192867</v>
      </c>
      <c r="F211" s="8">
        <v>4.5991725807132955E-2</v>
      </c>
    </row>
    <row r="212" spans="3:6" x14ac:dyDescent="0.25">
      <c r="C212" s="9" t="s">
        <v>320</v>
      </c>
      <c r="D212" s="8">
        <v>5</v>
      </c>
      <c r="E212" s="8">
        <v>4.1679831945013897</v>
      </c>
      <c r="F212" s="8">
        <v>0.83201680549861035</v>
      </c>
    </row>
    <row r="213" spans="3:6" x14ac:dyDescent="0.25">
      <c r="C213" s="9" t="s">
        <v>321</v>
      </c>
      <c r="D213" s="8">
        <v>2</v>
      </c>
      <c r="E213" s="8">
        <v>4.2253686680978761</v>
      </c>
      <c r="F213" s="8">
        <v>-2.2253686680978761</v>
      </c>
    </row>
    <row r="214" spans="3:6" x14ac:dyDescent="0.25">
      <c r="C214" s="9" t="s">
        <v>322</v>
      </c>
      <c r="D214" s="8">
        <v>4</v>
      </c>
      <c r="E214" s="8">
        <v>4.2156323152511712</v>
      </c>
      <c r="F214" s="8">
        <v>-0.21563231525117121</v>
      </c>
    </row>
    <row r="215" spans="3:6" x14ac:dyDescent="0.25">
      <c r="C215" s="9" t="s">
        <v>414</v>
      </c>
      <c r="D215" s="8">
        <v>5</v>
      </c>
      <c r="E215" s="8">
        <v>4.2156323152511712</v>
      </c>
      <c r="F215" s="8">
        <v>0.78436768474882879</v>
      </c>
    </row>
    <row r="216" spans="3:6" x14ac:dyDescent="0.25">
      <c r="C216" s="9" t="s">
        <v>323</v>
      </c>
      <c r="D216" s="8">
        <v>2</v>
      </c>
      <c r="E216" s="8">
        <v>3.9182634665627933</v>
      </c>
      <c r="F216" s="8">
        <v>-1.9182634665627933</v>
      </c>
    </row>
    <row r="217" spans="3:6" x14ac:dyDescent="0.25">
      <c r="C217" s="9" t="s">
        <v>324</v>
      </c>
      <c r="D217" s="8">
        <v>4</v>
      </c>
      <c r="E217" s="8">
        <v>3.9676972255897027</v>
      </c>
      <c r="F217" s="8">
        <v>3.2302774410297275E-2</v>
      </c>
    </row>
    <row r="218" spans="3:6" x14ac:dyDescent="0.25">
      <c r="C218" s="9" t="s">
        <v>325</v>
      </c>
      <c r="D218" s="8">
        <v>5</v>
      </c>
      <c r="E218" s="8">
        <v>3.8067684252058807</v>
      </c>
      <c r="F218" s="8">
        <v>1.1932315747941193</v>
      </c>
    </row>
    <row r="219" spans="3:6" x14ac:dyDescent="0.25">
      <c r="C219" s="9" t="s">
        <v>326</v>
      </c>
      <c r="D219" s="8">
        <v>3</v>
      </c>
      <c r="E219" s="8">
        <v>4.0295387690036666</v>
      </c>
      <c r="F219" s="8">
        <v>-1.0295387690036666</v>
      </c>
    </row>
    <row r="220" spans="3:6" x14ac:dyDescent="0.25">
      <c r="C220" s="9" t="s">
        <v>327</v>
      </c>
      <c r="D220" s="8">
        <v>2</v>
      </c>
      <c r="E220" s="8">
        <v>3.5478843440871439</v>
      </c>
      <c r="F220" s="8">
        <v>-1.5478843440871439</v>
      </c>
    </row>
    <row r="221" spans="3:6" x14ac:dyDescent="0.25">
      <c r="C221" s="9" t="s">
        <v>328</v>
      </c>
      <c r="D221" s="8">
        <v>3</v>
      </c>
      <c r="E221" s="8">
        <v>4.1679831945013897</v>
      </c>
      <c r="F221" s="8">
        <v>-1.1679831945013897</v>
      </c>
    </row>
    <row r="222" spans="3:6" x14ac:dyDescent="0.25">
      <c r="C222" s="9" t="s">
        <v>329</v>
      </c>
      <c r="D222" s="8">
        <v>5</v>
      </c>
      <c r="E222" s="8">
        <v>4.2884228501224033</v>
      </c>
      <c r="F222" s="8">
        <v>0.71157714987759668</v>
      </c>
    </row>
    <row r="223" spans="3:6" x14ac:dyDescent="0.25">
      <c r="C223" s="9" t="s">
        <v>330</v>
      </c>
      <c r="D223" s="8">
        <v>4</v>
      </c>
      <c r="E223" s="8">
        <v>4.1320206676972626</v>
      </c>
      <c r="F223" s="8">
        <v>-0.13202066769726262</v>
      </c>
    </row>
    <row r="224" spans="3:6" x14ac:dyDescent="0.25">
      <c r="C224" s="9" t="s">
        <v>331</v>
      </c>
      <c r="D224" s="8">
        <v>5</v>
      </c>
      <c r="E224" s="8">
        <v>4.3267008576972108</v>
      </c>
      <c r="F224" s="8">
        <v>0.6732991423027892</v>
      </c>
    </row>
    <row r="225" spans="3:6" x14ac:dyDescent="0.25">
      <c r="C225" s="9" t="s">
        <v>332</v>
      </c>
      <c r="D225" s="8">
        <v>5</v>
      </c>
      <c r="E225" s="8">
        <v>4.2635764769963078</v>
      </c>
      <c r="F225" s="8">
        <v>0.73642352300369218</v>
      </c>
    </row>
    <row r="226" spans="3:6" x14ac:dyDescent="0.25">
      <c r="C226" s="9" t="s">
        <v>333</v>
      </c>
      <c r="D226" s="8">
        <v>5</v>
      </c>
      <c r="E226" s="8">
        <v>4.4745163963699079</v>
      </c>
      <c r="F226" s="8">
        <v>0.52548360363009206</v>
      </c>
    </row>
    <row r="227" spans="3:6" x14ac:dyDescent="0.25">
      <c r="C227" s="9" t="s">
        <v>334</v>
      </c>
      <c r="D227" s="8">
        <v>5</v>
      </c>
      <c r="E227" s="8">
        <v>3.954008274192867</v>
      </c>
      <c r="F227" s="8">
        <v>1.045991725807133</v>
      </c>
    </row>
    <row r="228" spans="3:6" x14ac:dyDescent="0.25">
      <c r="C228" s="9" t="s">
        <v>464</v>
      </c>
      <c r="D228" s="8">
        <v>5</v>
      </c>
      <c r="E228" s="8">
        <v>4.4727605427027788</v>
      </c>
      <c r="F228" s="8">
        <v>0.52723945729722121</v>
      </c>
    </row>
    <row r="229" spans="3:6" x14ac:dyDescent="0.25">
      <c r="C229" s="9" t="s">
        <v>335</v>
      </c>
      <c r="D229" s="8">
        <v>3</v>
      </c>
      <c r="E229" s="8">
        <v>3.5478843440871439</v>
      </c>
      <c r="F229" s="8">
        <v>-0.54788434408714393</v>
      </c>
    </row>
    <row r="230" spans="3:6" x14ac:dyDescent="0.25">
      <c r="C230" s="9" t="s">
        <v>425</v>
      </c>
      <c r="D230" s="8">
        <v>4</v>
      </c>
      <c r="E230" s="8">
        <v>3.664100041369732</v>
      </c>
      <c r="F230" s="8">
        <v>0.335899958630268</v>
      </c>
    </row>
    <row r="231" spans="3:6" x14ac:dyDescent="0.25">
      <c r="C231" s="9" t="s">
        <v>336</v>
      </c>
      <c r="D231" s="8">
        <v>5</v>
      </c>
      <c r="E231" s="8">
        <v>3.8731365865785259</v>
      </c>
      <c r="F231" s="8">
        <v>1.1268634134214741</v>
      </c>
    </row>
    <row r="232" spans="3:6" x14ac:dyDescent="0.25">
      <c r="C232" s="9" t="s">
        <v>337</v>
      </c>
      <c r="D232" s="8">
        <v>4</v>
      </c>
      <c r="E232" s="8">
        <v>3.9229841224884687</v>
      </c>
      <c r="F232" s="8">
        <v>7.7015877511531272E-2</v>
      </c>
    </row>
    <row r="233" spans="3:6" x14ac:dyDescent="0.25">
      <c r="C233" s="9" t="s">
        <v>338</v>
      </c>
      <c r="D233" s="8">
        <v>5</v>
      </c>
      <c r="E233" s="8">
        <v>4.2156323152511712</v>
      </c>
      <c r="F233" s="8">
        <v>0.78436768474882879</v>
      </c>
    </row>
    <row r="234" spans="3:6" x14ac:dyDescent="0.25">
      <c r="C234" s="9" t="s">
        <v>429</v>
      </c>
      <c r="D234" s="8">
        <v>5</v>
      </c>
      <c r="E234" s="8">
        <v>4.4745163963699079</v>
      </c>
      <c r="F234" s="8">
        <v>0.52548360363009206</v>
      </c>
    </row>
    <row r="235" spans="3:6" x14ac:dyDescent="0.25">
      <c r="C235" s="9" t="s">
        <v>339</v>
      </c>
      <c r="D235" s="8">
        <v>5</v>
      </c>
      <c r="E235" s="8">
        <v>4.2265813067084395</v>
      </c>
      <c r="F235" s="8">
        <v>0.77341869329156054</v>
      </c>
    </row>
    <row r="236" spans="3:6" x14ac:dyDescent="0.25">
      <c r="C236" s="9" t="s">
        <v>340</v>
      </c>
      <c r="D236" s="8">
        <v>4</v>
      </c>
      <c r="E236" s="8">
        <v>3.5785686076040313</v>
      </c>
      <c r="F236" s="8">
        <v>0.42143139239596872</v>
      </c>
    </row>
    <row r="237" spans="3:6" x14ac:dyDescent="0.25">
      <c r="C237" s="9" t="s">
        <v>341</v>
      </c>
      <c r="D237" s="8">
        <v>5</v>
      </c>
      <c r="E237" s="8">
        <v>4.2253686680978761</v>
      </c>
      <c r="F237" s="8">
        <v>0.77463133190212385</v>
      </c>
    </row>
    <row r="238" spans="3:6" x14ac:dyDescent="0.25">
      <c r="C238" s="9" t="s">
        <v>342</v>
      </c>
      <c r="D238" s="8">
        <v>2</v>
      </c>
      <c r="E238" s="8">
        <v>4.4842527492166129</v>
      </c>
      <c r="F238" s="8">
        <v>-2.4842527492166129</v>
      </c>
    </row>
    <row r="239" spans="3:6" x14ac:dyDescent="0.25">
      <c r="C239" s="9" t="s">
        <v>343</v>
      </c>
      <c r="D239" s="8">
        <v>5</v>
      </c>
      <c r="E239" s="8">
        <v>4.2860625221595656</v>
      </c>
      <c r="F239" s="8">
        <v>0.71393747784043438</v>
      </c>
    </row>
    <row r="240" spans="3:6" x14ac:dyDescent="0.25">
      <c r="C240" s="9" t="s">
        <v>470</v>
      </c>
      <c r="D240" s="8">
        <v>2</v>
      </c>
      <c r="E240" s="8">
        <v>4.0816837033601443</v>
      </c>
      <c r="F240" s="8">
        <v>-2.0816837033601443</v>
      </c>
    </row>
    <row r="241" spans="3:6" x14ac:dyDescent="0.25">
      <c r="C241" s="9" t="s">
        <v>344</v>
      </c>
      <c r="D241" s="8">
        <v>4</v>
      </c>
      <c r="E241" s="8">
        <v>3.664100041369732</v>
      </c>
      <c r="F241" s="8">
        <v>0.335899958630268</v>
      </c>
    </row>
    <row r="242" spans="3:6" x14ac:dyDescent="0.25">
      <c r="C242" s="9" t="s">
        <v>345</v>
      </c>
      <c r="D242" s="8">
        <v>5</v>
      </c>
      <c r="E242" s="8">
        <v>4.0190648136685754</v>
      </c>
      <c r="F242" s="8">
        <v>0.98093518633142462</v>
      </c>
    </row>
    <row r="243" spans="3:6" x14ac:dyDescent="0.25">
      <c r="C243" s="9" t="s">
        <v>465</v>
      </c>
      <c r="D243" s="8">
        <v>5</v>
      </c>
      <c r="E243" s="8">
        <v>4.0271784410408289</v>
      </c>
      <c r="F243" s="8">
        <v>0.97282155895917111</v>
      </c>
    </row>
    <row r="244" spans="3:6" x14ac:dyDescent="0.25">
      <c r="C244" s="9" t="s">
        <v>346</v>
      </c>
      <c r="D244" s="8">
        <v>4</v>
      </c>
      <c r="E244" s="8">
        <v>4.3618251284494169</v>
      </c>
      <c r="F244" s="8">
        <v>-0.36182512844941694</v>
      </c>
    </row>
    <row r="245" spans="3:6" x14ac:dyDescent="0.25">
      <c r="C245" s="9" t="s">
        <v>347</v>
      </c>
      <c r="D245" s="8">
        <v>5</v>
      </c>
      <c r="E245" s="8">
        <v>3.954008274192867</v>
      </c>
      <c r="F245" s="8">
        <v>1.045991725807133</v>
      </c>
    </row>
    <row r="246" spans="3:6" x14ac:dyDescent="0.25">
      <c r="C246" s="9" t="s">
        <v>348</v>
      </c>
      <c r="D246" s="8">
        <v>5</v>
      </c>
      <c r="E246" s="8">
        <v>4.4842527492166129</v>
      </c>
      <c r="F246" s="8">
        <v>0.51574725078338712</v>
      </c>
    </row>
    <row r="247" spans="3:6" x14ac:dyDescent="0.25">
      <c r="C247" s="9" t="s">
        <v>349</v>
      </c>
      <c r="D247" s="8">
        <v>4</v>
      </c>
      <c r="E247" s="8">
        <v>3.9054291832648644</v>
      </c>
      <c r="F247" s="8">
        <v>9.4570816735135566E-2</v>
      </c>
    </row>
    <row r="248" spans="3:6" x14ac:dyDescent="0.25">
      <c r="C248" s="9" t="s">
        <v>431</v>
      </c>
      <c r="D248" s="8">
        <v>4</v>
      </c>
      <c r="E248" s="8">
        <v>3.664100041369732</v>
      </c>
      <c r="F248" s="8">
        <v>0.335899958630268</v>
      </c>
    </row>
    <row r="249" spans="3:6" x14ac:dyDescent="0.25">
      <c r="C249" s="9" t="s">
        <v>350</v>
      </c>
      <c r="D249" s="8">
        <v>4</v>
      </c>
      <c r="E249" s="8">
        <v>3.5478843440871439</v>
      </c>
      <c r="F249" s="8">
        <v>0.45211565591285607</v>
      </c>
    </row>
    <row r="250" spans="3:6" x14ac:dyDescent="0.25">
      <c r="C250" s="9" t="s">
        <v>351</v>
      </c>
      <c r="D250" s="8">
        <v>5</v>
      </c>
      <c r="E250" s="8">
        <v>4.3618251284494169</v>
      </c>
      <c r="F250" s="8">
        <v>0.63817487155058306</v>
      </c>
    </row>
    <row r="251" spans="3:6" x14ac:dyDescent="0.25">
      <c r="C251" s="9" t="s">
        <v>352</v>
      </c>
      <c r="D251" s="8">
        <v>4</v>
      </c>
      <c r="E251" s="8">
        <v>3.6593793854440566</v>
      </c>
      <c r="F251" s="8">
        <v>0.34062061455594339</v>
      </c>
    </row>
    <row r="252" spans="3:6" x14ac:dyDescent="0.25">
      <c r="C252" s="9" t="s">
        <v>426</v>
      </c>
      <c r="D252" s="8">
        <v>4</v>
      </c>
      <c r="E252" s="8">
        <v>4.7316446238215155</v>
      </c>
      <c r="F252" s="8">
        <v>-0.73164462382151552</v>
      </c>
    </row>
    <row r="253" spans="3:6" x14ac:dyDescent="0.25">
      <c r="C253" s="9" t="s">
        <v>353</v>
      </c>
      <c r="D253" s="8">
        <v>5</v>
      </c>
      <c r="E253" s="8">
        <v>3.9182634665627933</v>
      </c>
      <c r="F253" s="8">
        <v>1.0817365334372067</v>
      </c>
    </row>
    <row r="254" spans="3:6" x14ac:dyDescent="0.25">
      <c r="C254" s="9" t="s">
        <v>354</v>
      </c>
      <c r="D254" s="8">
        <v>5</v>
      </c>
      <c r="E254" s="8">
        <v>3.8731365865785259</v>
      </c>
      <c r="F254" s="8">
        <v>1.1268634134214741</v>
      </c>
    </row>
    <row r="255" spans="3:6" x14ac:dyDescent="0.25">
      <c r="C255" s="9" t="s">
        <v>355</v>
      </c>
      <c r="D255" s="8">
        <v>5</v>
      </c>
      <c r="E255" s="8">
        <v>4.3267008576972108</v>
      </c>
      <c r="F255" s="8">
        <v>0.6732991423027892</v>
      </c>
    </row>
    <row r="256" spans="3:6" x14ac:dyDescent="0.25">
      <c r="C256" s="9" t="s">
        <v>356</v>
      </c>
      <c r="D256" s="8">
        <v>5</v>
      </c>
      <c r="E256" s="8">
        <v>4.1320206676972626</v>
      </c>
      <c r="F256" s="8">
        <v>0.86797933230273738</v>
      </c>
    </row>
    <row r="257" spans="3:6" x14ac:dyDescent="0.25">
      <c r="C257" s="9" t="s">
        <v>357</v>
      </c>
      <c r="D257" s="8">
        <v>5</v>
      </c>
      <c r="E257" s="8">
        <v>4.2884228501224033</v>
      </c>
      <c r="F257" s="8">
        <v>0.71157714987759668</v>
      </c>
    </row>
    <row r="258" spans="3:6" x14ac:dyDescent="0.25">
      <c r="C258" s="9" t="s">
        <v>358</v>
      </c>
      <c r="D258" s="8">
        <v>5</v>
      </c>
      <c r="E258" s="8">
        <v>4.2779488947873121</v>
      </c>
      <c r="F258" s="8">
        <v>0.72205110521268789</v>
      </c>
    </row>
    <row r="259" spans="3:6" x14ac:dyDescent="0.25">
      <c r="C259" s="9" t="s">
        <v>359</v>
      </c>
      <c r="D259" s="8">
        <v>5</v>
      </c>
      <c r="E259" s="8">
        <v>4.0295387690036666</v>
      </c>
      <c r="F259" s="8">
        <v>0.97046123099633341</v>
      </c>
    </row>
    <row r="260" spans="3:6" x14ac:dyDescent="0.25">
      <c r="C260" s="9" t="s">
        <v>360</v>
      </c>
      <c r="D260" s="8">
        <v>5</v>
      </c>
      <c r="E260" s="8">
        <v>4.3267008576972108</v>
      </c>
      <c r="F260" s="8">
        <v>0.6732991423027892</v>
      </c>
    </row>
    <row r="261" spans="3:6" x14ac:dyDescent="0.25">
      <c r="C261" s="9" t="s">
        <v>361</v>
      </c>
      <c r="D261" s="8">
        <v>5</v>
      </c>
      <c r="E261" s="8">
        <v>4.5224605581150445</v>
      </c>
      <c r="F261" s="8">
        <v>0.47753944188495545</v>
      </c>
    </row>
    <row r="262" spans="3:6" x14ac:dyDescent="0.25">
      <c r="C262" s="9" t="s">
        <v>468</v>
      </c>
      <c r="D262" s="8">
        <v>3</v>
      </c>
      <c r="E262" s="8">
        <v>4.3618251284494169</v>
      </c>
      <c r="F262" s="8">
        <v>-1.3618251284494169</v>
      </c>
    </row>
    <row r="263" spans="3:6" x14ac:dyDescent="0.25">
      <c r="C263" s="9" t="s">
        <v>362</v>
      </c>
      <c r="D263" s="8">
        <v>4</v>
      </c>
      <c r="E263" s="8">
        <v>3.9229841224884687</v>
      </c>
      <c r="F263" s="8">
        <v>7.7015877511531272E-2</v>
      </c>
    </row>
    <row r="264" spans="3:6" x14ac:dyDescent="0.25">
      <c r="C264" s="9" t="s">
        <v>363</v>
      </c>
      <c r="D264" s="8">
        <v>5</v>
      </c>
      <c r="E264" s="8">
        <v>3.9182634665627933</v>
      </c>
      <c r="F264" s="8">
        <v>1.0817365334372067</v>
      </c>
    </row>
    <row r="265" spans="3:6" x14ac:dyDescent="0.25">
      <c r="C265" s="9" t="s">
        <v>432</v>
      </c>
      <c r="D265" s="8">
        <v>5</v>
      </c>
      <c r="E265" s="8">
        <v>4.0271784410408289</v>
      </c>
      <c r="F265" s="8">
        <v>0.97282155895917111</v>
      </c>
    </row>
    <row r="266" spans="3:6" x14ac:dyDescent="0.25">
      <c r="C266" s="9" t="s">
        <v>364</v>
      </c>
      <c r="D266" s="8">
        <v>5</v>
      </c>
      <c r="E266" s="8">
        <v>4.0271784410408289</v>
      </c>
      <c r="F266" s="8">
        <v>0.97282155895917111</v>
      </c>
    </row>
    <row r="267" spans="3:6" x14ac:dyDescent="0.25">
      <c r="C267" s="9" t="s">
        <v>411</v>
      </c>
      <c r="D267" s="8">
        <v>4</v>
      </c>
      <c r="E267" s="8">
        <v>3.664100041369732</v>
      </c>
      <c r="F267" s="8">
        <v>0.335899958630268</v>
      </c>
    </row>
    <row r="268" spans="3:6" x14ac:dyDescent="0.25">
      <c r="C268" s="9" t="s">
        <v>437</v>
      </c>
      <c r="D268" s="8">
        <v>5</v>
      </c>
      <c r="E268" s="8">
        <v>4.0816837033601443</v>
      </c>
      <c r="F268" s="8">
        <v>0.9183162966398557</v>
      </c>
    </row>
    <row r="269" spans="3:6" x14ac:dyDescent="0.25">
      <c r="C269" s="9" t="s">
        <v>365</v>
      </c>
      <c r="D269" s="8">
        <v>5</v>
      </c>
      <c r="E269" s="8">
        <v>4.4268672756201264</v>
      </c>
      <c r="F269" s="8">
        <v>0.57313272437987361</v>
      </c>
    </row>
    <row r="270" spans="3:6" x14ac:dyDescent="0.25">
      <c r="C270" s="9" t="s">
        <v>366</v>
      </c>
      <c r="D270" s="8">
        <v>5</v>
      </c>
      <c r="E270" s="8">
        <v>4.3475785696910174</v>
      </c>
      <c r="F270" s="8">
        <v>0.65242143030898259</v>
      </c>
    </row>
    <row r="271" spans="3:6" x14ac:dyDescent="0.25">
      <c r="C271" s="9" t="s">
        <v>367</v>
      </c>
      <c r="D271" s="8">
        <v>4</v>
      </c>
      <c r="E271" s="8">
        <v>3.6465451021461277</v>
      </c>
      <c r="F271" s="8">
        <v>0.3534548978538723</v>
      </c>
    </row>
    <row r="272" spans="3:6" x14ac:dyDescent="0.25">
      <c r="C272" s="9" t="s">
        <v>368</v>
      </c>
      <c r="D272" s="8">
        <v>5</v>
      </c>
      <c r="E272" s="8">
        <v>3.6593793854440566</v>
      </c>
      <c r="F272" s="8">
        <v>1.3406206145559434</v>
      </c>
    </row>
    <row r="273" spans="3:6" x14ac:dyDescent="0.25">
      <c r="C273" s="9" t="s">
        <v>369</v>
      </c>
      <c r="D273" s="8">
        <v>5</v>
      </c>
      <c r="E273" s="8">
        <v>4.4268672756201264</v>
      </c>
      <c r="F273" s="8">
        <v>0.57313272437987361</v>
      </c>
    </row>
    <row r="274" spans="3:6" x14ac:dyDescent="0.25">
      <c r="C274" s="9" t="s">
        <v>370</v>
      </c>
      <c r="D274" s="8">
        <v>4</v>
      </c>
      <c r="E274" s="8">
        <v>4.0886944885722807</v>
      </c>
      <c r="F274" s="8">
        <v>-8.8694488572280683E-2</v>
      </c>
    </row>
    <row r="275" spans="3:6" x14ac:dyDescent="0.25">
      <c r="C275" s="9" t="s">
        <v>371</v>
      </c>
      <c r="D275" s="8">
        <v>5</v>
      </c>
      <c r="E275" s="8">
        <v>4.2128923553116042</v>
      </c>
      <c r="F275" s="8">
        <v>0.78710764468839578</v>
      </c>
    </row>
    <row r="276" spans="3:6" x14ac:dyDescent="0.25">
      <c r="C276" s="9" t="s">
        <v>433</v>
      </c>
      <c r="D276" s="8">
        <v>5</v>
      </c>
      <c r="E276" s="8">
        <v>4.4745163963699079</v>
      </c>
      <c r="F276" s="8">
        <v>0.52548360363009206</v>
      </c>
    </row>
    <row r="277" spans="3:6" x14ac:dyDescent="0.25">
      <c r="C277" s="9" t="s">
        <v>372</v>
      </c>
      <c r="D277" s="8">
        <v>3</v>
      </c>
      <c r="E277" s="8">
        <v>3.9676972255897027</v>
      </c>
      <c r="F277" s="8">
        <v>-0.96769722558970273</v>
      </c>
    </row>
    <row r="278" spans="3:6" x14ac:dyDescent="0.25">
      <c r="C278" s="9" t="s">
        <v>373</v>
      </c>
      <c r="D278" s="8">
        <v>5</v>
      </c>
      <c r="E278" s="8">
        <v>4.4268672756201264</v>
      </c>
      <c r="F278" s="8">
        <v>0.57313272437987361</v>
      </c>
    </row>
    <row r="279" spans="3:6" x14ac:dyDescent="0.25">
      <c r="C279" s="9" t="s">
        <v>374</v>
      </c>
      <c r="D279" s="8">
        <v>4</v>
      </c>
      <c r="E279" s="8">
        <v>3.5785686076040313</v>
      </c>
      <c r="F279" s="8">
        <v>0.42143139239596872</v>
      </c>
    </row>
    <row r="280" spans="3:6" x14ac:dyDescent="0.25">
      <c r="C280" s="9" t="s">
        <v>460</v>
      </c>
      <c r="D280" s="8">
        <v>4</v>
      </c>
      <c r="E280" s="8">
        <v>3.5478843440871439</v>
      </c>
      <c r="F280" s="8">
        <v>0.45211565591285607</v>
      </c>
    </row>
    <row r="281" spans="3:6" x14ac:dyDescent="0.25">
      <c r="C281" s="9" t="s">
        <v>375</v>
      </c>
      <c r="D281" s="8">
        <v>5</v>
      </c>
      <c r="E281" s="8">
        <v>4.4745163963699079</v>
      </c>
      <c r="F281" s="8">
        <v>0.52548360363009206</v>
      </c>
    </row>
    <row r="282" spans="3:6" x14ac:dyDescent="0.25">
      <c r="C282" s="9" t="s">
        <v>376</v>
      </c>
      <c r="D282" s="8">
        <v>5</v>
      </c>
      <c r="E282" s="8">
        <v>4.3618251284494169</v>
      </c>
      <c r="F282" s="8">
        <v>0.63817487155058306</v>
      </c>
    </row>
    <row r="283" spans="3:6" x14ac:dyDescent="0.25">
      <c r="C283" s="9" t="s">
        <v>377</v>
      </c>
      <c r="D283" s="8">
        <v>5</v>
      </c>
      <c r="E283" s="8">
        <v>4.2635764769963078</v>
      </c>
      <c r="F283" s="8">
        <v>0.73642352300369218</v>
      </c>
    </row>
    <row r="284" spans="3:6" x14ac:dyDescent="0.25">
      <c r="C284" s="9" t="s">
        <v>378</v>
      </c>
      <c r="D284" s="8">
        <v>4</v>
      </c>
      <c r="E284" s="8">
        <v>3.664100041369732</v>
      </c>
      <c r="F284" s="8">
        <v>0.335899958630268</v>
      </c>
    </row>
    <row r="285" spans="3:6" x14ac:dyDescent="0.25">
      <c r="C285" s="9" t="s">
        <v>379</v>
      </c>
      <c r="D285" s="8">
        <v>5</v>
      </c>
      <c r="E285" s="8">
        <v>3.8731365865785259</v>
      </c>
      <c r="F285" s="8">
        <v>1.1268634134214741</v>
      </c>
    </row>
    <row r="286" spans="3:6" x14ac:dyDescent="0.25">
      <c r="C286" s="9" t="s">
        <v>380</v>
      </c>
      <c r="D286" s="8">
        <v>4</v>
      </c>
      <c r="E286" s="8">
        <v>4.0816837033601443</v>
      </c>
      <c r="F286" s="8">
        <v>-8.16837033601443E-2</v>
      </c>
    </row>
    <row r="287" spans="3:6" x14ac:dyDescent="0.25">
      <c r="C287" s="9" t="s">
        <v>381</v>
      </c>
      <c r="D287" s="8">
        <v>5</v>
      </c>
      <c r="E287" s="8">
        <v>4.0678167765784741</v>
      </c>
      <c r="F287" s="8">
        <v>0.93218322342152593</v>
      </c>
    </row>
    <row r="288" spans="3:6" x14ac:dyDescent="0.25">
      <c r="C288" s="9" t="s">
        <v>446</v>
      </c>
      <c r="D288" s="8">
        <v>5</v>
      </c>
      <c r="E288" s="8">
        <v>4.0295387690036666</v>
      </c>
      <c r="F288" s="8">
        <v>0.97046123099633341</v>
      </c>
    </row>
    <row r="289" spans="3:6" x14ac:dyDescent="0.25">
      <c r="C289" s="9" t="s">
        <v>474</v>
      </c>
      <c r="D289" s="8">
        <v>2</v>
      </c>
      <c r="E289" s="8">
        <v>3.837452688722768</v>
      </c>
      <c r="F289" s="8">
        <v>-1.837452688722768</v>
      </c>
    </row>
    <row r="290" spans="3:6" x14ac:dyDescent="0.25">
      <c r="C290" s="9" t="s">
        <v>413</v>
      </c>
      <c r="D290" s="8">
        <v>5</v>
      </c>
      <c r="E290" s="8">
        <v>4.3475785696910174</v>
      </c>
      <c r="F290" s="8">
        <v>0.65242143030898259</v>
      </c>
    </row>
    <row r="291" spans="3:6" x14ac:dyDescent="0.25">
      <c r="C291" s="9" t="s">
        <v>453</v>
      </c>
      <c r="D291" s="8">
        <v>1</v>
      </c>
      <c r="E291" s="8">
        <v>3.837452688722768</v>
      </c>
      <c r="F291" s="8">
        <v>-2.837452688722768</v>
      </c>
    </row>
    <row r="292" spans="3:6" x14ac:dyDescent="0.25">
      <c r="C292" s="9" t="s">
        <v>382</v>
      </c>
      <c r="D292" s="8">
        <v>3</v>
      </c>
      <c r="E292" s="8">
        <v>3.5478843440871439</v>
      </c>
      <c r="F292" s="8">
        <v>-0.54788434408714393</v>
      </c>
    </row>
    <row r="293" spans="3:6" x14ac:dyDescent="0.25">
      <c r="C293" s="9" t="s">
        <v>383</v>
      </c>
      <c r="D293" s="8">
        <v>2</v>
      </c>
      <c r="E293" s="8">
        <v>4.0295387690036666</v>
      </c>
      <c r="F293" s="8">
        <v>-2.0295387690036666</v>
      </c>
    </row>
    <row r="294" spans="3:6" x14ac:dyDescent="0.25">
      <c r="C294" s="9" t="s">
        <v>384</v>
      </c>
      <c r="D294" s="8">
        <v>4</v>
      </c>
      <c r="E294" s="8">
        <v>4.1679831945013897</v>
      </c>
      <c r="F294" s="8">
        <v>-0.16798319450138965</v>
      </c>
    </row>
    <row r="295" spans="3:6" x14ac:dyDescent="0.25">
      <c r="C295" s="9" t="s">
        <v>385</v>
      </c>
      <c r="D295" s="8">
        <v>4</v>
      </c>
      <c r="E295" s="8">
        <v>3.837452688722768</v>
      </c>
      <c r="F295" s="8">
        <v>0.16254731127723199</v>
      </c>
    </row>
    <row r="296" spans="3:6" x14ac:dyDescent="0.25">
      <c r="C296" s="9" t="s">
        <v>386</v>
      </c>
      <c r="D296" s="8">
        <v>4</v>
      </c>
      <c r="E296" s="8">
        <v>3.5785686076040313</v>
      </c>
      <c r="F296" s="8">
        <v>0.42143139239596872</v>
      </c>
    </row>
    <row r="297" spans="3:6" x14ac:dyDescent="0.25">
      <c r="C297" s="9" t="s">
        <v>387</v>
      </c>
      <c r="D297" s="8">
        <v>2</v>
      </c>
      <c r="E297" s="8">
        <v>3.9182634665627933</v>
      </c>
      <c r="F297" s="8">
        <v>-1.9182634665627933</v>
      </c>
    </row>
    <row r="298" spans="3:6" x14ac:dyDescent="0.25">
      <c r="C298" s="9" t="s">
        <v>421</v>
      </c>
      <c r="D298" s="8">
        <v>5</v>
      </c>
      <c r="E298" s="8">
        <v>4.340567784478881</v>
      </c>
      <c r="F298" s="8">
        <v>0.65943221552111897</v>
      </c>
    </row>
    <row r="299" spans="3:6" x14ac:dyDescent="0.25">
      <c r="C299" s="9" t="s">
        <v>388</v>
      </c>
      <c r="D299" s="8">
        <v>5</v>
      </c>
      <c r="E299" s="8">
        <v>4.1320206676972626</v>
      </c>
      <c r="F299" s="8">
        <v>0.86797933230273738</v>
      </c>
    </row>
    <row r="300" spans="3:6" x14ac:dyDescent="0.25">
      <c r="C300" s="9" t="s">
        <v>389</v>
      </c>
      <c r="D300" s="8">
        <v>5</v>
      </c>
      <c r="E300" s="8">
        <v>4.2128923553116042</v>
      </c>
      <c r="F300" s="8">
        <v>0.78710764468839578</v>
      </c>
    </row>
    <row r="301" spans="3:6" x14ac:dyDescent="0.25">
      <c r="C301" s="9" t="s">
        <v>428</v>
      </c>
      <c r="D301" s="8">
        <v>3</v>
      </c>
      <c r="E301" s="8">
        <v>3.8067684252058807</v>
      </c>
      <c r="F301" s="8">
        <v>-0.80676842520588066</v>
      </c>
    </row>
    <row r="302" spans="3:6" x14ac:dyDescent="0.25">
      <c r="C302" s="9" t="s">
        <v>390</v>
      </c>
      <c r="D302" s="8">
        <v>4</v>
      </c>
      <c r="E302" s="8">
        <v>4.0618153031078466</v>
      </c>
      <c r="F302" s="8">
        <v>-6.1815303107846553E-2</v>
      </c>
    </row>
    <row r="303" spans="3:6" x14ac:dyDescent="0.25">
      <c r="C303" s="9" t="s">
        <v>445</v>
      </c>
      <c r="D303" s="8">
        <v>5</v>
      </c>
      <c r="E303" s="8">
        <v>4.0618153031078466</v>
      </c>
      <c r="F303" s="8">
        <v>0.93818469689215345</v>
      </c>
    </row>
    <row r="304" spans="3:6" x14ac:dyDescent="0.25">
      <c r="C304" s="9" t="s">
        <v>391</v>
      </c>
      <c r="D304" s="8">
        <v>5</v>
      </c>
      <c r="E304" s="8">
        <v>4.4727605427027788</v>
      </c>
      <c r="F304" s="8">
        <v>0.52723945729722121</v>
      </c>
    </row>
    <row r="305" spans="3:6" x14ac:dyDescent="0.25">
      <c r="C305" s="9" t="s">
        <v>392</v>
      </c>
      <c r="D305" s="8">
        <v>5</v>
      </c>
      <c r="E305" s="8">
        <v>4.3267008576972108</v>
      </c>
      <c r="F305" s="8">
        <v>0.6732991423027892</v>
      </c>
    </row>
    <row r="306" spans="3:6" x14ac:dyDescent="0.25">
      <c r="C306" s="9" t="s">
        <v>393</v>
      </c>
      <c r="D306" s="8">
        <v>1</v>
      </c>
      <c r="E306" s="8">
        <v>3.6465451021461277</v>
      </c>
      <c r="F306" s="8">
        <v>-2.6465451021461277</v>
      </c>
    </row>
    <row r="307" spans="3:6" x14ac:dyDescent="0.25">
      <c r="C307" s="9" t="s">
        <v>394</v>
      </c>
      <c r="D307" s="8">
        <v>4</v>
      </c>
      <c r="E307" s="8">
        <v>4.4727605427027788</v>
      </c>
      <c r="F307" s="8">
        <v>-0.47276054270277879</v>
      </c>
    </row>
    <row r="308" spans="3:6" x14ac:dyDescent="0.25">
      <c r="C308" s="9" t="s">
        <v>430</v>
      </c>
      <c r="D308" s="8">
        <v>5</v>
      </c>
      <c r="E308" s="8">
        <v>4.2265813067084395</v>
      </c>
      <c r="F308" s="8">
        <v>0.77341869329156054</v>
      </c>
    </row>
    <row r="309" spans="3:6" x14ac:dyDescent="0.25">
      <c r="C309" s="9" t="s">
        <v>395</v>
      </c>
      <c r="D309" s="8">
        <v>5</v>
      </c>
      <c r="E309" s="8">
        <v>4.0886944885722807</v>
      </c>
      <c r="F309" s="8">
        <v>0.91130551142771932</v>
      </c>
    </row>
    <row r="310" spans="3:6" x14ac:dyDescent="0.25">
      <c r="C310" s="9" t="s">
        <v>396</v>
      </c>
      <c r="D310" s="8">
        <v>5</v>
      </c>
      <c r="E310" s="8">
        <v>3.8731365865785259</v>
      </c>
      <c r="F310" s="8">
        <v>1.1268634134214741</v>
      </c>
    </row>
    <row r="311" spans="3:6" x14ac:dyDescent="0.25">
      <c r="C311" s="9" t="s">
        <v>397</v>
      </c>
      <c r="D311" s="8">
        <v>5</v>
      </c>
      <c r="E311" s="8">
        <v>4.4842527492166129</v>
      </c>
      <c r="F311" s="8">
        <v>0.51574725078338712</v>
      </c>
    </row>
    <row r="312" spans="3:6" x14ac:dyDescent="0.25">
      <c r="C312" s="9" t="s">
        <v>398</v>
      </c>
      <c r="D312" s="8">
        <v>4</v>
      </c>
      <c r="E312" s="8">
        <v>4.3206993842265833</v>
      </c>
      <c r="F312" s="8">
        <v>-0.32069938422658328</v>
      </c>
    </row>
    <row r="313" spans="3:6" x14ac:dyDescent="0.25">
      <c r="C313" s="9" t="s">
        <v>399</v>
      </c>
      <c r="D313" s="8">
        <v>3</v>
      </c>
      <c r="E313" s="8">
        <v>3.954008274192867</v>
      </c>
      <c r="F313" s="8">
        <v>-0.95400827419286705</v>
      </c>
    </row>
    <row r="314" spans="3:6" x14ac:dyDescent="0.25">
      <c r="C314" s="9" t="s">
        <v>400</v>
      </c>
      <c r="D314" s="8">
        <v>4</v>
      </c>
      <c r="E314" s="8">
        <v>4.0816837033601443</v>
      </c>
      <c r="F314" s="8">
        <v>-8.16837033601443E-2</v>
      </c>
    </row>
    <row r="315" spans="3:6" x14ac:dyDescent="0.25">
      <c r="C315" s="9" t="s">
        <v>401</v>
      </c>
      <c r="D315" s="8">
        <v>5</v>
      </c>
      <c r="E315" s="8">
        <v>3.954008274192867</v>
      </c>
      <c r="F315" s="8">
        <v>1.045991725807133</v>
      </c>
    </row>
    <row r="316" spans="3:6" x14ac:dyDescent="0.25">
      <c r="C316" s="9" t="s">
        <v>466</v>
      </c>
      <c r="D316" s="8">
        <v>5</v>
      </c>
      <c r="E316" s="8">
        <v>3.9229841224884687</v>
      </c>
      <c r="F316" s="8">
        <v>1.0770158775115313</v>
      </c>
    </row>
    <row r="317" spans="3:6" x14ac:dyDescent="0.25">
      <c r="C317" s="9" t="s">
        <v>461</v>
      </c>
      <c r="D317" s="8">
        <v>5</v>
      </c>
      <c r="E317" s="8">
        <v>4.3206993842265833</v>
      </c>
      <c r="F317" s="8">
        <v>0.67930061577341672</v>
      </c>
    </row>
    <row r="318" spans="3:6" x14ac:dyDescent="0.25">
      <c r="C318" s="9" t="s">
        <v>402</v>
      </c>
      <c r="D318" s="8">
        <v>2</v>
      </c>
      <c r="E318" s="8">
        <v>4.7316446238215155</v>
      </c>
      <c r="F318" s="8">
        <v>-2.7316446238215155</v>
      </c>
    </row>
    <row r="319" spans="3:6" x14ac:dyDescent="0.25">
      <c r="C319" s="9" t="s">
        <v>403</v>
      </c>
      <c r="D319" s="8">
        <v>5</v>
      </c>
      <c r="E319" s="8">
        <v>4.3206993842265833</v>
      </c>
      <c r="F319" s="8">
        <v>0.67930061577341672</v>
      </c>
    </row>
    <row r="320" spans="3:6" x14ac:dyDescent="0.25">
      <c r="C320" s="9" t="s">
        <v>404</v>
      </c>
      <c r="D320" s="8">
        <v>4</v>
      </c>
      <c r="E320" s="8">
        <v>4.2253686680978761</v>
      </c>
      <c r="F320" s="8">
        <v>-0.22536866809787615</v>
      </c>
    </row>
    <row r="321" spans="3:6" x14ac:dyDescent="0.25">
      <c r="C321" s="9" t="s">
        <v>405</v>
      </c>
      <c r="D321" s="8">
        <v>3</v>
      </c>
      <c r="E321" s="8">
        <v>3.5785686076040313</v>
      </c>
      <c r="F321" s="8">
        <v>-0.57856860760403128</v>
      </c>
    </row>
    <row r="322" spans="3:6" x14ac:dyDescent="0.25">
      <c r="C322" s="9" t="s">
        <v>477</v>
      </c>
      <c r="D322" s="8">
        <v>3</v>
      </c>
      <c r="E322" s="8">
        <v>4.4745163963699079</v>
      </c>
      <c r="F322" s="8">
        <v>-1.4745163963699079</v>
      </c>
    </row>
    <row r="323" spans="3:6" x14ac:dyDescent="0.25">
      <c r="C323" s="9" t="s">
        <v>478</v>
      </c>
      <c r="D323" s="8">
        <v>5</v>
      </c>
      <c r="E323" s="8">
        <v>4.0886944885722807</v>
      </c>
      <c r="F323" s="8">
        <v>0.91130551142771932</v>
      </c>
    </row>
    <row r="324" spans="3:6" x14ac:dyDescent="0.25">
      <c r="C324" s="9" t="s">
        <v>479</v>
      </c>
      <c r="D324" s="8">
        <v>5</v>
      </c>
      <c r="E324" s="8">
        <v>4.0678167765784741</v>
      </c>
      <c r="F324" s="8">
        <v>0.93218322342152593</v>
      </c>
    </row>
    <row r="325" spans="3:6" x14ac:dyDescent="0.25">
      <c r="C325" s="9" t="s">
        <v>480</v>
      </c>
      <c r="D325" s="8">
        <v>4</v>
      </c>
      <c r="E325" s="8">
        <v>4.0886944885722807</v>
      </c>
      <c r="F325" s="8">
        <v>-8.8694488572280683E-2</v>
      </c>
    </row>
    <row r="326" spans="3:6" x14ac:dyDescent="0.25">
      <c r="C326" s="9" t="s">
        <v>481</v>
      </c>
      <c r="D326" s="8">
        <v>4</v>
      </c>
      <c r="E326" s="8">
        <v>3.9054291832648644</v>
      </c>
      <c r="F326" s="8">
        <v>9.4570816735135566E-2</v>
      </c>
    </row>
    <row r="327" spans="3:6" x14ac:dyDescent="0.25">
      <c r="C327" s="9" t="s">
        <v>482</v>
      </c>
      <c r="D327" s="8">
        <v>4</v>
      </c>
      <c r="E327" s="8">
        <v>4.1320206676972626</v>
      </c>
      <c r="F327" s="8">
        <v>-0.13202066769726262</v>
      </c>
    </row>
    <row r="328" spans="3:6" x14ac:dyDescent="0.25">
      <c r="C328" s="9" t="s">
        <v>483</v>
      </c>
      <c r="D328" s="8">
        <v>5</v>
      </c>
      <c r="E328" s="8">
        <v>4.2253686680978761</v>
      </c>
      <c r="F328" s="8">
        <v>0.77463133190212385</v>
      </c>
    </row>
    <row r="329" spans="3:6" x14ac:dyDescent="0.25">
      <c r="C329" s="9" t="s">
        <v>484</v>
      </c>
      <c r="D329" s="8">
        <v>3</v>
      </c>
      <c r="E329" s="8">
        <v>4.2779488947873121</v>
      </c>
      <c r="F329" s="8">
        <v>-1.2779488947873121</v>
      </c>
    </row>
    <row r="330" spans="3:6" x14ac:dyDescent="0.25">
      <c r="C330" s="9" t="s">
        <v>485</v>
      </c>
      <c r="D330" s="8">
        <v>5</v>
      </c>
      <c r="E330" s="8">
        <v>4.3618251284494169</v>
      </c>
      <c r="F330" s="8">
        <v>0.63817487155058306</v>
      </c>
    </row>
    <row r="331" spans="3:6" x14ac:dyDescent="0.25">
      <c r="C331" s="9" t="s">
        <v>486</v>
      </c>
      <c r="D331" s="8">
        <v>3</v>
      </c>
      <c r="E331" s="8">
        <v>4.0295387690036666</v>
      </c>
      <c r="F331" s="8">
        <v>-1.0295387690036666</v>
      </c>
    </row>
    <row r="332" spans="3:6" x14ac:dyDescent="0.25">
      <c r="C332" s="9" t="s">
        <v>487</v>
      </c>
      <c r="D332" s="8">
        <v>4</v>
      </c>
      <c r="E332" s="8">
        <v>3.954008274192867</v>
      </c>
      <c r="F332" s="8">
        <v>4.5991725807132955E-2</v>
      </c>
    </row>
    <row r="333" spans="3:6" x14ac:dyDescent="0.25">
      <c r="C333" s="9" t="s">
        <v>488</v>
      </c>
      <c r="D333" s="8">
        <v>3</v>
      </c>
      <c r="E333" s="8">
        <v>3.664100041369732</v>
      </c>
      <c r="F333" s="8">
        <v>-0.664100041369732</v>
      </c>
    </row>
    <row r="334" spans="3:6" x14ac:dyDescent="0.25">
      <c r="C334" s="9" t="s">
        <v>489</v>
      </c>
      <c r="D334" s="8">
        <v>4</v>
      </c>
      <c r="E334" s="8">
        <v>4.4745163963699079</v>
      </c>
      <c r="F334" s="8">
        <v>-0.47451639636990794</v>
      </c>
    </row>
    <row r="335" spans="3:6" x14ac:dyDescent="0.25">
      <c r="C335" s="9" t="s">
        <v>490</v>
      </c>
      <c r="D335" s="8">
        <v>5</v>
      </c>
      <c r="E335" s="8">
        <v>4.6207092095681537</v>
      </c>
      <c r="F335" s="8">
        <v>0.37929079043184633</v>
      </c>
    </row>
    <row r="336" spans="3:6" x14ac:dyDescent="0.25">
      <c r="C336" s="9" t="s">
        <v>491</v>
      </c>
      <c r="D336" s="8">
        <v>3</v>
      </c>
      <c r="E336" s="8">
        <v>4.0886944885722807</v>
      </c>
      <c r="F336" s="8">
        <v>-1.0886944885722807</v>
      </c>
    </row>
    <row r="337" spans="3:6" x14ac:dyDescent="0.25">
      <c r="C337" s="9" t="s">
        <v>492</v>
      </c>
      <c r="D337" s="8">
        <v>5</v>
      </c>
      <c r="E337" s="8">
        <v>4.3618251284494169</v>
      </c>
      <c r="F337" s="8">
        <v>0.63817487155058306</v>
      </c>
    </row>
    <row r="338" spans="3:6" x14ac:dyDescent="0.25">
      <c r="C338" s="9" t="s">
        <v>493</v>
      </c>
      <c r="D338" s="8">
        <v>5</v>
      </c>
      <c r="E338" s="8">
        <v>4.2253686680978761</v>
      </c>
      <c r="F338" s="8">
        <v>0.77463133190212385</v>
      </c>
    </row>
    <row r="339" spans="3:6" x14ac:dyDescent="0.25">
      <c r="C339" s="9" t="s">
        <v>494</v>
      </c>
      <c r="D339" s="8">
        <v>4</v>
      </c>
      <c r="E339" s="8">
        <v>4.2779488947873121</v>
      </c>
      <c r="F339" s="8">
        <v>-0.27794889478731211</v>
      </c>
    </row>
    <row r="340" spans="3:6" x14ac:dyDescent="0.25">
      <c r="C340" s="9" t="s">
        <v>495</v>
      </c>
      <c r="D340" s="8">
        <v>4</v>
      </c>
      <c r="E340" s="8">
        <v>4.2128923553116042</v>
      </c>
      <c r="F340" s="8">
        <v>-0.21289235531160422</v>
      </c>
    </row>
    <row r="341" spans="3:6" x14ac:dyDescent="0.25">
      <c r="C341" s="9" t="s">
        <v>496</v>
      </c>
      <c r="D341" s="8">
        <v>4</v>
      </c>
      <c r="E341" s="8">
        <v>4.6207092095681537</v>
      </c>
      <c r="F341" s="8">
        <v>-0.62070920956815367</v>
      </c>
    </row>
    <row r="342" spans="3:6" x14ac:dyDescent="0.25">
      <c r="C342" s="9" t="s">
        <v>497</v>
      </c>
      <c r="D342" s="8">
        <v>3</v>
      </c>
      <c r="E342" s="8">
        <v>3.8067684252058807</v>
      </c>
      <c r="F342" s="8">
        <v>-0.80676842520588066</v>
      </c>
    </row>
    <row r="343" spans="3:6" x14ac:dyDescent="0.25">
      <c r="C343" s="9" t="s">
        <v>498</v>
      </c>
      <c r="D343" s="8">
        <v>5</v>
      </c>
      <c r="E343" s="8">
        <v>4.2156323152511712</v>
      </c>
      <c r="F343" s="8">
        <v>0.78436768474882879</v>
      </c>
    </row>
    <row r="344" spans="3:6" x14ac:dyDescent="0.25">
      <c r="C344" s="9" t="s">
        <v>499</v>
      </c>
      <c r="D344" s="8">
        <v>5</v>
      </c>
      <c r="E344" s="8">
        <v>4.2156323152511712</v>
      </c>
      <c r="F344" s="8">
        <v>0.78436768474882879</v>
      </c>
    </row>
    <row r="345" spans="3:6" x14ac:dyDescent="0.25">
      <c r="C345" s="9" t="s">
        <v>500</v>
      </c>
      <c r="D345" s="8">
        <v>5</v>
      </c>
      <c r="E345" s="8">
        <v>4.340567784478881</v>
      </c>
      <c r="F345" s="8">
        <v>0.65943221552111897</v>
      </c>
    </row>
    <row r="346" spans="3:6" x14ac:dyDescent="0.25">
      <c r="C346" s="9" t="s">
        <v>501</v>
      </c>
      <c r="D346" s="8">
        <v>4</v>
      </c>
      <c r="E346" s="8">
        <v>3.8731365865785259</v>
      </c>
      <c r="F346" s="8">
        <v>0.12686341342147411</v>
      </c>
    </row>
    <row r="347" spans="3:6" x14ac:dyDescent="0.25">
      <c r="C347" s="9" t="s">
        <v>502</v>
      </c>
      <c r="D347" s="8">
        <v>4</v>
      </c>
      <c r="E347" s="8">
        <v>3.9054291832648644</v>
      </c>
      <c r="F347" s="8">
        <v>9.4570816735135566E-2</v>
      </c>
    </row>
    <row r="348" spans="3:6" x14ac:dyDescent="0.25">
      <c r="C348" s="9" t="s">
        <v>503</v>
      </c>
      <c r="D348" s="8">
        <v>4</v>
      </c>
      <c r="E348" s="8">
        <v>3.954008274192867</v>
      </c>
      <c r="F348" s="8">
        <v>4.5991725807132955E-2</v>
      </c>
    </row>
    <row r="349" spans="3:6" x14ac:dyDescent="0.25">
      <c r="C349" s="9" t="s">
        <v>504</v>
      </c>
      <c r="D349" s="8">
        <v>5</v>
      </c>
      <c r="E349" s="8">
        <v>4.2253686680978761</v>
      </c>
      <c r="F349" s="8">
        <v>0.77463133190212385</v>
      </c>
    </row>
    <row r="350" spans="3:6" x14ac:dyDescent="0.25">
      <c r="C350" s="9" t="s">
        <v>505</v>
      </c>
      <c r="D350" s="8">
        <v>4</v>
      </c>
      <c r="E350" s="8">
        <v>3.6465451021461277</v>
      </c>
      <c r="F350" s="8">
        <v>0.3534548978538723</v>
      </c>
    </row>
    <row r="351" spans="3:6" x14ac:dyDescent="0.25">
      <c r="C351" s="9" t="s">
        <v>506</v>
      </c>
      <c r="D351" s="8">
        <v>2</v>
      </c>
      <c r="E351" s="8">
        <v>3.5785686076040313</v>
      </c>
      <c r="F351" s="8">
        <v>-1.5785686076040313</v>
      </c>
    </row>
    <row r="352" spans="3:6" x14ac:dyDescent="0.25">
      <c r="C352" s="9" t="s">
        <v>507</v>
      </c>
      <c r="D352" s="8">
        <v>3</v>
      </c>
      <c r="E352" s="8">
        <v>4.0886944885722807</v>
      </c>
      <c r="F352" s="8">
        <v>-1.0886944885722807</v>
      </c>
    </row>
    <row r="353" spans="3:6" x14ac:dyDescent="0.25">
      <c r="C353" s="9" t="s">
        <v>508</v>
      </c>
      <c r="D353" s="8">
        <v>4</v>
      </c>
      <c r="E353" s="8">
        <v>4.7316446238215155</v>
      </c>
      <c r="F353" s="8">
        <v>-0.73164462382151552</v>
      </c>
    </row>
    <row r="354" spans="3:6" x14ac:dyDescent="0.25">
      <c r="C354" s="9" t="s">
        <v>509</v>
      </c>
      <c r="D354" s="8">
        <v>4</v>
      </c>
      <c r="E354" s="8">
        <v>4.3267008576972108</v>
      </c>
      <c r="F354" s="8">
        <v>-0.3267008576972108</v>
      </c>
    </row>
    <row r="355" spans="3:6" x14ac:dyDescent="0.25">
      <c r="C355" s="9" t="s">
        <v>510</v>
      </c>
      <c r="D355" s="8">
        <v>4</v>
      </c>
      <c r="E355" s="8">
        <v>4.2265813067084395</v>
      </c>
      <c r="F355" s="8">
        <v>-0.22658130670843946</v>
      </c>
    </row>
    <row r="356" spans="3:6" x14ac:dyDescent="0.25">
      <c r="C356" s="9" t="s">
        <v>511</v>
      </c>
      <c r="D356" s="8">
        <v>5</v>
      </c>
      <c r="E356" s="8">
        <v>4.0295387690036666</v>
      </c>
      <c r="F356" s="8">
        <v>0.97046123099633341</v>
      </c>
    </row>
    <row r="357" spans="3:6" x14ac:dyDescent="0.25">
      <c r="C357" s="9" t="s">
        <v>512</v>
      </c>
      <c r="D357" s="8">
        <v>5</v>
      </c>
      <c r="E357" s="8">
        <v>4.6207092095681537</v>
      </c>
      <c r="F357" s="8">
        <v>0.37929079043184633</v>
      </c>
    </row>
    <row r="358" spans="3:6" x14ac:dyDescent="0.25">
      <c r="C358" s="9" t="s">
        <v>513</v>
      </c>
      <c r="D358" s="8">
        <v>4</v>
      </c>
      <c r="E358" s="8">
        <v>4.3618251284494169</v>
      </c>
      <c r="F358" s="8">
        <v>-0.36182512844941694</v>
      </c>
    </row>
    <row r="359" spans="3:6" x14ac:dyDescent="0.25">
      <c r="C359" s="9" t="s">
        <v>514</v>
      </c>
      <c r="D359" s="8">
        <v>2</v>
      </c>
      <c r="E359" s="8">
        <v>4.0618153031078466</v>
      </c>
      <c r="F359" s="8">
        <v>-2.0618153031078466</v>
      </c>
    </row>
    <row r="360" spans="3:6" x14ac:dyDescent="0.25">
      <c r="C360" s="9" t="s">
        <v>515</v>
      </c>
      <c r="D360" s="8">
        <v>4</v>
      </c>
      <c r="E360" s="8">
        <v>3.5785686076040313</v>
      </c>
      <c r="F360" s="8">
        <v>0.42143139239596872</v>
      </c>
    </row>
    <row r="361" spans="3:6" x14ac:dyDescent="0.25">
      <c r="C361" s="9" t="s">
        <v>516</v>
      </c>
      <c r="D361" s="8">
        <v>4</v>
      </c>
      <c r="E361" s="8">
        <v>3.837452688722768</v>
      </c>
      <c r="F361" s="8">
        <v>0.16254731127723199</v>
      </c>
    </row>
    <row r="362" spans="3:6" x14ac:dyDescent="0.25">
      <c r="C362" s="9" t="s">
        <v>517</v>
      </c>
      <c r="D362" s="8">
        <v>5</v>
      </c>
      <c r="E362" s="8">
        <v>3.9676972255897027</v>
      </c>
      <c r="F362" s="8">
        <v>1.0323027744102973</v>
      </c>
    </row>
    <row r="363" spans="3:6" x14ac:dyDescent="0.25">
      <c r="C363" s="9" t="s">
        <v>518</v>
      </c>
      <c r="D363" s="8">
        <v>5</v>
      </c>
      <c r="E363" s="8">
        <v>4.2635764769963078</v>
      </c>
      <c r="F363" s="8">
        <v>0.73642352300369218</v>
      </c>
    </row>
    <row r="364" spans="3:6" x14ac:dyDescent="0.25">
      <c r="C364" s="9" t="s">
        <v>519</v>
      </c>
      <c r="D364" s="8">
        <v>4</v>
      </c>
      <c r="E364" s="8">
        <v>3.9229841224884687</v>
      </c>
      <c r="F364" s="8">
        <v>7.7015877511531272E-2</v>
      </c>
    </row>
    <row r="365" spans="3:6" x14ac:dyDescent="0.25">
      <c r="C365" s="9" t="s">
        <v>520</v>
      </c>
      <c r="D365" s="8">
        <v>5</v>
      </c>
      <c r="E365" s="8">
        <v>3.954008274192867</v>
      </c>
      <c r="F365" s="8">
        <v>1.045991725807133</v>
      </c>
    </row>
    <row r="366" spans="3:6" x14ac:dyDescent="0.25">
      <c r="C366" s="9" t="s">
        <v>521</v>
      </c>
      <c r="D366" s="8">
        <v>5</v>
      </c>
      <c r="E366" s="8">
        <v>4.3618251284494169</v>
      </c>
      <c r="F366" s="8">
        <v>0.63817487155058306</v>
      </c>
    </row>
    <row r="367" spans="3:6" x14ac:dyDescent="0.25">
      <c r="C367" s="9" t="s">
        <v>522</v>
      </c>
      <c r="D367" s="8">
        <v>5</v>
      </c>
      <c r="E367" s="8">
        <v>3.9182634665627933</v>
      </c>
      <c r="F367" s="8">
        <v>1.0817365334372067</v>
      </c>
    </row>
    <row r="368" spans="3:6" x14ac:dyDescent="0.25">
      <c r="C368" s="9" t="s">
        <v>523</v>
      </c>
      <c r="D368" s="8">
        <v>5</v>
      </c>
      <c r="E368" s="8">
        <v>4.5224605581150445</v>
      </c>
      <c r="F368" s="8">
        <v>0.47753944188495545</v>
      </c>
    </row>
    <row r="369" spans="3:6" x14ac:dyDescent="0.25">
      <c r="C369" s="9" t="s">
        <v>524</v>
      </c>
      <c r="D369" s="8">
        <v>5</v>
      </c>
      <c r="E369" s="8">
        <v>4.3267008576972108</v>
      </c>
      <c r="F369" s="8">
        <v>0.6732991423027892</v>
      </c>
    </row>
    <row r="370" spans="3:6" x14ac:dyDescent="0.25">
      <c r="C370" s="9" t="s">
        <v>525</v>
      </c>
      <c r="D370" s="8">
        <v>5</v>
      </c>
      <c r="E370" s="8">
        <v>4.340567784478881</v>
      </c>
      <c r="F370" s="8">
        <v>0.65943221552111897</v>
      </c>
    </row>
    <row r="371" spans="3:6" x14ac:dyDescent="0.25">
      <c r="C371" s="9" t="s">
        <v>526</v>
      </c>
      <c r="D371" s="8">
        <v>3</v>
      </c>
      <c r="E371" s="8">
        <v>4.1320206676972626</v>
      </c>
      <c r="F371" s="8">
        <v>-1.1320206676972626</v>
      </c>
    </row>
    <row r="372" spans="3:6" x14ac:dyDescent="0.25">
      <c r="C372" s="9" t="s">
        <v>527</v>
      </c>
      <c r="D372" s="8">
        <v>3</v>
      </c>
      <c r="E372" s="8">
        <v>3.5785686076040313</v>
      </c>
      <c r="F372" s="8">
        <v>-0.57856860760403128</v>
      </c>
    </row>
    <row r="373" spans="3:6" x14ac:dyDescent="0.25">
      <c r="C373" s="9" t="s">
        <v>528</v>
      </c>
      <c r="D373" s="8">
        <v>5</v>
      </c>
      <c r="E373" s="8">
        <v>4.0816837033601443</v>
      </c>
      <c r="F373" s="8">
        <v>0.9183162966398557</v>
      </c>
    </row>
    <row r="374" spans="3:6" x14ac:dyDescent="0.25">
      <c r="C374" s="9" t="s">
        <v>529</v>
      </c>
      <c r="D374" s="8">
        <v>5</v>
      </c>
      <c r="E374" s="8">
        <v>4.7316446238215155</v>
      </c>
      <c r="F374" s="8">
        <v>0.26835537617848448</v>
      </c>
    </row>
    <row r="375" spans="3:6" x14ac:dyDescent="0.25">
      <c r="C375" s="9" t="s">
        <v>530</v>
      </c>
      <c r="D375" s="8">
        <v>5</v>
      </c>
      <c r="E375" s="8">
        <v>3.5785686076040313</v>
      </c>
      <c r="F375" s="8">
        <v>1.4214313923959687</v>
      </c>
    </row>
    <row r="376" spans="3:6" x14ac:dyDescent="0.25">
      <c r="C376" s="9" t="s">
        <v>531</v>
      </c>
      <c r="D376" s="8">
        <v>5</v>
      </c>
      <c r="E376" s="8">
        <v>4.2253686680978761</v>
      </c>
      <c r="F376" s="8">
        <v>0.77463133190212385</v>
      </c>
    </row>
    <row r="377" spans="3:6" x14ac:dyDescent="0.25">
      <c r="C377" s="9" t="s">
        <v>532</v>
      </c>
      <c r="D377" s="8">
        <v>2</v>
      </c>
      <c r="E377" s="8">
        <v>3.6465451021461277</v>
      </c>
      <c r="F377" s="8">
        <v>-1.6465451021461277</v>
      </c>
    </row>
    <row r="378" spans="3:6" x14ac:dyDescent="0.25">
      <c r="C378" s="9" t="s">
        <v>533</v>
      </c>
      <c r="D378" s="8">
        <v>2</v>
      </c>
      <c r="E378" s="8">
        <v>4.0618153031078466</v>
      </c>
      <c r="F378" s="8">
        <v>-2.0618153031078466</v>
      </c>
    </row>
    <row r="379" spans="3:6" x14ac:dyDescent="0.25">
      <c r="C379" s="9" t="s">
        <v>534</v>
      </c>
      <c r="D379" s="8">
        <v>4</v>
      </c>
      <c r="E379" s="8">
        <v>4.3267008576972108</v>
      </c>
      <c r="F379" s="8">
        <v>-0.3267008576972108</v>
      </c>
    </row>
    <row r="380" spans="3:6" x14ac:dyDescent="0.25">
      <c r="C380" s="9" t="s">
        <v>535</v>
      </c>
      <c r="D380" s="8">
        <v>5</v>
      </c>
      <c r="E380" s="8">
        <v>4.5224605581150445</v>
      </c>
      <c r="F380" s="8">
        <v>0.47753944188495545</v>
      </c>
    </row>
    <row r="381" spans="3:6" x14ac:dyDescent="0.25">
      <c r="C381" s="9" t="s">
        <v>536</v>
      </c>
      <c r="D381" s="8">
        <v>1</v>
      </c>
      <c r="E381" s="8">
        <v>3.5785686076040313</v>
      </c>
      <c r="F381" s="8">
        <v>-2.5785686076040313</v>
      </c>
    </row>
    <row r="382" spans="3:6" x14ac:dyDescent="0.25">
      <c r="C382" s="9" t="s">
        <v>537</v>
      </c>
      <c r="D382" s="8">
        <v>4</v>
      </c>
      <c r="E382" s="8">
        <v>4.0295387690036666</v>
      </c>
      <c r="F382" s="8">
        <v>-2.9538769003666587E-2</v>
      </c>
    </row>
    <row r="383" spans="3:6" x14ac:dyDescent="0.25">
      <c r="C383" s="9" t="s">
        <v>538</v>
      </c>
      <c r="D383" s="8">
        <v>5</v>
      </c>
      <c r="E383" s="8">
        <v>4.5224605581150445</v>
      </c>
      <c r="F383" s="8">
        <v>0.47753944188495545</v>
      </c>
    </row>
    <row r="384" spans="3:6" x14ac:dyDescent="0.25">
      <c r="C384" s="9" t="s">
        <v>539</v>
      </c>
      <c r="D384" s="8">
        <v>4</v>
      </c>
      <c r="E384" s="8">
        <v>4.4268672756201264</v>
      </c>
      <c r="F384" s="8">
        <v>-0.42686727562012639</v>
      </c>
    </row>
    <row r="385" spans="3:6" x14ac:dyDescent="0.25">
      <c r="C385" s="9" t="s">
        <v>540</v>
      </c>
      <c r="D385" s="8">
        <v>4</v>
      </c>
      <c r="E385" s="8">
        <v>4.4268672756201264</v>
      </c>
      <c r="F385" s="8">
        <v>-0.42686727562012639</v>
      </c>
    </row>
    <row r="386" spans="3:6" x14ac:dyDescent="0.25">
      <c r="C386" s="9" t="s">
        <v>541</v>
      </c>
      <c r="D386" s="8">
        <v>5</v>
      </c>
      <c r="E386" s="8">
        <v>4.0190648136685754</v>
      </c>
      <c r="F386" s="8">
        <v>0.98093518633142462</v>
      </c>
    </row>
    <row r="387" spans="3:6" x14ac:dyDescent="0.25">
      <c r="C387" s="9" t="s">
        <v>542</v>
      </c>
      <c r="D387" s="8">
        <v>2</v>
      </c>
      <c r="E387" s="8">
        <v>4.0886944885722807</v>
      </c>
      <c r="F387" s="8">
        <v>-2.0886944885722807</v>
      </c>
    </row>
    <row r="388" spans="3:6" x14ac:dyDescent="0.25">
      <c r="C388" s="9" t="s">
        <v>543</v>
      </c>
      <c r="D388" s="8">
        <v>5</v>
      </c>
      <c r="E388" s="8">
        <v>4.0816837033601443</v>
      </c>
      <c r="F388" s="8">
        <v>0.9183162966398557</v>
      </c>
    </row>
    <row r="389" spans="3:6" x14ac:dyDescent="0.25">
      <c r="C389" s="9" t="s">
        <v>544</v>
      </c>
      <c r="D389" s="8">
        <v>2</v>
      </c>
      <c r="E389" s="8">
        <v>4.2635764769963078</v>
      </c>
      <c r="F389" s="8">
        <v>-2.2635764769963078</v>
      </c>
    </row>
    <row r="390" spans="3:6" x14ac:dyDescent="0.25">
      <c r="C390" s="9" t="s">
        <v>545</v>
      </c>
      <c r="D390" s="8">
        <v>2</v>
      </c>
      <c r="E390" s="8">
        <v>3.5785686076040313</v>
      </c>
      <c r="F390" s="8">
        <v>-1.5785686076040313</v>
      </c>
    </row>
    <row r="391" spans="3:6" x14ac:dyDescent="0.25">
      <c r="C391" s="9" t="s">
        <v>546</v>
      </c>
      <c r="D391" s="8">
        <v>5</v>
      </c>
      <c r="E391" s="8">
        <v>4.0271784410408289</v>
      </c>
      <c r="F391" s="8">
        <v>0.97282155895917111</v>
      </c>
    </row>
    <row r="392" spans="3:6" x14ac:dyDescent="0.25">
      <c r="C392" s="9" t="s">
        <v>547</v>
      </c>
      <c r="D392" s="8">
        <v>4</v>
      </c>
      <c r="E392" s="8">
        <v>4.0190648136685754</v>
      </c>
      <c r="F392" s="8">
        <v>-1.9064813668575376E-2</v>
      </c>
    </row>
    <row r="393" spans="3:6" x14ac:dyDescent="0.25">
      <c r="C393" s="9" t="s">
        <v>548</v>
      </c>
      <c r="D393" s="8">
        <v>5</v>
      </c>
      <c r="E393" s="8">
        <v>4.4727605427027788</v>
      </c>
      <c r="F393" s="8">
        <v>0.52723945729722121</v>
      </c>
    </row>
    <row r="394" spans="3:6" x14ac:dyDescent="0.25">
      <c r="C394" s="9" t="s">
        <v>550</v>
      </c>
      <c r="D394" s="8">
        <v>4</v>
      </c>
      <c r="E394" s="8">
        <v>3.9676972255897027</v>
      </c>
      <c r="F394" s="8">
        <v>3.2302774410297275E-2</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Output'!$B$10:$B$10" display="Inputs" xr:uid="{316865D1-D40D-4F31-9B21-0E34B7C9C9D5}"/>
    <hyperlink ref="D4" location="'LinReg_Output'!$B$50:$B$50" display="Regression Summary" xr:uid="{71753B4E-5932-49FB-8981-CB49912DFB07}"/>
    <hyperlink ref="F4" location="'LinReg_Output'!$B$59:$B$59" display="Predictor Screening" xr:uid="{88D4B848-9F0D-474B-B6BD-09424A471C52}"/>
    <hyperlink ref="H4" location="'LinReg_Output'!$B$71:$B$71" display="Coefficients" xr:uid="{8C7130FF-18C9-4F4C-8A0C-CA319D663D6E}"/>
    <hyperlink ref="J4" location="'LinReg_Stored1'!$B$10:$B$10" display="PMML Model" xr:uid="{201FB222-AE5D-4747-A89B-F35EF4C7D7A7}"/>
    <hyperlink ref="B5" location="'LinReg_TrainingScore1'!$B$10:$B$10" display="Training: Prediction Summary" xr:uid="{81555160-B98C-43BD-951D-75E383D0972B}"/>
    <hyperlink ref="D5" location="'LinReg_TrainingScore1'!$B$19:$B$19" display="Training: Prediction Details" xr:uid="{491B05E5-821F-4E0D-A22F-382F59799E6F}"/>
    <hyperlink ref="F5" location="'LinReg_ValidationScore1'!$B$10:$B$10" display="Validation: Prediction Summary" xr:uid="{3E306DFB-3692-49FB-87FC-C4BE74B2A2CE}"/>
    <hyperlink ref="H5" location="'LinReg_ValidationScore1'!$B$19:$B$19" display="Validation: Prediction Details" xr:uid="{1B56E76A-5231-4D12-BAEB-64EA5601B478}"/>
  </hyperlinks>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9C81E-7E0F-47B9-B9EE-D6C26B796B88}">
  <sheetPr codeName="Sheet10">
    <tabColor rgb="FF7030A0"/>
  </sheetPr>
  <dimension ref="B1:Q114"/>
  <sheetViews>
    <sheetView showGridLines="0" topLeftCell="A7" workbookViewId="0">
      <selection activeCell="E84" sqref="E84:N86"/>
    </sheetView>
  </sheetViews>
  <sheetFormatPr defaultRowHeight="15" x14ac:dyDescent="0.25"/>
  <cols>
    <col min="3" max="3" width="11.5703125" customWidth="1"/>
    <col min="5" max="5" width="18.140625" customWidth="1"/>
    <col min="6" max="6" width="10.7109375" customWidth="1"/>
    <col min="14" max="14" width="15.5703125" bestFit="1" customWidth="1"/>
  </cols>
  <sheetData>
    <row r="1" spans="2:17" ht="18.75" x14ac:dyDescent="0.3">
      <c r="B1" s="6" t="s">
        <v>725</v>
      </c>
      <c r="N1" t="s">
        <v>955</v>
      </c>
    </row>
    <row r="3" spans="2:17" ht="15.75" x14ac:dyDescent="0.25">
      <c r="B3" s="13" t="s">
        <v>147</v>
      </c>
      <c r="C3" s="14"/>
      <c r="D3" s="14"/>
      <c r="E3" s="14"/>
      <c r="F3" s="14"/>
      <c r="G3" s="14"/>
      <c r="H3" s="14"/>
      <c r="I3" s="14"/>
      <c r="J3" s="14"/>
      <c r="K3" s="15"/>
      <c r="N3" s="13" t="s">
        <v>148</v>
      </c>
      <c r="O3" s="14"/>
      <c r="P3" s="14"/>
      <c r="Q3" s="15"/>
    </row>
    <row r="4" spans="2:17" x14ac:dyDescent="0.25">
      <c r="B4" s="25" t="s">
        <v>153</v>
      </c>
      <c r="C4" s="21"/>
      <c r="D4" s="25" t="s">
        <v>720</v>
      </c>
      <c r="E4" s="21"/>
      <c r="F4" s="25" t="s">
        <v>721</v>
      </c>
      <c r="G4" s="21"/>
      <c r="H4" s="25" t="s">
        <v>722</v>
      </c>
      <c r="I4" s="21"/>
      <c r="J4" s="25" t="s">
        <v>645</v>
      </c>
      <c r="K4" s="21"/>
      <c r="N4" s="11" t="s">
        <v>149</v>
      </c>
      <c r="O4" s="11" t="s">
        <v>150</v>
      </c>
      <c r="P4" s="11" t="s">
        <v>151</v>
      </c>
      <c r="Q4" s="11" t="s">
        <v>152</v>
      </c>
    </row>
    <row r="5" spans="2:17" x14ac:dyDescent="0.25">
      <c r="B5" s="25" t="s">
        <v>723</v>
      </c>
      <c r="C5" s="21"/>
      <c r="D5" s="25" t="s">
        <v>830</v>
      </c>
      <c r="E5" s="21"/>
      <c r="F5" s="25" t="s">
        <v>724</v>
      </c>
      <c r="G5" s="21"/>
      <c r="H5" s="25" t="s">
        <v>831</v>
      </c>
      <c r="I5" s="21"/>
      <c r="J5" s="19"/>
      <c r="K5" s="21"/>
      <c r="N5" s="10">
        <v>16</v>
      </c>
      <c r="O5" s="10">
        <v>2</v>
      </c>
      <c r="P5" s="10">
        <v>10</v>
      </c>
      <c r="Q5" s="10">
        <v>28</v>
      </c>
    </row>
    <row r="10" spans="2:17" ht="18.75" x14ac:dyDescent="0.3">
      <c r="B10" s="7" t="s">
        <v>724</v>
      </c>
    </row>
    <row r="12" spans="2:17" x14ac:dyDescent="0.25">
      <c r="C12" t="s">
        <v>726</v>
      </c>
      <c r="D12" t="s">
        <v>727</v>
      </c>
    </row>
    <row r="13" spans="2:17" x14ac:dyDescent="0.25">
      <c r="C13" t="s">
        <v>728</v>
      </c>
      <c r="D13">
        <v>84.028138994120354</v>
      </c>
    </row>
    <row r="14" spans="2:17" x14ac:dyDescent="0.25">
      <c r="C14" t="s">
        <v>729</v>
      </c>
      <c r="D14">
        <v>0.90352837628086402</v>
      </c>
    </row>
    <row r="15" spans="2:17" x14ac:dyDescent="0.25">
      <c r="C15" t="s">
        <v>730</v>
      </c>
      <c r="D15">
        <v>0.95054109657650465</v>
      </c>
    </row>
    <row r="16" spans="2:17" x14ac:dyDescent="0.25">
      <c r="C16" t="s">
        <v>731</v>
      </c>
      <c r="D16">
        <v>0.76128846382186277</v>
      </c>
    </row>
    <row r="17" spans="2:6" x14ac:dyDescent="0.25">
      <c r="C17" t="s">
        <v>732</v>
      </c>
      <c r="D17">
        <v>0.13593355523516071</v>
      </c>
    </row>
    <row r="19" spans="2:6" ht="18.75" x14ac:dyDescent="0.3">
      <c r="B19" s="7" t="s">
        <v>831</v>
      </c>
    </row>
    <row r="21" spans="2:6" x14ac:dyDescent="0.25">
      <c r="C21" s="9" t="s">
        <v>176</v>
      </c>
      <c r="D21" s="5" t="s">
        <v>4</v>
      </c>
      <c r="E21" s="5" t="s">
        <v>832</v>
      </c>
      <c r="F21" s="5" t="s">
        <v>833</v>
      </c>
    </row>
    <row r="22" spans="2:6" x14ac:dyDescent="0.25">
      <c r="C22" s="9" t="s">
        <v>549</v>
      </c>
      <c r="D22" s="8">
        <v>3</v>
      </c>
      <c r="E22" s="8">
        <v>3.9229841224884687</v>
      </c>
      <c r="F22" s="8">
        <v>-0.92298412248846873</v>
      </c>
    </row>
    <row r="23" spans="2:6" x14ac:dyDescent="0.25">
      <c r="C23" s="9" t="s">
        <v>551</v>
      </c>
      <c r="D23" s="8">
        <v>2</v>
      </c>
      <c r="E23" s="8">
        <v>3.6465451021461277</v>
      </c>
      <c r="F23" s="8">
        <v>-1.6465451021461277</v>
      </c>
    </row>
    <row r="24" spans="2:6" x14ac:dyDescent="0.25">
      <c r="C24" s="9" t="s">
        <v>552</v>
      </c>
      <c r="D24" s="8">
        <v>2</v>
      </c>
      <c r="E24" s="8">
        <v>3.8731365865785259</v>
      </c>
      <c r="F24" s="8">
        <v>-1.8731365865785259</v>
      </c>
    </row>
    <row r="25" spans="2:6" x14ac:dyDescent="0.25">
      <c r="C25" s="9" t="s">
        <v>553</v>
      </c>
      <c r="D25" s="8">
        <v>4</v>
      </c>
      <c r="E25" s="8">
        <v>4.0190648136685754</v>
      </c>
      <c r="F25" s="8">
        <v>-1.9064813668575376E-2</v>
      </c>
    </row>
    <row r="26" spans="2:6" x14ac:dyDescent="0.25">
      <c r="C26" s="9" t="s">
        <v>554</v>
      </c>
      <c r="D26" s="8">
        <v>3</v>
      </c>
      <c r="E26" s="8">
        <v>4.4745163963699079</v>
      </c>
      <c r="F26" s="8">
        <v>-1.4745163963699079</v>
      </c>
    </row>
    <row r="27" spans="2:6" x14ac:dyDescent="0.25">
      <c r="C27" s="9" t="s">
        <v>555</v>
      </c>
      <c r="D27" s="8">
        <v>3</v>
      </c>
      <c r="E27" s="8">
        <v>4.0816837033601443</v>
      </c>
      <c r="F27" s="8">
        <v>-1.0816837033601443</v>
      </c>
    </row>
    <row r="28" spans="2:6" x14ac:dyDescent="0.25">
      <c r="C28" s="9" t="s">
        <v>556</v>
      </c>
      <c r="D28" s="8">
        <v>4</v>
      </c>
      <c r="E28" s="8">
        <v>3.9182634665627933</v>
      </c>
      <c r="F28" s="8">
        <v>8.173653343720666E-2</v>
      </c>
    </row>
    <row r="29" spans="2:6" x14ac:dyDescent="0.25">
      <c r="C29" s="9" t="s">
        <v>557</v>
      </c>
      <c r="D29" s="8">
        <v>4</v>
      </c>
      <c r="E29" s="8">
        <v>4.2860625221595656</v>
      </c>
      <c r="F29" s="8">
        <v>-0.28606252215956562</v>
      </c>
    </row>
    <row r="30" spans="2:6" x14ac:dyDescent="0.25">
      <c r="C30" s="9" t="s">
        <v>558</v>
      </c>
      <c r="D30" s="8">
        <v>3</v>
      </c>
      <c r="E30" s="8">
        <v>4.0190648136685754</v>
      </c>
      <c r="F30" s="8">
        <v>-1.0190648136685754</v>
      </c>
    </row>
    <row r="31" spans="2:6" x14ac:dyDescent="0.25">
      <c r="C31" s="9" t="s">
        <v>559</v>
      </c>
      <c r="D31" s="8">
        <v>4</v>
      </c>
      <c r="E31" s="8">
        <v>4.0816837033601443</v>
      </c>
      <c r="F31" s="8">
        <v>-8.16837033601443E-2</v>
      </c>
    </row>
    <row r="32" spans="2:6" x14ac:dyDescent="0.25">
      <c r="C32" s="9" t="s">
        <v>560</v>
      </c>
      <c r="D32" s="8">
        <v>5</v>
      </c>
      <c r="E32" s="8">
        <v>4.0295387690036666</v>
      </c>
      <c r="F32" s="8">
        <v>0.97046123099633341</v>
      </c>
    </row>
    <row r="33" spans="3:6" x14ac:dyDescent="0.25">
      <c r="C33" s="9" t="s">
        <v>561</v>
      </c>
      <c r="D33" s="8">
        <v>1</v>
      </c>
      <c r="E33" s="8">
        <v>4.1320206676972626</v>
      </c>
      <c r="F33" s="8">
        <v>-3.1320206676972626</v>
      </c>
    </row>
    <row r="34" spans="3:6" x14ac:dyDescent="0.25">
      <c r="C34" s="9" t="s">
        <v>562</v>
      </c>
      <c r="D34" s="8">
        <v>5</v>
      </c>
      <c r="E34" s="8">
        <v>4.1679831945013897</v>
      </c>
      <c r="F34" s="8">
        <v>0.83201680549861035</v>
      </c>
    </row>
    <row r="35" spans="3:6" x14ac:dyDescent="0.25">
      <c r="C35" s="9" t="s">
        <v>563</v>
      </c>
      <c r="D35" s="8">
        <v>5</v>
      </c>
      <c r="E35" s="8">
        <v>4.2779488947873121</v>
      </c>
      <c r="F35" s="8">
        <v>0.72205110521268789</v>
      </c>
    </row>
    <row r="36" spans="3:6" x14ac:dyDescent="0.25">
      <c r="C36" s="9" t="s">
        <v>564</v>
      </c>
      <c r="D36" s="8">
        <v>5</v>
      </c>
      <c r="E36" s="8">
        <v>4.4727605427027788</v>
      </c>
      <c r="F36" s="8">
        <v>0.52723945729722121</v>
      </c>
    </row>
    <row r="37" spans="3:6" x14ac:dyDescent="0.25">
      <c r="C37" s="9" t="s">
        <v>565</v>
      </c>
      <c r="D37" s="8">
        <v>4</v>
      </c>
      <c r="E37" s="8">
        <v>4.2253686680978761</v>
      </c>
      <c r="F37" s="8">
        <v>-0.22536866809787615</v>
      </c>
    </row>
    <row r="38" spans="3:6" x14ac:dyDescent="0.25">
      <c r="C38" s="9" t="s">
        <v>566</v>
      </c>
      <c r="D38" s="8">
        <v>4</v>
      </c>
      <c r="E38" s="8">
        <v>4.2860625221595656</v>
      </c>
      <c r="F38" s="8">
        <v>-0.28606252215956562</v>
      </c>
    </row>
    <row r="39" spans="3:6" x14ac:dyDescent="0.25">
      <c r="C39" s="9" t="s">
        <v>567</v>
      </c>
      <c r="D39" s="8">
        <v>5</v>
      </c>
      <c r="E39" s="8">
        <v>4.3206993842265833</v>
      </c>
      <c r="F39" s="8">
        <v>0.67930061577341672</v>
      </c>
    </row>
    <row r="40" spans="3:6" x14ac:dyDescent="0.25">
      <c r="C40" s="9" t="s">
        <v>568</v>
      </c>
      <c r="D40" s="8">
        <v>4</v>
      </c>
      <c r="E40" s="8">
        <v>3.6465451021461277</v>
      </c>
      <c r="F40" s="8">
        <v>0.3534548978538723</v>
      </c>
    </row>
    <row r="41" spans="3:6" x14ac:dyDescent="0.25">
      <c r="C41" s="9" t="s">
        <v>569</v>
      </c>
      <c r="D41" s="8">
        <v>5</v>
      </c>
      <c r="E41" s="8">
        <v>4.4842527492166129</v>
      </c>
      <c r="F41" s="8">
        <v>0.51574725078338712</v>
      </c>
    </row>
    <row r="42" spans="3:6" x14ac:dyDescent="0.25">
      <c r="C42" s="9" t="s">
        <v>570</v>
      </c>
      <c r="D42" s="8">
        <v>1</v>
      </c>
      <c r="E42" s="8">
        <v>4.1679831945013897</v>
      </c>
      <c r="F42" s="8">
        <v>-3.1679831945013897</v>
      </c>
    </row>
    <row r="43" spans="3:6" x14ac:dyDescent="0.25">
      <c r="C43" s="9" t="s">
        <v>571</v>
      </c>
      <c r="D43" s="8">
        <v>4</v>
      </c>
      <c r="E43" s="8">
        <v>3.6465451021461277</v>
      </c>
      <c r="F43" s="8">
        <v>0.3534548978538723</v>
      </c>
    </row>
    <row r="44" spans="3:6" x14ac:dyDescent="0.25">
      <c r="C44" s="9" t="s">
        <v>572</v>
      </c>
      <c r="D44" s="8">
        <v>5</v>
      </c>
      <c r="E44" s="8">
        <v>4.0886944885722807</v>
      </c>
      <c r="F44" s="8">
        <v>0.91130551142771932</v>
      </c>
    </row>
    <row r="45" spans="3:6" x14ac:dyDescent="0.25">
      <c r="C45" s="9" t="s">
        <v>573</v>
      </c>
      <c r="D45" s="8">
        <v>4</v>
      </c>
      <c r="E45" s="8">
        <v>3.8731365865785259</v>
      </c>
      <c r="F45" s="8">
        <v>0.12686341342147411</v>
      </c>
    </row>
    <row r="46" spans="3:6" x14ac:dyDescent="0.25">
      <c r="C46" s="9" t="s">
        <v>574</v>
      </c>
      <c r="D46" s="8">
        <v>4</v>
      </c>
      <c r="E46" s="8">
        <v>3.954008274192867</v>
      </c>
      <c r="F46" s="8">
        <v>4.5991725807132955E-2</v>
      </c>
    </row>
    <row r="47" spans="3:6" x14ac:dyDescent="0.25">
      <c r="C47" s="9" t="s">
        <v>575</v>
      </c>
      <c r="D47" s="8">
        <v>5</v>
      </c>
      <c r="E47" s="8">
        <v>4.4268672756201264</v>
      </c>
      <c r="F47" s="8">
        <v>0.57313272437987361</v>
      </c>
    </row>
    <row r="48" spans="3:6" x14ac:dyDescent="0.25">
      <c r="C48" s="9" t="s">
        <v>576</v>
      </c>
      <c r="D48" s="8">
        <v>5</v>
      </c>
      <c r="E48" s="8">
        <v>4.0816837033601443</v>
      </c>
      <c r="F48" s="8">
        <v>0.9183162966398557</v>
      </c>
    </row>
    <row r="49" spans="3:6" x14ac:dyDescent="0.25">
      <c r="C49" s="9" t="s">
        <v>577</v>
      </c>
      <c r="D49" s="8">
        <v>3</v>
      </c>
      <c r="E49" s="8">
        <v>4.3267008576972108</v>
      </c>
      <c r="F49" s="8">
        <v>-1.3267008576972108</v>
      </c>
    </row>
    <row r="50" spans="3:6" x14ac:dyDescent="0.25">
      <c r="C50" s="9" t="s">
        <v>578</v>
      </c>
      <c r="D50" s="8">
        <v>5</v>
      </c>
      <c r="E50" s="8">
        <v>4.0271784410408289</v>
      </c>
      <c r="F50" s="8">
        <v>0.97282155895917111</v>
      </c>
    </row>
    <row r="51" spans="3:6" x14ac:dyDescent="0.25">
      <c r="C51" s="9" t="s">
        <v>579</v>
      </c>
      <c r="D51" s="8">
        <v>3</v>
      </c>
      <c r="E51" s="8">
        <v>3.5478843440871439</v>
      </c>
      <c r="F51" s="8">
        <v>-0.54788434408714393</v>
      </c>
    </row>
    <row r="52" spans="3:6" x14ac:dyDescent="0.25">
      <c r="C52" s="9" t="s">
        <v>580</v>
      </c>
      <c r="D52" s="8">
        <v>5</v>
      </c>
      <c r="E52" s="8">
        <v>3.954008274192867</v>
      </c>
      <c r="F52" s="8">
        <v>1.045991725807133</v>
      </c>
    </row>
    <row r="53" spans="3:6" x14ac:dyDescent="0.25">
      <c r="C53" s="9" t="s">
        <v>581</v>
      </c>
      <c r="D53" s="8">
        <v>5</v>
      </c>
      <c r="E53" s="8">
        <v>4.6207092095681537</v>
      </c>
      <c r="F53" s="8">
        <v>0.37929079043184633</v>
      </c>
    </row>
    <row r="54" spans="3:6" x14ac:dyDescent="0.25">
      <c r="C54" s="9" t="s">
        <v>582</v>
      </c>
      <c r="D54" s="8">
        <v>5</v>
      </c>
      <c r="E54" s="8">
        <v>4.0190648136685754</v>
      </c>
      <c r="F54" s="8">
        <v>0.98093518633142462</v>
      </c>
    </row>
    <row r="55" spans="3:6" x14ac:dyDescent="0.25">
      <c r="C55" s="9" t="s">
        <v>583</v>
      </c>
      <c r="D55" s="8">
        <v>4</v>
      </c>
      <c r="E55" s="8">
        <v>4.0271784410408289</v>
      </c>
      <c r="F55" s="8">
        <v>-2.7178441040828893E-2</v>
      </c>
    </row>
    <row r="56" spans="3:6" x14ac:dyDescent="0.25">
      <c r="C56" s="9" t="s">
        <v>584</v>
      </c>
      <c r="D56" s="8">
        <v>4</v>
      </c>
      <c r="E56" s="8">
        <v>4.4745163963699079</v>
      </c>
      <c r="F56" s="8">
        <v>-0.47451639636990794</v>
      </c>
    </row>
    <row r="57" spans="3:6" x14ac:dyDescent="0.25">
      <c r="C57" s="9" t="s">
        <v>585</v>
      </c>
      <c r="D57" s="8">
        <v>5</v>
      </c>
      <c r="E57" s="8">
        <v>4.3618251284494169</v>
      </c>
      <c r="F57" s="8">
        <v>0.63817487155058306</v>
      </c>
    </row>
    <row r="58" spans="3:6" x14ac:dyDescent="0.25">
      <c r="C58" s="9" t="s">
        <v>586</v>
      </c>
      <c r="D58" s="8">
        <v>5</v>
      </c>
      <c r="E58" s="8">
        <v>4.2253686680978761</v>
      </c>
      <c r="F58" s="8">
        <v>0.77463133190212385</v>
      </c>
    </row>
    <row r="59" spans="3:6" x14ac:dyDescent="0.25">
      <c r="C59" s="9" t="s">
        <v>587</v>
      </c>
      <c r="D59" s="8">
        <v>3</v>
      </c>
      <c r="E59" s="8">
        <v>4.2156323152511712</v>
      </c>
      <c r="F59" s="8">
        <v>-1.2156323152511712</v>
      </c>
    </row>
    <row r="60" spans="3:6" x14ac:dyDescent="0.25">
      <c r="C60" s="9" t="s">
        <v>588</v>
      </c>
      <c r="D60" s="8">
        <v>5</v>
      </c>
      <c r="E60" s="8">
        <v>4.2884228501224033</v>
      </c>
      <c r="F60" s="8">
        <v>0.71157714987759668</v>
      </c>
    </row>
    <row r="61" spans="3:6" x14ac:dyDescent="0.25">
      <c r="C61" s="9" t="s">
        <v>589</v>
      </c>
      <c r="D61" s="8">
        <v>4</v>
      </c>
      <c r="E61" s="8">
        <v>4.3267008576972108</v>
      </c>
      <c r="F61" s="8">
        <v>-0.3267008576972108</v>
      </c>
    </row>
    <row r="62" spans="3:6" x14ac:dyDescent="0.25">
      <c r="C62" s="9" t="s">
        <v>590</v>
      </c>
      <c r="D62" s="8">
        <v>4</v>
      </c>
      <c r="E62" s="8">
        <v>3.8731365865785259</v>
      </c>
      <c r="F62" s="8">
        <v>0.12686341342147411</v>
      </c>
    </row>
    <row r="63" spans="3:6" x14ac:dyDescent="0.25">
      <c r="C63" s="9" t="s">
        <v>591</v>
      </c>
      <c r="D63" s="8">
        <v>5</v>
      </c>
      <c r="E63" s="8">
        <v>4.2635764769963078</v>
      </c>
      <c r="F63" s="8">
        <v>0.73642352300369218</v>
      </c>
    </row>
    <row r="64" spans="3:6" x14ac:dyDescent="0.25">
      <c r="C64" s="9" t="s">
        <v>592</v>
      </c>
      <c r="D64" s="8">
        <v>5</v>
      </c>
      <c r="E64" s="8">
        <v>4.4842527492166129</v>
      </c>
      <c r="F64" s="8">
        <v>0.51574725078338712</v>
      </c>
    </row>
    <row r="65" spans="3:6" x14ac:dyDescent="0.25">
      <c r="C65" s="9" t="s">
        <v>593</v>
      </c>
      <c r="D65" s="8">
        <v>5</v>
      </c>
      <c r="E65" s="8">
        <v>4.3267008576972108</v>
      </c>
      <c r="F65" s="8">
        <v>0.6732991423027892</v>
      </c>
    </row>
    <row r="66" spans="3:6" x14ac:dyDescent="0.25">
      <c r="C66" s="9" t="s">
        <v>594</v>
      </c>
      <c r="D66" s="8">
        <v>5</v>
      </c>
      <c r="E66" s="8">
        <v>4.5224605581150445</v>
      </c>
      <c r="F66" s="8">
        <v>0.47753944188495545</v>
      </c>
    </row>
    <row r="67" spans="3:6" x14ac:dyDescent="0.25">
      <c r="C67" s="9" t="s">
        <v>595</v>
      </c>
      <c r="D67" s="8">
        <v>5</v>
      </c>
      <c r="E67" s="8">
        <v>4.5224605581150445</v>
      </c>
      <c r="F67" s="8">
        <v>0.47753944188495545</v>
      </c>
    </row>
    <row r="68" spans="3:6" x14ac:dyDescent="0.25">
      <c r="C68" s="9" t="s">
        <v>596</v>
      </c>
      <c r="D68" s="8">
        <v>5</v>
      </c>
      <c r="E68" s="8">
        <v>4.1679831945013897</v>
      </c>
      <c r="F68" s="8">
        <v>0.83201680549861035</v>
      </c>
    </row>
    <row r="69" spans="3:6" x14ac:dyDescent="0.25">
      <c r="C69" s="9" t="s">
        <v>597</v>
      </c>
      <c r="D69" s="8">
        <v>5</v>
      </c>
      <c r="E69" s="8">
        <v>4.7316446238215155</v>
      </c>
      <c r="F69" s="8">
        <v>0.26835537617848448</v>
      </c>
    </row>
    <row r="70" spans="3:6" x14ac:dyDescent="0.25">
      <c r="C70" s="9" t="s">
        <v>598</v>
      </c>
      <c r="D70" s="8">
        <v>5</v>
      </c>
      <c r="E70" s="8">
        <v>3.664100041369732</v>
      </c>
      <c r="F70" s="8">
        <v>1.335899958630268</v>
      </c>
    </row>
    <row r="71" spans="3:6" x14ac:dyDescent="0.25">
      <c r="C71" s="9" t="s">
        <v>599</v>
      </c>
      <c r="D71" s="8">
        <v>4</v>
      </c>
      <c r="E71" s="8">
        <v>3.6593793854440566</v>
      </c>
      <c r="F71" s="8">
        <v>0.34062061455594339</v>
      </c>
    </row>
    <row r="72" spans="3:6" x14ac:dyDescent="0.25">
      <c r="C72" s="9" t="s">
        <v>600</v>
      </c>
      <c r="D72" s="8">
        <v>4</v>
      </c>
      <c r="E72" s="8">
        <v>4.2265813067084395</v>
      </c>
      <c r="F72" s="8">
        <v>-0.22658130670843946</v>
      </c>
    </row>
    <row r="73" spans="3:6" x14ac:dyDescent="0.25">
      <c r="C73" s="9" t="s">
        <v>601</v>
      </c>
      <c r="D73" s="8">
        <v>4</v>
      </c>
      <c r="E73" s="8">
        <v>4.0271784410408289</v>
      </c>
      <c r="F73" s="8">
        <v>-2.7178441040828893E-2</v>
      </c>
    </row>
    <row r="74" spans="3:6" x14ac:dyDescent="0.25">
      <c r="C74" s="9" t="s">
        <v>602</v>
      </c>
      <c r="D74" s="8">
        <v>5</v>
      </c>
      <c r="E74" s="8">
        <v>4.6207092095681537</v>
      </c>
      <c r="F74" s="8">
        <v>0.37929079043184633</v>
      </c>
    </row>
    <row r="75" spans="3:6" x14ac:dyDescent="0.25">
      <c r="C75" s="9" t="s">
        <v>603</v>
      </c>
      <c r="D75" s="8">
        <v>3</v>
      </c>
      <c r="E75" s="8">
        <v>4.0271784410408289</v>
      </c>
      <c r="F75" s="8">
        <v>-1.0271784410408289</v>
      </c>
    </row>
    <row r="76" spans="3:6" x14ac:dyDescent="0.25">
      <c r="C76" s="9" t="s">
        <v>604</v>
      </c>
      <c r="D76" s="8">
        <v>5</v>
      </c>
      <c r="E76" s="8">
        <v>3.9054291832648644</v>
      </c>
      <c r="F76" s="8">
        <v>1.0945708167351356</v>
      </c>
    </row>
    <row r="77" spans="3:6" x14ac:dyDescent="0.25">
      <c r="C77" s="9" t="s">
        <v>605</v>
      </c>
      <c r="D77" s="8">
        <v>3</v>
      </c>
      <c r="E77" s="8">
        <v>3.6593793854440566</v>
      </c>
      <c r="F77" s="8">
        <v>-0.65937938544405661</v>
      </c>
    </row>
    <row r="78" spans="3:6" x14ac:dyDescent="0.25">
      <c r="C78" s="9" t="s">
        <v>606</v>
      </c>
      <c r="D78" s="8">
        <v>4</v>
      </c>
      <c r="E78" s="8">
        <v>4.0618153031078466</v>
      </c>
      <c r="F78" s="8">
        <v>-6.1815303107846553E-2</v>
      </c>
    </row>
    <row r="79" spans="3:6" x14ac:dyDescent="0.25">
      <c r="C79" s="9" t="s">
        <v>607</v>
      </c>
      <c r="D79" s="8">
        <v>4</v>
      </c>
      <c r="E79" s="8">
        <v>4.0190648136685754</v>
      </c>
      <c r="F79" s="8">
        <v>-1.9064813668575376E-2</v>
      </c>
    </row>
    <row r="80" spans="3:6" x14ac:dyDescent="0.25">
      <c r="C80" s="9" t="s">
        <v>608</v>
      </c>
      <c r="D80" s="8">
        <v>5</v>
      </c>
      <c r="E80" s="8">
        <v>4.6207092095681537</v>
      </c>
      <c r="F80" s="8">
        <v>0.37929079043184633</v>
      </c>
    </row>
    <row r="81" spans="3:6" x14ac:dyDescent="0.25">
      <c r="C81" s="9" t="s">
        <v>609</v>
      </c>
      <c r="D81" s="8">
        <v>5</v>
      </c>
      <c r="E81" s="8">
        <v>4.7316446238215155</v>
      </c>
      <c r="F81" s="8">
        <v>0.26835537617848448</v>
      </c>
    </row>
    <row r="82" spans="3:6" x14ac:dyDescent="0.25">
      <c r="C82" s="9" t="s">
        <v>610</v>
      </c>
      <c r="D82" s="8">
        <v>4</v>
      </c>
      <c r="E82" s="8">
        <v>4.5224605581150445</v>
      </c>
      <c r="F82" s="8">
        <v>-0.52246055811504455</v>
      </c>
    </row>
    <row r="83" spans="3:6" x14ac:dyDescent="0.25">
      <c r="C83" s="9" t="s">
        <v>611</v>
      </c>
      <c r="D83" s="8">
        <v>5</v>
      </c>
      <c r="E83" s="8">
        <v>4.0271784410408289</v>
      </c>
      <c r="F83" s="8">
        <v>0.97282155895917111</v>
      </c>
    </row>
    <row r="84" spans="3:6" x14ac:dyDescent="0.25">
      <c r="C84" s="9" t="s">
        <v>612</v>
      </c>
      <c r="D84" s="8">
        <v>3</v>
      </c>
      <c r="E84" s="8">
        <v>3.9229841224884687</v>
      </c>
      <c r="F84" s="8">
        <v>-0.92298412248846873</v>
      </c>
    </row>
    <row r="85" spans="3:6" x14ac:dyDescent="0.25">
      <c r="C85" s="9" t="s">
        <v>613</v>
      </c>
      <c r="D85" s="8">
        <v>3</v>
      </c>
      <c r="E85" s="8">
        <v>4.0190648136685754</v>
      </c>
      <c r="F85" s="8">
        <v>-1.0190648136685754</v>
      </c>
    </row>
    <row r="86" spans="3:6" x14ac:dyDescent="0.25">
      <c r="C86" s="9" t="s">
        <v>614</v>
      </c>
      <c r="D86" s="8">
        <v>5</v>
      </c>
      <c r="E86" s="8">
        <v>3.9676972255897027</v>
      </c>
      <c r="F86" s="8">
        <v>1.0323027744102973</v>
      </c>
    </row>
    <row r="87" spans="3:6" x14ac:dyDescent="0.25">
      <c r="C87" s="9" t="s">
        <v>615</v>
      </c>
      <c r="D87" s="8">
        <v>4</v>
      </c>
      <c r="E87" s="8">
        <v>4.4727605427027788</v>
      </c>
      <c r="F87" s="8">
        <v>-0.47276054270277879</v>
      </c>
    </row>
    <row r="88" spans="3:6" x14ac:dyDescent="0.25">
      <c r="C88" s="9" t="s">
        <v>616</v>
      </c>
      <c r="D88" s="8">
        <v>5</v>
      </c>
      <c r="E88" s="8">
        <v>4.0678167765784741</v>
      </c>
      <c r="F88" s="8">
        <v>0.93218322342152593</v>
      </c>
    </row>
    <row r="89" spans="3:6" x14ac:dyDescent="0.25">
      <c r="C89" s="9" t="s">
        <v>617</v>
      </c>
      <c r="D89" s="8">
        <v>4</v>
      </c>
      <c r="E89" s="8">
        <v>3.5478843440871439</v>
      </c>
      <c r="F89" s="8">
        <v>0.45211565591285607</v>
      </c>
    </row>
    <row r="90" spans="3:6" x14ac:dyDescent="0.25">
      <c r="C90" s="9" t="s">
        <v>618</v>
      </c>
      <c r="D90" s="8">
        <v>2</v>
      </c>
      <c r="E90" s="8">
        <v>3.9676972255897027</v>
      </c>
      <c r="F90" s="8">
        <v>-1.9676972255897027</v>
      </c>
    </row>
    <row r="91" spans="3:6" x14ac:dyDescent="0.25">
      <c r="C91" s="9" t="s">
        <v>619</v>
      </c>
      <c r="D91" s="8">
        <v>5</v>
      </c>
      <c r="E91" s="8">
        <v>4.2253686680978761</v>
      </c>
      <c r="F91" s="8">
        <v>0.77463133190212385</v>
      </c>
    </row>
    <row r="92" spans="3:6" x14ac:dyDescent="0.25">
      <c r="C92" s="9" t="s">
        <v>620</v>
      </c>
      <c r="D92" s="8">
        <v>2</v>
      </c>
      <c r="E92" s="8">
        <v>3.837452688722768</v>
      </c>
      <c r="F92" s="8">
        <v>-1.837452688722768</v>
      </c>
    </row>
    <row r="93" spans="3:6" x14ac:dyDescent="0.25">
      <c r="C93" s="9" t="s">
        <v>621</v>
      </c>
      <c r="D93" s="8">
        <v>5</v>
      </c>
      <c r="E93" s="8">
        <v>4.4727605427027788</v>
      </c>
      <c r="F93" s="8">
        <v>0.52723945729722121</v>
      </c>
    </row>
    <row r="94" spans="3:6" x14ac:dyDescent="0.25">
      <c r="C94" s="9" t="s">
        <v>622</v>
      </c>
      <c r="D94" s="8">
        <v>4</v>
      </c>
      <c r="E94" s="8">
        <v>3.9229841224884687</v>
      </c>
      <c r="F94" s="8">
        <v>7.7015877511531272E-2</v>
      </c>
    </row>
    <row r="95" spans="3:6" x14ac:dyDescent="0.25">
      <c r="C95" s="9" t="s">
        <v>623</v>
      </c>
      <c r="D95" s="8">
        <v>5</v>
      </c>
      <c r="E95" s="8">
        <v>4.3206993842265833</v>
      </c>
      <c r="F95" s="8">
        <v>0.67930061577341672</v>
      </c>
    </row>
    <row r="96" spans="3:6" x14ac:dyDescent="0.25">
      <c r="C96" s="9" t="s">
        <v>624</v>
      </c>
      <c r="D96" s="8">
        <v>5</v>
      </c>
      <c r="E96" s="8">
        <v>4.7316446238215155</v>
      </c>
      <c r="F96" s="8">
        <v>0.26835537617848448</v>
      </c>
    </row>
    <row r="97" spans="3:6" x14ac:dyDescent="0.25">
      <c r="C97" s="9" t="s">
        <v>625</v>
      </c>
      <c r="D97" s="8">
        <v>5</v>
      </c>
      <c r="E97" s="8">
        <v>4.2156323152511712</v>
      </c>
      <c r="F97" s="8">
        <v>0.78436768474882879</v>
      </c>
    </row>
    <row r="98" spans="3:6" x14ac:dyDescent="0.25">
      <c r="C98" s="9" t="s">
        <v>626</v>
      </c>
      <c r="D98" s="8">
        <v>2</v>
      </c>
      <c r="E98" s="8">
        <v>3.9054291832648644</v>
      </c>
      <c r="F98" s="8">
        <v>-1.9054291832648644</v>
      </c>
    </row>
    <row r="99" spans="3:6" x14ac:dyDescent="0.25">
      <c r="C99" s="9" t="s">
        <v>627</v>
      </c>
      <c r="D99" s="8">
        <v>3</v>
      </c>
      <c r="E99" s="8">
        <v>4.2265813067084395</v>
      </c>
      <c r="F99" s="8">
        <v>-1.2265813067084395</v>
      </c>
    </row>
    <row r="100" spans="3:6" x14ac:dyDescent="0.25">
      <c r="C100" s="9" t="s">
        <v>628</v>
      </c>
      <c r="D100" s="8">
        <v>5</v>
      </c>
      <c r="E100" s="8">
        <v>4.0271784410408289</v>
      </c>
      <c r="F100" s="8">
        <v>0.97282155895917111</v>
      </c>
    </row>
    <row r="101" spans="3:6" x14ac:dyDescent="0.25">
      <c r="C101" s="9" t="s">
        <v>629</v>
      </c>
      <c r="D101" s="8">
        <v>5</v>
      </c>
      <c r="E101" s="8">
        <v>4.0618153031078466</v>
      </c>
      <c r="F101" s="8">
        <v>0.93818469689215345</v>
      </c>
    </row>
    <row r="102" spans="3:6" x14ac:dyDescent="0.25">
      <c r="C102" s="9" t="s">
        <v>630</v>
      </c>
      <c r="D102" s="8">
        <v>3</v>
      </c>
      <c r="E102" s="8">
        <v>3.8067684252058807</v>
      </c>
      <c r="F102" s="8">
        <v>-0.80676842520588066</v>
      </c>
    </row>
    <row r="103" spans="3:6" x14ac:dyDescent="0.25">
      <c r="C103" s="9" t="s">
        <v>631</v>
      </c>
      <c r="D103" s="8">
        <v>3</v>
      </c>
      <c r="E103" s="8">
        <v>4.0295387690036666</v>
      </c>
      <c r="F103" s="8">
        <v>-1.0295387690036666</v>
      </c>
    </row>
    <row r="104" spans="3:6" x14ac:dyDescent="0.25">
      <c r="C104" s="9" t="s">
        <v>632</v>
      </c>
      <c r="D104" s="8">
        <v>3</v>
      </c>
      <c r="E104" s="8">
        <v>4.0886944885722807</v>
      </c>
      <c r="F104" s="8">
        <v>-1.0886944885722807</v>
      </c>
    </row>
    <row r="105" spans="3:6" x14ac:dyDescent="0.25">
      <c r="C105" s="9" t="s">
        <v>633</v>
      </c>
      <c r="D105" s="8">
        <v>5</v>
      </c>
      <c r="E105" s="8">
        <v>4.0678167765784741</v>
      </c>
      <c r="F105" s="8">
        <v>0.93218322342152593</v>
      </c>
    </row>
    <row r="106" spans="3:6" x14ac:dyDescent="0.25">
      <c r="C106" s="9" t="s">
        <v>634</v>
      </c>
      <c r="D106" s="8">
        <v>5</v>
      </c>
      <c r="E106" s="8">
        <v>4.6207092095681537</v>
      </c>
      <c r="F106" s="8">
        <v>0.37929079043184633</v>
      </c>
    </row>
    <row r="107" spans="3:6" x14ac:dyDescent="0.25">
      <c r="C107" s="9" t="s">
        <v>635</v>
      </c>
      <c r="D107" s="8">
        <v>5</v>
      </c>
      <c r="E107" s="8">
        <v>4.3267008576972108</v>
      </c>
      <c r="F107" s="8">
        <v>0.6732991423027892</v>
      </c>
    </row>
    <row r="108" spans="3:6" x14ac:dyDescent="0.25">
      <c r="C108" s="9" t="s">
        <v>636</v>
      </c>
      <c r="D108" s="8">
        <v>5</v>
      </c>
      <c r="E108" s="8">
        <v>3.8067684252058807</v>
      </c>
      <c r="F108" s="8">
        <v>1.1932315747941193</v>
      </c>
    </row>
    <row r="109" spans="3:6" x14ac:dyDescent="0.25">
      <c r="C109" s="9" t="s">
        <v>637</v>
      </c>
      <c r="D109" s="8">
        <v>5</v>
      </c>
      <c r="E109" s="8">
        <v>4.5224605581150445</v>
      </c>
      <c r="F109" s="8">
        <v>0.47753944188495545</v>
      </c>
    </row>
    <row r="110" spans="3:6" x14ac:dyDescent="0.25">
      <c r="C110" s="9" t="s">
        <v>638</v>
      </c>
      <c r="D110" s="8">
        <v>5</v>
      </c>
      <c r="E110" s="8">
        <v>4.1320206676972626</v>
      </c>
      <c r="F110" s="8">
        <v>0.86797933230273738</v>
      </c>
    </row>
    <row r="111" spans="3:6" x14ac:dyDescent="0.25">
      <c r="C111" s="9" t="s">
        <v>639</v>
      </c>
      <c r="D111" s="8">
        <v>5</v>
      </c>
      <c r="E111" s="8">
        <v>3.8731365865785259</v>
      </c>
      <c r="F111" s="8">
        <v>1.1268634134214741</v>
      </c>
    </row>
    <row r="112" spans="3:6" x14ac:dyDescent="0.25">
      <c r="C112" s="9" t="s">
        <v>640</v>
      </c>
      <c r="D112" s="8">
        <v>5</v>
      </c>
      <c r="E112" s="8">
        <v>4.0886944885722807</v>
      </c>
      <c r="F112" s="8">
        <v>0.91130551142771932</v>
      </c>
    </row>
    <row r="113" spans="3:6" x14ac:dyDescent="0.25">
      <c r="C113" s="9" t="s">
        <v>641</v>
      </c>
      <c r="D113" s="8">
        <v>5</v>
      </c>
      <c r="E113" s="8">
        <v>4.3618251284494169</v>
      </c>
      <c r="F113" s="8">
        <v>0.63817487155058306</v>
      </c>
    </row>
    <row r="114" spans="3:6" x14ac:dyDescent="0.25">
      <c r="C114" s="9" t="s">
        <v>642</v>
      </c>
      <c r="D114" s="8">
        <v>4</v>
      </c>
      <c r="E114" s="8">
        <v>4.2128923553116042</v>
      </c>
      <c r="F114" s="8">
        <v>-0.21289235531160422</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Output'!$B$10:$B$10" display="Inputs" xr:uid="{465AA2BF-73A6-4549-907C-DFB4CBAAACC0}"/>
    <hyperlink ref="D4" location="'LinReg_Output'!$B$50:$B$50" display="Regression Summary" xr:uid="{61CEDD98-F481-420A-90C5-A3F2210A2156}"/>
    <hyperlink ref="F4" location="'LinReg_Output'!$B$59:$B$59" display="Predictor Screening" xr:uid="{2E8E7B00-3542-4CB0-93A0-6A6AE7E2CC48}"/>
    <hyperlink ref="H4" location="'LinReg_Output'!$B$71:$B$71" display="Coefficients" xr:uid="{26350C54-45A4-430E-A2BA-6326EB251CFC}"/>
    <hyperlink ref="J4" location="'LinReg_Stored1'!$B$10:$B$10" display="PMML Model" xr:uid="{B87E99A1-D4F7-4246-A8F1-9EC34B16ECCD}"/>
    <hyperlink ref="B5" location="'LinReg_TrainingScore1'!$B$10:$B$10" display="Training: Prediction Summary" xr:uid="{AD3F2B0F-203B-4F83-8F09-85F9FCB2AA5A}"/>
    <hyperlink ref="D5" location="'LinReg_TrainingScore1'!$B$19:$B$19" display="Training: Prediction Details" xr:uid="{72A4F768-DD44-47C6-BB6B-39C8393CE373}"/>
    <hyperlink ref="F5" location="'LinReg_ValidationScore1'!$B$10:$B$10" display="Validation: Prediction Summary" xr:uid="{78905EE8-7056-4FDD-B81C-A25CD5B190C0}"/>
    <hyperlink ref="H5" location="'LinReg_ValidationScore1'!$B$19:$B$19" display="Validation: Prediction Details" xr:uid="{A308061A-9406-4C91-919E-D977A3F469DF}"/>
  </hyperlinks>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4F68A-4C19-4D32-933C-AB1CF19168CA}">
  <sheetPr codeName="Sheet11">
    <tabColor rgb="FF7030A0"/>
  </sheetPr>
  <dimension ref="B1:Q45"/>
  <sheetViews>
    <sheetView showGridLines="0" workbookViewId="0">
      <selection activeCell="E84" sqref="E84:N86"/>
    </sheetView>
  </sheetViews>
  <sheetFormatPr defaultRowHeight="15" x14ac:dyDescent="0.25"/>
  <cols>
    <col min="14" max="14" width="15.5703125" bestFit="1" customWidth="1"/>
  </cols>
  <sheetData>
    <row r="1" spans="2:17" ht="18.75" x14ac:dyDescent="0.3">
      <c r="B1" s="6" t="s">
        <v>644</v>
      </c>
      <c r="N1" t="s">
        <v>955</v>
      </c>
    </row>
    <row r="3" spans="2:17" ht="15.75" x14ac:dyDescent="0.25">
      <c r="B3" s="13" t="s">
        <v>147</v>
      </c>
      <c r="C3" s="14"/>
      <c r="D3" s="14"/>
      <c r="E3" s="14"/>
      <c r="F3" s="14"/>
      <c r="G3" s="14"/>
      <c r="H3" s="14"/>
      <c r="I3" s="14"/>
      <c r="J3" s="14"/>
      <c r="K3" s="15"/>
      <c r="N3" s="13" t="s">
        <v>148</v>
      </c>
      <c r="O3" s="14"/>
      <c r="P3" s="14"/>
      <c r="Q3" s="15"/>
    </row>
    <row r="4" spans="2:17" x14ac:dyDescent="0.25">
      <c r="B4" s="25" t="s">
        <v>153</v>
      </c>
      <c r="C4" s="21"/>
      <c r="D4" s="25" t="s">
        <v>720</v>
      </c>
      <c r="E4" s="21"/>
      <c r="F4" s="25" t="s">
        <v>721</v>
      </c>
      <c r="G4" s="21"/>
      <c r="H4" s="25" t="s">
        <v>722</v>
      </c>
      <c r="I4" s="21"/>
      <c r="J4" s="25" t="s">
        <v>645</v>
      </c>
      <c r="K4" s="21"/>
      <c r="N4" s="11" t="s">
        <v>149</v>
      </c>
      <c r="O4" s="11" t="s">
        <v>150</v>
      </c>
      <c r="P4" s="11" t="s">
        <v>151</v>
      </c>
      <c r="Q4" s="11" t="s">
        <v>152</v>
      </c>
    </row>
    <row r="5" spans="2:17" x14ac:dyDescent="0.25">
      <c r="B5" s="25" t="s">
        <v>723</v>
      </c>
      <c r="C5" s="21"/>
      <c r="D5" s="25" t="s">
        <v>830</v>
      </c>
      <c r="E5" s="21"/>
      <c r="F5" s="25" t="s">
        <v>724</v>
      </c>
      <c r="G5" s="21"/>
      <c r="H5" s="25" t="s">
        <v>831</v>
      </c>
      <c r="I5" s="21"/>
      <c r="J5" s="19"/>
      <c r="K5" s="21"/>
      <c r="N5" s="10">
        <v>16</v>
      </c>
      <c r="O5" s="10">
        <v>2</v>
      </c>
      <c r="P5" s="10">
        <v>10</v>
      </c>
      <c r="Q5" s="10">
        <v>28</v>
      </c>
    </row>
    <row r="10" spans="2:17" ht="18.75" x14ac:dyDescent="0.3">
      <c r="B10" s="7" t="s">
        <v>645</v>
      </c>
    </row>
    <row r="12" spans="2:17" x14ac:dyDescent="0.25">
      <c r="B12" t="s">
        <v>646</v>
      </c>
    </row>
    <row r="13" spans="2:17" x14ac:dyDescent="0.25">
      <c r="B13" t="s">
        <v>647</v>
      </c>
    </row>
    <row r="14" spans="2:17" x14ac:dyDescent="0.25">
      <c r="B14" t="s">
        <v>648</v>
      </c>
    </row>
    <row r="15" spans="2:17" x14ac:dyDescent="0.25">
      <c r="B15" t="s">
        <v>649</v>
      </c>
    </row>
    <row r="16" spans="2:17" x14ac:dyDescent="0.25">
      <c r="B16" t="s">
        <v>956</v>
      </c>
    </row>
    <row r="17" spans="2:2" x14ac:dyDescent="0.25">
      <c r="B17" t="s">
        <v>650</v>
      </c>
    </row>
    <row r="18" spans="2:2" x14ac:dyDescent="0.25">
      <c r="B18" t="s">
        <v>651</v>
      </c>
    </row>
    <row r="19" spans="2:2" x14ac:dyDescent="0.25">
      <c r="B19" t="s">
        <v>824</v>
      </c>
    </row>
    <row r="20" spans="2:2" x14ac:dyDescent="0.25">
      <c r="B20" t="s">
        <v>655</v>
      </c>
    </row>
    <row r="21" spans="2:2" x14ac:dyDescent="0.25">
      <c r="B21" t="s">
        <v>663</v>
      </c>
    </row>
    <row r="22" spans="2:2" x14ac:dyDescent="0.25">
      <c r="B22" t="s">
        <v>665</v>
      </c>
    </row>
    <row r="23" spans="2:2" x14ac:dyDescent="0.25">
      <c r="B23" t="s">
        <v>666</v>
      </c>
    </row>
    <row r="24" spans="2:2" x14ac:dyDescent="0.25">
      <c r="B24" t="s">
        <v>678</v>
      </c>
    </row>
    <row r="25" spans="2:2" x14ac:dyDescent="0.25">
      <c r="B25" t="s">
        <v>679</v>
      </c>
    </row>
    <row r="26" spans="2:2" x14ac:dyDescent="0.25">
      <c r="B26" t="s">
        <v>680</v>
      </c>
    </row>
    <row r="27" spans="2:2" x14ac:dyDescent="0.25">
      <c r="B27" t="s">
        <v>681</v>
      </c>
    </row>
    <row r="28" spans="2:2" x14ac:dyDescent="0.25">
      <c r="B28" t="s">
        <v>682</v>
      </c>
    </row>
    <row r="29" spans="2:2" x14ac:dyDescent="0.25">
      <c r="B29" t="s">
        <v>685</v>
      </c>
    </row>
    <row r="30" spans="2:2" x14ac:dyDescent="0.25">
      <c r="B30" t="s">
        <v>693</v>
      </c>
    </row>
    <row r="31" spans="2:2" x14ac:dyDescent="0.25">
      <c r="B31" t="s">
        <v>695</v>
      </c>
    </row>
    <row r="32" spans="2:2" x14ac:dyDescent="0.25">
      <c r="B32" t="s">
        <v>696</v>
      </c>
    </row>
    <row r="33" spans="2:2" x14ac:dyDescent="0.25">
      <c r="B33" t="s">
        <v>708</v>
      </c>
    </row>
    <row r="34" spans="2:2" x14ac:dyDescent="0.25">
      <c r="B34" t="s">
        <v>709</v>
      </c>
    </row>
    <row r="35" spans="2:2" x14ac:dyDescent="0.25">
      <c r="B35" t="s">
        <v>710</v>
      </c>
    </row>
    <row r="36" spans="2:2" x14ac:dyDescent="0.25">
      <c r="B36" t="s">
        <v>711</v>
      </c>
    </row>
    <row r="37" spans="2:2" x14ac:dyDescent="0.25">
      <c r="B37" t="s">
        <v>712</v>
      </c>
    </row>
    <row r="38" spans="2:2" x14ac:dyDescent="0.25">
      <c r="B38" t="s">
        <v>825</v>
      </c>
    </row>
    <row r="39" spans="2:2" x14ac:dyDescent="0.25">
      <c r="B39" t="s">
        <v>826</v>
      </c>
    </row>
    <row r="40" spans="2:2" x14ac:dyDescent="0.25">
      <c r="B40" t="s">
        <v>827</v>
      </c>
    </row>
    <row r="41" spans="2:2" x14ac:dyDescent="0.25">
      <c r="B41" t="s">
        <v>828</v>
      </c>
    </row>
    <row r="42" spans="2:2" x14ac:dyDescent="0.25">
      <c r="B42" t="s">
        <v>829</v>
      </c>
    </row>
    <row r="43" spans="2:2" x14ac:dyDescent="0.25">
      <c r="B43" t="s">
        <v>717</v>
      </c>
    </row>
    <row r="44" spans="2:2" x14ac:dyDescent="0.25">
      <c r="B44" t="s">
        <v>718</v>
      </c>
    </row>
    <row r="45" spans="2:2" x14ac:dyDescent="0.25">
      <c r="B45" t="s">
        <v>719</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Output'!$B$10:$B$10" display="Inputs" xr:uid="{F401E300-A4B5-4B80-B1D4-E7127C40EDAF}"/>
    <hyperlink ref="D4" location="'LinReg_Output'!$B$50:$B$50" display="Regression Summary" xr:uid="{6F89926E-00E3-4FF5-8313-268F10198758}"/>
    <hyperlink ref="F4" location="'LinReg_Output'!$B$59:$B$59" display="Predictor Screening" xr:uid="{A48F5BB8-4B2E-467D-B334-EE32CFAB7EF4}"/>
    <hyperlink ref="H4" location="'LinReg_Output'!$B$71:$B$71" display="Coefficients" xr:uid="{42401BE4-ECA3-4369-96A6-14344785051C}"/>
    <hyperlink ref="J4" location="'LinReg_Stored1'!$B$10:$B$10" display="PMML Model" xr:uid="{4A36D8C2-5D29-40A8-AE6B-D5B84F29412F}"/>
    <hyperlink ref="B5" location="'LinReg_TrainingScore1'!$B$10:$B$10" display="Training: Prediction Summary" xr:uid="{D54D88C2-5760-43E4-B349-EFFE97E22C29}"/>
    <hyperlink ref="D5" location="'LinReg_TrainingScore1'!$B$19:$B$19" display="Training: Prediction Details" xr:uid="{07A34EB3-A03B-4247-BC35-F9FAF454301B}"/>
    <hyperlink ref="F5" location="'LinReg_ValidationScore1'!$B$10:$B$10" display="Validation: Prediction Summary" xr:uid="{810E94A1-0173-4B89-B142-E41BA81AC088}"/>
    <hyperlink ref="H5" location="'LinReg_ValidationScore1'!$B$19:$B$19" display="Validation: Prediction Details" xr:uid="{BB41E30F-4572-48A1-8B0B-578F3A688DF4}"/>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2C981-A20D-485D-86CD-A6F5A7ED1FCE}">
  <sheetPr codeName="Sheet12">
    <tabColor theme="7" tint="-0.249977111117893"/>
  </sheetPr>
  <dimension ref="B1:CV124"/>
  <sheetViews>
    <sheetView showGridLines="0" workbookViewId="0">
      <selection activeCell="E84" sqref="E84:N86"/>
    </sheetView>
  </sheetViews>
  <sheetFormatPr defaultRowHeight="15" x14ac:dyDescent="0.25"/>
  <cols>
    <col min="3" max="3" width="11.28515625" customWidth="1"/>
    <col min="4" max="4" width="11.42578125" customWidth="1"/>
    <col min="5" max="5" width="10.85546875" customWidth="1"/>
    <col min="14" max="14" width="15.5703125" bestFit="1" customWidth="1"/>
  </cols>
  <sheetData>
    <row r="1" spans="2:100" ht="18.75" x14ac:dyDescent="0.3">
      <c r="B1" s="6" t="s">
        <v>734</v>
      </c>
      <c r="N1" t="s">
        <v>947</v>
      </c>
      <c r="CV1" s="12" t="s">
        <v>748</v>
      </c>
    </row>
    <row r="3" spans="2:100" ht="15.75" x14ac:dyDescent="0.25">
      <c r="B3" s="13" t="s">
        <v>147</v>
      </c>
      <c r="C3" s="14"/>
      <c r="D3" s="14"/>
      <c r="E3" s="14"/>
      <c r="F3" s="14"/>
      <c r="G3" s="14"/>
      <c r="H3" s="14"/>
      <c r="I3" s="14"/>
      <c r="J3" s="14"/>
      <c r="K3" s="15"/>
      <c r="N3" s="13" t="s">
        <v>148</v>
      </c>
      <c r="O3" s="14"/>
      <c r="P3" s="14"/>
      <c r="Q3" s="15"/>
    </row>
    <row r="4" spans="2:100" x14ac:dyDescent="0.25">
      <c r="B4" s="25" t="s">
        <v>770</v>
      </c>
      <c r="C4" s="21"/>
      <c r="D4" s="25" t="s">
        <v>153</v>
      </c>
      <c r="E4" s="21"/>
      <c r="F4" s="25" t="s">
        <v>720</v>
      </c>
      <c r="G4" s="21"/>
      <c r="H4" s="25" t="s">
        <v>721</v>
      </c>
      <c r="I4" s="21"/>
      <c r="J4" s="25" t="s">
        <v>722</v>
      </c>
      <c r="K4" s="21"/>
      <c r="N4" s="11" t="s">
        <v>149</v>
      </c>
      <c r="O4" s="11" t="s">
        <v>150</v>
      </c>
      <c r="P4" s="11" t="s">
        <v>151</v>
      </c>
      <c r="Q4" s="11" t="s">
        <v>152</v>
      </c>
    </row>
    <row r="5" spans="2:100" x14ac:dyDescent="0.25">
      <c r="B5" s="25" t="s">
        <v>645</v>
      </c>
      <c r="C5" s="21"/>
      <c r="D5" s="25" t="s">
        <v>723</v>
      </c>
      <c r="E5" s="21"/>
      <c r="F5" s="25" t="s">
        <v>724</v>
      </c>
      <c r="G5" s="21"/>
      <c r="H5" s="19"/>
      <c r="I5" s="21"/>
      <c r="J5" s="19"/>
      <c r="K5" s="21"/>
      <c r="N5" s="10">
        <v>14</v>
      </c>
      <c r="O5" s="10">
        <v>8</v>
      </c>
      <c r="P5" s="10">
        <v>8</v>
      </c>
      <c r="Q5" s="10">
        <v>30</v>
      </c>
    </row>
    <row r="10" spans="2:100" ht="18.75" x14ac:dyDescent="0.3">
      <c r="B10" s="7" t="s">
        <v>153</v>
      </c>
    </row>
    <row r="12" spans="2:100" ht="15.75" x14ac:dyDescent="0.25">
      <c r="C12" s="13" t="s">
        <v>154</v>
      </c>
      <c r="D12" s="14"/>
      <c r="E12" s="14"/>
      <c r="F12" s="14"/>
      <c r="G12" s="14"/>
      <c r="H12" s="14"/>
      <c r="I12" s="14"/>
      <c r="J12" s="14"/>
      <c r="K12" s="15"/>
    </row>
    <row r="13" spans="2:100" x14ac:dyDescent="0.25">
      <c r="C13" s="16" t="s">
        <v>155</v>
      </c>
      <c r="D13" s="17"/>
      <c r="E13" s="17"/>
      <c r="F13" s="18"/>
      <c r="G13" s="22" t="s">
        <v>878</v>
      </c>
      <c r="H13" s="23"/>
      <c r="I13" s="23"/>
      <c r="J13" s="23"/>
      <c r="K13" s="24"/>
    </row>
    <row r="14" spans="2:100" x14ac:dyDescent="0.25">
      <c r="C14" s="16" t="s">
        <v>157</v>
      </c>
      <c r="D14" s="17"/>
      <c r="E14" s="17"/>
      <c r="F14" s="18"/>
      <c r="G14" s="22" t="s">
        <v>819</v>
      </c>
      <c r="H14" s="23"/>
      <c r="I14" s="23"/>
      <c r="J14" s="23"/>
      <c r="K14" s="24"/>
    </row>
    <row r="15" spans="2:100" x14ac:dyDescent="0.25">
      <c r="C15" s="16" t="s">
        <v>735</v>
      </c>
      <c r="D15" s="17"/>
      <c r="E15" s="17"/>
      <c r="F15" s="18"/>
      <c r="G15" s="22" t="s">
        <v>820</v>
      </c>
      <c r="H15" s="23"/>
      <c r="I15" s="23"/>
      <c r="J15" s="23"/>
      <c r="K15" s="24"/>
    </row>
    <row r="16" spans="2:100" x14ac:dyDescent="0.25">
      <c r="C16" s="16" t="s">
        <v>736</v>
      </c>
      <c r="D16" s="17"/>
      <c r="E16" s="17"/>
      <c r="F16" s="18"/>
      <c r="G16" s="22">
        <v>373</v>
      </c>
      <c r="H16" s="23"/>
      <c r="I16" s="23"/>
      <c r="J16" s="23"/>
      <c r="K16" s="24"/>
    </row>
    <row r="17" spans="3:29" x14ac:dyDescent="0.25">
      <c r="C17" s="16" t="s">
        <v>737</v>
      </c>
      <c r="D17" s="17"/>
      <c r="E17" s="17"/>
      <c r="F17" s="18"/>
      <c r="G17" s="22" t="s">
        <v>821</v>
      </c>
      <c r="H17" s="23"/>
      <c r="I17" s="23"/>
      <c r="J17" s="23"/>
      <c r="K17" s="24"/>
    </row>
    <row r="18" spans="3:29" x14ac:dyDescent="0.25">
      <c r="C18" s="16" t="s">
        <v>738</v>
      </c>
      <c r="D18" s="17"/>
      <c r="E18" s="17"/>
      <c r="F18" s="18"/>
      <c r="G18" s="22">
        <v>93</v>
      </c>
      <c r="H18" s="23"/>
      <c r="I18" s="23"/>
      <c r="J18" s="23"/>
      <c r="K18" s="24"/>
    </row>
    <row r="20" spans="3:29" ht="15.75" x14ac:dyDescent="0.25">
      <c r="C20" s="13" t="s">
        <v>161</v>
      </c>
      <c r="D20" s="14"/>
      <c r="E20" s="14"/>
      <c r="F20" s="14"/>
      <c r="G20" s="14"/>
      <c r="H20" s="14"/>
      <c r="I20" s="14"/>
      <c r="J20" s="14"/>
      <c r="K20" s="14"/>
      <c r="L20" s="14"/>
      <c r="M20" s="14"/>
      <c r="N20" s="14"/>
      <c r="O20" s="14"/>
      <c r="P20" s="14"/>
      <c r="Q20" s="14"/>
      <c r="R20" s="14"/>
      <c r="S20" s="14"/>
      <c r="T20" s="14"/>
      <c r="U20" s="14"/>
      <c r="V20" s="14"/>
      <c r="W20" s="14"/>
      <c r="X20" s="14"/>
      <c r="Y20" s="14"/>
      <c r="Z20" s="14"/>
      <c r="AA20" s="14"/>
      <c r="AB20" s="14"/>
      <c r="AC20" s="15"/>
    </row>
    <row r="21" spans="3:29" x14ac:dyDescent="0.25">
      <c r="C21" s="16" t="s">
        <v>739</v>
      </c>
      <c r="D21" s="18"/>
      <c r="E21" s="22">
        <v>25</v>
      </c>
      <c r="F21" s="23"/>
      <c r="G21" s="23"/>
      <c r="H21" s="23"/>
      <c r="I21" s="23"/>
      <c r="J21" s="23"/>
      <c r="K21" s="23"/>
      <c r="L21" s="23"/>
      <c r="M21" s="23"/>
      <c r="N21" s="23"/>
      <c r="O21" s="23"/>
      <c r="P21" s="23"/>
      <c r="Q21" s="23"/>
      <c r="R21" s="23"/>
      <c r="S21" s="23"/>
      <c r="T21" s="23"/>
      <c r="U21" s="23"/>
      <c r="V21" s="23"/>
      <c r="W21" s="23"/>
      <c r="X21" s="23"/>
      <c r="Y21" s="23"/>
      <c r="Z21" s="23"/>
      <c r="AA21" s="23"/>
      <c r="AB21" s="23"/>
      <c r="AC21" s="24"/>
    </row>
    <row r="22" spans="3:29" x14ac:dyDescent="0.25">
      <c r="C22" s="16" t="s">
        <v>740</v>
      </c>
      <c r="D22" s="18"/>
      <c r="E22" s="10" t="s">
        <v>1</v>
      </c>
      <c r="F22" s="10" t="s">
        <v>2</v>
      </c>
      <c r="G22" s="10" t="s">
        <v>15</v>
      </c>
      <c r="H22" s="10" t="s">
        <v>17</v>
      </c>
      <c r="I22" s="10" t="s">
        <v>125</v>
      </c>
      <c r="J22" s="10" t="s">
        <v>126</v>
      </c>
      <c r="K22" s="10" t="s">
        <v>127</v>
      </c>
      <c r="L22" s="10" t="s">
        <v>128</v>
      </c>
      <c r="M22" s="10" t="s">
        <v>137</v>
      </c>
      <c r="N22" s="10" t="s">
        <v>138</v>
      </c>
      <c r="O22" s="10" t="s">
        <v>139</v>
      </c>
      <c r="P22" s="10" t="s">
        <v>129</v>
      </c>
      <c r="Q22" s="10" t="s">
        <v>140</v>
      </c>
      <c r="R22" s="10" t="s">
        <v>141</v>
      </c>
      <c r="S22" s="10" t="s">
        <v>142</v>
      </c>
      <c r="T22" s="10" t="s">
        <v>143</v>
      </c>
      <c r="U22" s="10" t="s">
        <v>145</v>
      </c>
      <c r="V22" s="10" t="s">
        <v>144</v>
      </c>
      <c r="W22" s="10" t="s">
        <v>130</v>
      </c>
      <c r="X22" s="10" t="s">
        <v>131</v>
      </c>
      <c r="Y22" s="10" t="s">
        <v>132</v>
      </c>
      <c r="Z22" s="10" t="s">
        <v>133</v>
      </c>
      <c r="AA22" s="10" t="s">
        <v>134</v>
      </c>
      <c r="AB22" s="10" t="s">
        <v>135</v>
      </c>
      <c r="AC22" s="10" t="s">
        <v>136</v>
      </c>
    </row>
    <row r="23" spans="3:29" x14ac:dyDescent="0.25">
      <c r="C23" s="16" t="s">
        <v>741</v>
      </c>
      <c r="D23" s="18"/>
      <c r="E23" s="10"/>
      <c r="F23" s="10"/>
      <c r="G23" s="10"/>
      <c r="H23" s="10"/>
      <c r="I23" s="10"/>
      <c r="J23" s="10"/>
      <c r="K23" s="10"/>
      <c r="L23" s="10"/>
      <c r="M23" s="10"/>
      <c r="N23" s="10"/>
      <c r="O23" s="10"/>
      <c r="P23" s="10"/>
      <c r="Q23" s="10"/>
      <c r="R23" s="10"/>
      <c r="S23" s="10"/>
      <c r="T23" s="10"/>
      <c r="U23" s="10"/>
      <c r="V23" s="10"/>
      <c r="W23" s="10"/>
      <c r="X23" s="10"/>
      <c r="Y23" s="10"/>
      <c r="Z23" s="10"/>
      <c r="AA23" s="10"/>
      <c r="AB23" s="10"/>
      <c r="AC23" s="10"/>
    </row>
    <row r="24" spans="3:29" x14ac:dyDescent="0.25">
      <c r="C24" s="16" t="s">
        <v>742</v>
      </c>
      <c r="D24" s="18"/>
      <c r="E24" s="19" t="s">
        <v>4</v>
      </c>
      <c r="F24" s="20"/>
      <c r="G24" s="20"/>
      <c r="H24" s="20"/>
      <c r="I24" s="20"/>
      <c r="J24" s="20"/>
      <c r="K24" s="20"/>
      <c r="L24" s="20"/>
      <c r="M24" s="20"/>
      <c r="N24" s="20"/>
      <c r="O24" s="20"/>
      <c r="P24" s="20"/>
      <c r="Q24" s="20"/>
      <c r="R24" s="20"/>
      <c r="S24" s="20"/>
      <c r="T24" s="20"/>
      <c r="U24" s="20"/>
      <c r="V24" s="20"/>
      <c r="W24" s="20"/>
      <c r="X24" s="20"/>
      <c r="Y24" s="20"/>
      <c r="Z24" s="20"/>
      <c r="AA24" s="20"/>
      <c r="AB24" s="20"/>
      <c r="AC24" s="21"/>
    </row>
    <row r="26" spans="3:29" ht="15.75" x14ac:dyDescent="0.25">
      <c r="C26" s="13" t="s">
        <v>743</v>
      </c>
      <c r="D26" s="14"/>
      <c r="E26" s="14"/>
      <c r="F26" s="14"/>
      <c r="G26" s="14"/>
      <c r="H26" s="14"/>
      <c r="I26" s="15"/>
    </row>
    <row r="27" spans="3:29" x14ac:dyDescent="0.25">
      <c r="C27" s="16" t="s">
        <v>744</v>
      </c>
      <c r="D27" s="17"/>
      <c r="E27" s="18"/>
      <c r="F27" s="22" t="b">
        <v>0</v>
      </c>
      <c r="G27" s="23"/>
      <c r="H27" s="23"/>
      <c r="I27" s="24"/>
    </row>
    <row r="29" spans="3:29" ht="15.75" x14ac:dyDescent="0.25">
      <c r="C29" s="13" t="s">
        <v>745</v>
      </c>
      <c r="D29" s="14"/>
      <c r="E29" s="14"/>
      <c r="F29" s="14"/>
      <c r="G29" s="14"/>
      <c r="H29" s="14"/>
      <c r="I29" s="15"/>
    </row>
    <row r="30" spans="3:29" x14ac:dyDescent="0.25">
      <c r="C30" s="16" t="s">
        <v>746</v>
      </c>
      <c r="D30" s="17"/>
      <c r="E30" s="18"/>
      <c r="F30" s="22" t="b">
        <v>1</v>
      </c>
      <c r="G30" s="23"/>
      <c r="H30" s="23"/>
      <c r="I30" s="24"/>
    </row>
    <row r="32" spans="3:29" ht="15.75" x14ac:dyDescent="0.25">
      <c r="C32" s="13" t="s">
        <v>747</v>
      </c>
      <c r="D32" s="14"/>
      <c r="E32" s="14"/>
      <c r="F32" s="14"/>
      <c r="G32" s="14"/>
      <c r="H32" s="14"/>
      <c r="I32" s="15"/>
    </row>
    <row r="33" spans="3:9" x14ac:dyDescent="0.25">
      <c r="C33" s="16" t="s">
        <v>749</v>
      </c>
      <c r="D33" s="17"/>
      <c r="E33" s="18"/>
      <c r="F33" s="22" t="b">
        <v>0</v>
      </c>
      <c r="G33" s="23"/>
      <c r="H33" s="23"/>
      <c r="I33" s="24"/>
    </row>
    <row r="34" spans="3:9" x14ac:dyDescent="0.25">
      <c r="C34" s="16" t="s">
        <v>750</v>
      </c>
      <c r="D34" s="17"/>
      <c r="E34" s="18"/>
      <c r="F34" s="22" t="b">
        <v>0</v>
      </c>
      <c r="G34" s="23"/>
      <c r="H34" s="23"/>
      <c r="I34" s="24"/>
    </row>
    <row r="35" spans="3:9" x14ac:dyDescent="0.25">
      <c r="C35" s="16" t="s">
        <v>751</v>
      </c>
      <c r="D35" s="17"/>
      <c r="E35" s="18"/>
      <c r="F35" s="22" t="b">
        <v>0</v>
      </c>
      <c r="G35" s="23"/>
      <c r="H35" s="23"/>
      <c r="I35" s="24"/>
    </row>
    <row r="37" spans="3:9" ht="15.75" x14ac:dyDescent="0.25">
      <c r="C37" s="13" t="s">
        <v>752</v>
      </c>
      <c r="D37" s="14"/>
      <c r="E37" s="14"/>
      <c r="F37" s="14"/>
      <c r="G37" s="14"/>
      <c r="H37" s="14"/>
      <c r="I37" s="15"/>
    </row>
    <row r="38" spans="3:9" x14ac:dyDescent="0.25">
      <c r="C38" s="16" t="s">
        <v>753</v>
      </c>
      <c r="D38" s="17"/>
      <c r="E38" s="18"/>
      <c r="F38" s="22" t="b">
        <v>0</v>
      </c>
      <c r="G38" s="23"/>
      <c r="H38" s="23"/>
      <c r="I38" s="24"/>
    </row>
    <row r="39" spans="3:9" x14ac:dyDescent="0.25">
      <c r="C39" s="16" t="s">
        <v>754</v>
      </c>
      <c r="D39" s="17"/>
      <c r="E39" s="18"/>
      <c r="F39" s="22" t="b">
        <v>0</v>
      </c>
      <c r="G39" s="23"/>
      <c r="H39" s="23"/>
      <c r="I39" s="24"/>
    </row>
    <row r="40" spans="3:9" x14ac:dyDescent="0.25">
      <c r="C40" s="16" t="s">
        <v>755</v>
      </c>
      <c r="D40" s="17"/>
      <c r="E40" s="18"/>
      <c r="F40" s="22" t="b">
        <v>0</v>
      </c>
      <c r="G40" s="23"/>
      <c r="H40" s="23"/>
      <c r="I40" s="24"/>
    </row>
    <row r="41" spans="3:9" x14ac:dyDescent="0.25">
      <c r="C41" s="16" t="s">
        <v>756</v>
      </c>
      <c r="D41" s="17"/>
      <c r="E41" s="18"/>
      <c r="F41" s="22" t="b">
        <v>0</v>
      </c>
      <c r="G41" s="23"/>
      <c r="H41" s="23"/>
      <c r="I41" s="24"/>
    </row>
    <row r="43" spans="3:9" ht="15.75" x14ac:dyDescent="0.25">
      <c r="C43" s="13" t="s">
        <v>782</v>
      </c>
      <c r="D43" s="14"/>
      <c r="E43" s="14"/>
      <c r="F43" s="14"/>
      <c r="G43" s="14"/>
      <c r="H43" s="14"/>
      <c r="I43" s="15"/>
    </row>
    <row r="44" spans="3:9" x14ac:dyDescent="0.25">
      <c r="C44" s="16" t="s">
        <v>783</v>
      </c>
      <c r="D44" s="17"/>
      <c r="E44" s="18"/>
      <c r="F44" s="22" t="s">
        <v>954</v>
      </c>
      <c r="G44" s="23"/>
      <c r="H44" s="23"/>
      <c r="I44" s="24"/>
    </row>
    <row r="45" spans="3:9" x14ac:dyDescent="0.25">
      <c r="C45" s="16" t="s">
        <v>785</v>
      </c>
      <c r="D45" s="17"/>
      <c r="E45" s="18"/>
      <c r="F45" s="22">
        <v>3.84</v>
      </c>
      <c r="G45" s="23"/>
      <c r="H45" s="23"/>
      <c r="I45" s="24"/>
    </row>
    <row r="46" spans="3:9" x14ac:dyDescent="0.25">
      <c r="C46" s="16" t="s">
        <v>880</v>
      </c>
      <c r="D46" s="17"/>
      <c r="E46" s="18"/>
      <c r="F46" s="22">
        <v>2.71</v>
      </c>
      <c r="G46" s="23"/>
      <c r="H46" s="23"/>
      <c r="I46" s="24"/>
    </row>
    <row r="47" spans="3:9" x14ac:dyDescent="0.25">
      <c r="C47" s="16" t="s">
        <v>786</v>
      </c>
      <c r="D47" s="17"/>
      <c r="E47" s="18"/>
      <c r="F47" s="22">
        <v>25</v>
      </c>
      <c r="G47" s="23"/>
      <c r="H47" s="23"/>
      <c r="I47" s="24"/>
    </row>
    <row r="49" spans="2:7" ht="15.75" x14ac:dyDescent="0.25">
      <c r="C49" s="13" t="s">
        <v>757</v>
      </c>
      <c r="D49" s="14"/>
      <c r="E49" s="14"/>
      <c r="F49" s="14"/>
      <c r="G49" s="15"/>
    </row>
    <row r="50" spans="2:7" x14ac:dyDescent="0.25">
      <c r="C50" s="19" t="s">
        <v>758</v>
      </c>
      <c r="D50" s="20"/>
      <c r="E50" s="20"/>
      <c r="F50" s="20"/>
      <c r="G50" s="21"/>
    </row>
    <row r="51" spans="2:7" x14ac:dyDescent="0.25">
      <c r="C51" s="19" t="s">
        <v>759</v>
      </c>
      <c r="D51" s="20"/>
      <c r="E51" s="20"/>
      <c r="F51" s="20"/>
      <c r="G51" s="21"/>
    </row>
    <row r="54" spans="2:7" ht="18.75" x14ac:dyDescent="0.3">
      <c r="B54" s="7" t="s">
        <v>720</v>
      </c>
    </row>
    <row r="56" spans="2:7" x14ac:dyDescent="0.25">
      <c r="C56" s="9" t="s">
        <v>726</v>
      </c>
      <c r="D56" s="5" t="s">
        <v>727</v>
      </c>
    </row>
    <row r="57" spans="2:7" x14ac:dyDescent="0.25">
      <c r="C57" s="9" t="s">
        <v>760</v>
      </c>
      <c r="D57" s="8">
        <v>352</v>
      </c>
    </row>
    <row r="58" spans="2:7" x14ac:dyDescent="0.25">
      <c r="C58" s="9" t="s">
        <v>732</v>
      </c>
      <c r="D58" s="8">
        <v>0.12155944887838921</v>
      </c>
    </row>
    <row r="59" spans="2:7" x14ac:dyDescent="0.25">
      <c r="C59" s="9" t="s">
        <v>761</v>
      </c>
      <c r="D59" s="8">
        <v>7.164805392829765E-2</v>
      </c>
    </row>
    <row r="60" spans="2:7" x14ac:dyDescent="0.25">
      <c r="C60" s="9" t="s">
        <v>762</v>
      </c>
      <c r="D60" s="8">
        <v>0.98569750311531179</v>
      </c>
    </row>
    <row r="61" spans="2:7" x14ac:dyDescent="0.25">
      <c r="C61" s="9" t="s">
        <v>763</v>
      </c>
      <c r="D61" s="8">
        <v>342.00304781201157</v>
      </c>
    </row>
    <row r="63" spans="2:7" ht="18.75" x14ac:dyDescent="0.3">
      <c r="B63" s="7" t="s">
        <v>721</v>
      </c>
    </row>
    <row r="65" spans="3:5" x14ac:dyDescent="0.25">
      <c r="C65" s="9" t="s">
        <v>764</v>
      </c>
      <c r="D65" s="5" t="s">
        <v>765</v>
      </c>
      <c r="E65" s="5" t="s">
        <v>766</v>
      </c>
    </row>
    <row r="66" spans="3:5" x14ac:dyDescent="0.25">
      <c r="C66" s="9" t="s">
        <v>767</v>
      </c>
      <c r="D66" s="8">
        <v>3.179371520902325</v>
      </c>
      <c r="E66" s="8" t="b">
        <v>1</v>
      </c>
    </row>
    <row r="67" spans="3:5" x14ac:dyDescent="0.25">
      <c r="C67" s="9" t="s">
        <v>1</v>
      </c>
      <c r="D67" s="8">
        <v>804.96491622822862</v>
      </c>
      <c r="E67" s="8" t="b">
        <v>1</v>
      </c>
    </row>
    <row r="68" spans="3:5" x14ac:dyDescent="0.25">
      <c r="C68" s="9" t="s">
        <v>2</v>
      </c>
      <c r="D68" s="8">
        <v>157.65198105341554</v>
      </c>
      <c r="E68" s="8" t="b">
        <v>1</v>
      </c>
    </row>
    <row r="69" spans="3:5" x14ac:dyDescent="0.25">
      <c r="C69" s="9" t="s">
        <v>15</v>
      </c>
      <c r="D69" s="8">
        <v>50459.451968882895</v>
      </c>
      <c r="E69" s="8" t="b">
        <v>1</v>
      </c>
    </row>
    <row r="70" spans="3:5" x14ac:dyDescent="0.25">
      <c r="C70" s="9" t="s">
        <v>17</v>
      </c>
      <c r="D70" s="8">
        <v>55.37653481269777</v>
      </c>
      <c r="E70" s="8" t="b">
        <v>1</v>
      </c>
    </row>
    <row r="71" spans="3:5" x14ac:dyDescent="0.25">
      <c r="C71" s="9" t="s">
        <v>125</v>
      </c>
      <c r="D71" s="8">
        <v>5.741650293743252E-15</v>
      </c>
      <c r="E71" s="8" t="b">
        <v>0</v>
      </c>
    </row>
    <row r="72" spans="3:5" x14ac:dyDescent="0.25">
      <c r="C72" s="9" t="s">
        <v>126</v>
      </c>
      <c r="D72" s="8">
        <v>8.6801136790438846</v>
      </c>
      <c r="E72" s="8" t="b">
        <v>1</v>
      </c>
    </row>
    <row r="73" spans="3:5" x14ac:dyDescent="0.25">
      <c r="C73" s="9" t="s">
        <v>127</v>
      </c>
      <c r="D73" s="8">
        <v>8.051274180130326</v>
      </c>
      <c r="E73" s="8" t="b">
        <v>1</v>
      </c>
    </row>
    <row r="74" spans="3:5" x14ac:dyDescent="0.25">
      <c r="C74" s="9" t="s">
        <v>128</v>
      </c>
      <c r="D74" s="8">
        <v>6.8849985824138562</v>
      </c>
      <c r="E74" s="8" t="b">
        <v>1</v>
      </c>
    </row>
    <row r="75" spans="3:5" x14ac:dyDescent="0.25">
      <c r="C75" s="9" t="s">
        <v>137</v>
      </c>
      <c r="D75" s="8">
        <v>7.5127631128512933</v>
      </c>
      <c r="E75" s="8" t="b">
        <v>1</v>
      </c>
    </row>
    <row r="76" spans="3:5" x14ac:dyDescent="0.25">
      <c r="C76" s="9" t="s">
        <v>138</v>
      </c>
      <c r="D76" s="8">
        <v>3.0536086232421463E-15</v>
      </c>
      <c r="E76" s="8" t="b">
        <v>0</v>
      </c>
    </row>
    <row r="77" spans="3:5" x14ac:dyDescent="0.25">
      <c r="C77" s="9" t="s">
        <v>139</v>
      </c>
      <c r="D77" s="8">
        <v>9.8283154212171802</v>
      </c>
      <c r="E77" s="8" t="b">
        <v>1</v>
      </c>
    </row>
    <row r="78" spans="3:5" x14ac:dyDescent="0.25">
      <c r="C78" s="9" t="s">
        <v>129</v>
      </c>
      <c r="D78" s="8">
        <v>7.8193539981891176</v>
      </c>
      <c r="E78" s="8" t="b">
        <v>1</v>
      </c>
    </row>
    <row r="79" spans="3:5" x14ac:dyDescent="0.25">
      <c r="C79" s="9" t="s">
        <v>140</v>
      </c>
      <c r="D79" s="8">
        <v>9.5240411638783691</v>
      </c>
      <c r="E79" s="8" t="b">
        <v>1</v>
      </c>
    </row>
    <row r="80" spans="3:5" x14ac:dyDescent="0.25">
      <c r="C80" s="9" t="s">
        <v>141</v>
      </c>
      <c r="D80" s="8">
        <v>8.3406846255705691</v>
      </c>
      <c r="E80" s="8" t="b">
        <v>1</v>
      </c>
    </row>
    <row r="81" spans="2:5" x14ac:dyDescent="0.25">
      <c r="C81" s="9" t="s">
        <v>142</v>
      </c>
      <c r="D81" s="8">
        <v>6.3159886196428454E-15</v>
      </c>
      <c r="E81" s="8" t="b">
        <v>0</v>
      </c>
    </row>
    <row r="82" spans="2:5" x14ac:dyDescent="0.25">
      <c r="C82" s="9" t="s">
        <v>143</v>
      </c>
      <c r="D82" s="8">
        <v>6.5646998366945208</v>
      </c>
      <c r="E82" s="8" t="b">
        <v>1</v>
      </c>
    </row>
    <row r="83" spans="2:5" x14ac:dyDescent="0.25">
      <c r="C83" s="9" t="s">
        <v>145</v>
      </c>
      <c r="D83" s="8">
        <v>4.0913264122228728E-15</v>
      </c>
      <c r="E83" s="8" t="b">
        <v>0</v>
      </c>
    </row>
    <row r="84" spans="2:5" x14ac:dyDescent="0.25">
      <c r="C84" s="9" t="s">
        <v>144</v>
      </c>
      <c r="D84" s="8">
        <v>10.559779518782314</v>
      </c>
      <c r="E84" s="8" t="b">
        <v>1</v>
      </c>
    </row>
    <row r="85" spans="2:5" x14ac:dyDescent="0.25">
      <c r="C85" s="9" t="s">
        <v>130</v>
      </c>
      <c r="D85" s="8">
        <v>6.0536719226380065</v>
      </c>
      <c r="E85" s="8" t="b">
        <v>1</v>
      </c>
    </row>
    <row r="86" spans="2:5" x14ac:dyDescent="0.25">
      <c r="C86" s="9" t="s">
        <v>131</v>
      </c>
      <c r="D86" s="8">
        <v>5.0712096643506053</v>
      </c>
      <c r="E86" s="8" t="b">
        <v>1</v>
      </c>
    </row>
    <row r="87" spans="2:5" x14ac:dyDescent="0.25">
      <c r="C87" s="9" t="s">
        <v>132</v>
      </c>
      <c r="D87" s="8">
        <v>5.3903766491914843E-15</v>
      </c>
      <c r="E87" s="8" t="b">
        <v>0</v>
      </c>
    </row>
    <row r="88" spans="2:5" x14ac:dyDescent="0.25">
      <c r="C88" s="9" t="s">
        <v>133</v>
      </c>
      <c r="D88" s="8">
        <v>6.5070074523886747</v>
      </c>
      <c r="E88" s="8" t="b">
        <v>1</v>
      </c>
    </row>
    <row r="89" spans="2:5" x14ac:dyDescent="0.25">
      <c r="C89" s="9" t="s">
        <v>134</v>
      </c>
      <c r="D89" s="8">
        <v>5.6602135549340744</v>
      </c>
      <c r="E89" s="8" t="b">
        <v>1</v>
      </c>
    </row>
    <row r="90" spans="2:5" x14ac:dyDescent="0.25">
      <c r="C90" s="9" t="s">
        <v>135</v>
      </c>
      <c r="D90" s="8">
        <v>6.7600340844002051</v>
      </c>
      <c r="E90" s="8" t="b">
        <v>1</v>
      </c>
    </row>
    <row r="91" spans="2:5" x14ac:dyDescent="0.25">
      <c r="C91" s="9" t="s">
        <v>136</v>
      </c>
      <c r="D91" s="8">
        <v>7.3408221273594316</v>
      </c>
      <c r="E91" s="8" t="b">
        <v>1</v>
      </c>
    </row>
    <row r="94" spans="2:5" x14ac:dyDescent="0.25">
      <c r="C94" s="9" t="s">
        <v>768</v>
      </c>
      <c r="D94" s="8">
        <v>4.1790982347586923E-9</v>
      </c>
    </row>
    <row r="96" spans="2:5" ht="18.75" x14ac:dyDescent="0.3">
      <c r="B96" s="7" t="s">
        <v>722</v>
      </c>
    </row>
    <row r="98" spans="3:4" x14ac:dyDescent="0.25">
      <c r="C98" s="9" t="s">
        <v>764</v>
      </c>
      <c r="D98" s="5" t="s">
        <v>769</v>
      </c>
    </row>
    <row r="99" spans="3:4" x14ac:dyDescent="0.25">
      <c r="C99" s="9" t="s">
        <v>767</v>
      </c>
      <c r="D99" s="8">
        <v>4.8329834165893315</v>
      </c>
    </row>
    <row r="100" spans="3:4" x14ac:dyDescent="0.25">
      <c r="C100" s="9" t="s">
        <v>1</v>
      </c>
      <c r="D100" s="8">
        <v>1.8863694360614701E-3</v>
      </c>
    </row>
    <row r="101" spans="3:4" x14ac:dyDescent="0.25">
      <c r="C101" s="9" t="s">
        <v>2</v>
      </c>
      <c r="D101" s="8">
        <v>-4.1760912412037599E-3</v>
      </c>
    </row>
    <row r="102" spans="3:4" x14ac:dyDescent="0.25">
      <c r="C102" s="9" t="s">
        <v>15</v>
      </c>
      <c r="D102" s="8">
        <v>-1.5342302947515422E-4</v>
      </c>
    </row>
    <row r="103" spans="3:4" x14ac:dyDescent="0.25">
      <c r="C103" s="9" t="s">
        <v>17</v>
      </c>
      <c r="D103" s="8">
        <v>2.2298942051343831E-3</v>
      </c>
    </row>
    <row r="104" spans="3:4" x14ac:dyDescent="0.25">
      <c r="C104" s="27" t="s">
        <v>125</v>
      </c>
      <c r="D104" s="26">
        <v>0</v>
      </c>
    </row>
    <row r="105" spans="3:4" x14ac:dyDescent="0.25">
      <c r="C105" s="9" t="s">
        <v>126</v>
      </c>
      <c r="D105" s="8">
        <v>1.2972337069602376E-2</v>
      </c>
    </row>
    <row r="106" spans="3:4" x14ac:dyDescent="0.25">
      <c r="C106" s="9" t="s">
        <v>127</v>
      </c>
      <c r="D106" s="8">
        <v>-8.2390025484047405E-2</v>
      </c>
    </row>
    <row r="107" spans="3:4" x14ac:dyDescent="0.25">
      <c r="C107" s="9" t="s">
        <v>128</v>
      </c>
      <c r="D107" s="8">
        <v>2.705067638949079E-2</v>
      </c>
    </row>
    <row r="108" spans="3:4" x14ac:dyDescent="0.25">
      <c r="C108" s="9" t="s">
        <v>137</v>
      </c>
      <c r="D108" s="8">
        <v>0.14222410262265847</v>
      </c>
    </row>
    <row r="109" spans="3:4" x14ac:dyDescent="0.25">
      <c r="C109" s="27" t="s">
        <v>138</v>
      </c>
      <c r="D109" s="26">
        <v>0</v>
      </c>
    </row>
    <row r="110" spans="3:4" x14ac:dyDescent="0.25">
      <c r="C110" s="9" t="s">
        <v>139</v>
      </c>
      <c r="D110" s="8">
        <v>0.35728551239069334</v>
      </c>
    </row>
    <row r="111" spans="3:4" x14ac:dyDescent="0.25">
      <c r="C111" s="9" t="s">
        <v>129</v>
      </c>
      <c r="D111" s="8">
        <v>0.23007315854342728</v>
      </c>
    </row>
    <row r="112" spans="3:4" x14ac:dyDescent="0.25">
      <c r="C112" s="9" t="s">
        <v>140</v>
      </c>
      <c r="D112" s="8">
        <v>-0.55300066924158731</v>
      </c>
    </row>
    <row r="113" spans="3:4" x14ac:dyDescent="0.25">
      <c r="C113" s="9" t="s">
        <v>141</v>
      </c>
      <c r="D113" s="8">
        <v>-0.6124725559743962</v>
      </c>
    </row>
    <row r="114" spans="3:4" x14ac:dyDescent="0.25">
      <c r="C114" s="27" t="s">
        <v>142</v>
      </c>
      <c r="D114" s="26">
        <v>0</v>
      </c>
    </row>
    <row r="115" spans="3:4" x14ac:dyDescent="0.25">
      <c r="C115" s="9" t="s">
        <v>143</v>
      </c>
      <c r="D115" s="8">
        <v>-0.16911345472356512</v>
      </c>
    </row>
    <row r="116" spans="3:4" x14ac:dyDescent="0.25">
      <c r="C116" s="27" t="s">
        <v>145</v>
      </c>
      <c r="D116" s="26">
        <v>0</v>
      </c>
    </row>
    <row r="117" spans="3:4" x14ac:dyDescent="0.25">
      <c r="C117" s="9" t="s">
        <v>144</v>
      </c>
      <c r="D117" s="8">
        <v>6.8979395974951799E-2</v>
      </c>
    </row>
    <row r="118" spans="3:4" x14ac:dyDescent="0.25">
      <c r="C118" s="9" t="s">
        <v>130</v>
      </c>
      <c r="D118" s="8">
        <v>-4.7591641680786841E-2</v>
      </c>
    </row>
    <row r="119" spans="3:4" x14ac:dyDescent="0.25">
      <c r="C119" s="9" t="s">
        <v>131</v>
      </c>
      <c r="D119" s="8">
        <v>-0.38453509647637835</v>
      </c>
    </row>
    <row r="120" spans="3:4" x14ac:dyDescent="0.25">
      <c r="C120" s="27" t="s">
        <v>132</v>
      </c>
      <c r="D120" s="26">
        <v>0</v>
      </c>
    </row>
    <row r="121" spans="3:4" x14ac:dyDescent="0.25">
      <c r="C121" s="9" t="s">
        <v>133</v>
      </c>
      <c r="D121" s="8">
        <v>-0.35147408403904734</v>
      </c>
    </row>
    <row r="122" spans="3:4" x14ac:dyDescent="0.25">
      <c r="C122" s="9" t="s">
        <v>134</v>
      </c>
      <c r="D122" s="8">
        <v>-0.28507928290056161</v>
      </c>
    </row>
    <row r="123" spans="3:4" x14ac:dyDescent="0.25">
      <c r="C123" s="9" t="s">
        <v>135</v>
      </c>
      <c r="D123" s="8">
        <v>-0.49009796541197853</v>
      </c>
    </row>
    <row r="124" spans="3:4" x14ac:dyDescent="0.25">
      <c r="C124" s="9" t="s">
        <v>136</v>
      </c>
      <c r="D124" s="8">
        <v>-0.4474401483348448</v>
      </c>
    </row>
  </sheetData>
  <mergeCells count="66">
    <mergeCell ref="B3:K3"/>
    <mergeCell ref="N3:Q3"/>
    <mergeCell ref="H4:I4"/>
    <mergeCell ref="J4:K4"/>
    <mergeCell ref="B5:C5"/>
    <mergeCell ref="D5:E5"/>
    <mergeCell ref="F5:G5"/>
    <mergeCell ref="H5:I5"/>
    <mergeCell ref="J5:K5"/>
    <mergeCell ref="C49:G49"/>
    <mergeCell ref="C50:G50"/>
    <mergeCell ref="C51:G51"/>
    <mergeCell ref="B4:C4"/>
    <mergeCell ref="D4:E4"/>
    <mergeCell ref="F4:G4"/>
    <mergeCell ref="C43:I43"/>
    <mergeCell ref="C44:E44"/>
    <mergeCell ref="C45:E45"/>
    <mergeCell ref="C46:E46"/>
    <mergeCell ref="C47:E47"/>
    <mergeCell ref="F44:I44"/>
    <mergeCell ref="F45:I45"/>
    <mergeCell ref="F46:I46"/>
    <mergeCell ref="F47:I47"/>
    <mergeCell ref="C37:I37"/>
    <mergeCell ref="C38:E38"/>
    <mergeCell ref="C39:E39"/>
    <mergeCell ref="C40:E40"/>
    <mergeCell ref="C41:E41"/>
    <mergeCell ref="F38:I38"/>
    <mergeCell ref="F39:I39"/>
    <mergeCell ref="F40:I40"/>
    <mergeCell ref="F41:I41"/>
    <mergeCell ref="C32:I32"/>
    <mergeCell ref="C33:E33"/>
    <mergeCell ref="C34:E34"/>
    <mergeCell ref="C35:E35"/>
    <mergeCell ref="F33:I33"/>
    <mergeCell ref="F34:I34"/>
    <mergeCell ref="F35:I35"/>
    <mergeCell ref="C26:I26"/>
    <mergeCell ref="C27:E27"/>
    <mergeCell ref="F27:I27"/>
    <mergeCell ref="C29:I29"/>
    <mergeCell ref="C30:E30"/>
    <mergeCell ref="F30:I30"/>
    <mergeCell ref="C20:AC20"/>
    <mergeCell ref="C21:D21"/>
    <mergeCell ref="C22:D22"/>
    <mergeCell ref="C23:D23"/>
    <mergeCell ref="C24:D24"/>
    <mergeCell ref="E21:AC21"/>
    <mergeCell ref="E24:AC24"/>
    <mergeCell ref="C18:F18"/>
    <mergeCell ref="G13:K13"/>
    <mergeCell ref="G14:K14"/>
    <mergeCell ref="G15:K15"/>
    <mergeCell ref="G16:K16"/>
    <mergeCell ref="G17:K17"/>
    <mergeCell ref="G18:K18"/>
    <mergeCell ref="C12:K12"/>
    <mergeCell ref="C13:F13"/>
    <mergeCell ref="C14:F14"/>
    <mergeCell ref="C15:F15"/>
    <mergeCell ref="C16:F16"/>
    <mergeCell ref="C17:F17"/>
  </mergeCells>
  <hyperlinks>
    <hyperlink ref="B4" location="'LinReg_FS1'!$B$10:$B$10" display="Feature Selection" xr:uid="{72EDFB9F-6691-4A62-AB83-55907EFEA657}"/>
    <hyperlink ref="D4" location="'LinReg_Output'!$B$10:$B$10" display="Inputs" xr:uid="{B63C0384-1F36-4D18-B319-00554275EDF9}"/>
    <hyperlink ref="F4" location="'LinReg_Output'!$B$54:$B$54" display="Regression Summary" xr:uid="{F4D21625-382F-4CEF-A1D5-AEE6B24CB72D}"/>
    <hyperlink ref="H4" location="'LinReg_Output'!$B$63:$B$63" display="Predictor Screening" xr:uid="{BFD1BF82-C12D-455A-BAD6-D185024E91BE}"/>
    <hyperlink ref="J4" location="'LinReg_Output'!$B$96:$B$96" display="Coefficients" xr:uid="{ECEFD1FF-EE00-4564-A9F4-69B79FD4CB0D}"/>
    <hyperlink ref="B5" location="'LinReg_Stored1'!$B$10:$B$10" display="PMML Model" xr:uid="{89F600C6-7FF6-423A-AA07-1E8E004BB18A}"/>
    <hyperlink ref="D5" location="'LinReg_TrainingScore1'!$B$10:$B$10" display="Training: Prediction Summary" xr:uid="{1D5132C1-183B-434F-8087-1DA892FF515A}"/>
    <hyperlink ref="F5" location="'LinReg_ValidationScore1'!$B$10:$B$10" display="Validation: Prediction Summary" xr:uid="{90E7282B-09D1-4D22-AC3B-1FD120E6637C}"/>
  </hyperlinks>
  <pageMargins left="0.7" right="0.7" top="0.75" bottom="0.75" header="0.3" footer="0.3"/>
  <tableParts count="4">
    <tablePart r:id="rId1"/>
    <tablePart r:id="rId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FD48F-A20C-420E-8B81-0CCCD892BA37}">
  <sheetPr codeName="Sheet13">
    <tabColor theme="7" tint="-0.249977111117893"/>
  </sheetPr>
  <dimension ref="B1:AC26"/>
  <sheetViews>
    <sheetView showGridLines="0" workbookViewId="0">
      <selection activeCell="E84" sqref="E84:N86"/>
    </sheetView>
  </sheetViews>
  <sheetFormatPr defaultRowHeight="15" x14ac:dyDescent="0.25"/>
  <cols>
    <col min="3" max="3" width="11.42578125" customWidth="1"/>
    <col min="4" max="4" width="14.85546875" customWidth="1"/>
    <col min="5" max="5" width="13.28515625" customWidth="1"/>
    <col min="6" max="6" width="18.42578125" customWidth="1"/>
    <col min="7" max="7" width="11.85546875" customWidth="1"/>
    <col min="8" max="8" width="16" customWidth="1"/>
    <col min="9" max="9" width="23.5703125" customWidth="1"/>
    <col min="10" max="10" width="23.42578125" customWidth="1"/>
    <col min="11" max="11" width="24.42578125" customWidth="1"/>
    <col min="12" max="12" width="23.85546875" customWidth="1"/>
    <col min="13" max="13" width="20.42578125" customWidth="1"/>
    <col min="14" max="14" width="22.7109375" customWidth="1"/>
    <col min="15" max="15" width="22.42578125" customWidth="1"/>
    <col min="16" max="16" width="18.140625" customWidth="1"/>
    <col min="17" max="18" width="20.7109375" customWidth="1"/>
    <col min="19" max="19" width="14" customWidth="1"/>
    <col min="20" max="20" width="21.85546875" customWidth="1"/>
    <col min="21" max="21" width="23" customWidth="1"/>
    <col min="22" max="22" width="29.5703125" customWidth="1"/>
    <col min="23" max="23" width="24.5703125" customWidth="1"/>
    <col min="24" max="24" width="26.42578125" customWidth="1"/>
    <col min="25" max="25" width="26.85546875" customWidth="1"/>
    <col min="26" max="26" width="25.5703125" customWidth="1"/>
    <col min="27" max="27" width="27.140625" customWidth="1"/>
    <col min="28" max="28" width="26.42578125" customWidth="1"/>
    <col min="29" max="29" width="29.7109375" customWidth="1"/>
  </cols>
  <sheetData>
    <row r="1" spans="2:29" ht="18.75" x14ac:dyDescent="0.3">
      <c r="B1" s="6" t="s">
        <v>771</v>
      </c>
      <c r="N1" t="s">
        <v>947</v>
      </c>
    </row>
    <row r="3" spans="2:29" ht="15.75" x14ac:dyDescent="0.25">
      <c r="B3" s="13" t="s">
        <v>147</v>
      </c>
      <c r="C3" s="14"/>
      <c r="D3" s="14"/>
      <c r="E3" s="14"/>
      <c r="F3" s="14"/>
      <c r="G3" s="14"/>
      <c r="H3" s="14"/>
      <c r="I3" s="14"/>
      <c r="J3" s="14"/>
      <c r="K3" s="15"/>
      <c r="N3" s="13" t="s">
        <v>148</v>
      </c>
      <c r="O3" s="14"/>
      <c r="P3" s="14"/>
      <c r="Q3" s="15"/>
    </row>
    <row r="4" spans="2:29" x14ac:dyDescent="0.25">
      <c r="B4" s="25" t="s">
        <v>770</v>
      </c>
      <c r="C4" s="21"/>
      <c r="D4" s="25" t="s">
        <v>153</v>
      </c>
      <c r="E4" s="21"/>
      <c r="F4" s="25" t="s">
        <v>720</v>
      </c>
      <c r="G4" s="21"/>
      <c r="H4" s="25" t="s">
        <v>721</v>
      </c>
      <c r="I4" s="21"/>
      <c r="J4" s="25" t="s">
        <v>722</v>
      </c>
      <c r="K4" s="21"/>
      <c r="N4" s="11" t="s">
        <v>149</v>
      </c>
      <c r="O4" s="11" t="s">
        <v>150</v>
      </c>
      <c r="P4" s="11" t="s">
        <v>151</v>
      </c>
      <c r="Q4" s="11" t="s">
        <v>152</v>
      </c>
    </row>
    <row r="5" spans="2:29" x14ac:dyDescent="0.25">
      <c r="B5" s="25" t="s">
        <v>645</v>
      </c>
      <c r="C5" s="21"/>
      <c r="D5" s="25" t="s">
        <v>723</v>
      </c>
      <c r="E5" s="21"/>
      <c r="F5" s="25" t="s">
        <v>724</v>
      </c>
      <c r="G5" s="21"/>
      <c r="H5" s="19"/>
      <c r="I5" s="21"/>
      <c r="J5" s="19"/>
      <c r="K5" s="21"/>
      <c r="N5" s="10">
        <v>14</v>
      </c>
      <c r="O5" s="10">
        <v>8</v>
      </c>
      <c r="P5" s="10">
        <v>8</v>
      </c>
      <c r="Q5" s="10">
        <v>30</v>
      </c>
    </row>
    <row r="10" spans="2:29" ht="18.75" x14ac:dyDescent="0.3">
      <c r="B10" s="7" t="s">
        <v>770</v>
      </c>
    </row>
    <row r="12" spans="2:29" ht="15.75" x14ac:dyDescent="0.25">
      <c r="C12" s="29" t="s">
        <v>772</v>
      </c>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1"/>
    </row>
    <row r="13" spans="2:29" x14ac:dyDescent="0.25">
      <c r="C13" s="9" t="s">
        <v>773</v>
      </c>
      <c r="D13" s="5" t="s">
        <v>767</v>
      </c>
      <c r="E13" s="5" t="s">
        <v>1</v>
      </c>
      <c r="F13" s="5" t="s">
        <v>2</v>
      </c>
      <c r="G13" s="5" t="s">
        <v>15</v>
      </c>
      <c r="H13" s="5" t="s">
        <v>17</v>
      </c>
      <c r="I13" s="5" t="s">
        <v>125</v>
      </c>
      <c r="J13" s="5" t="s">
        <v>126</v>
      </c>
      <c r="K13" s="5" t="s">
        <v>127</v>
      </c>
      <c r="L13" s="5" t="s">
        <v>128</v>
      </c>
      <c r="M13" s="5" t="s">
        <v>137</v>
      </c>
      <c r="N13" s="5" t="s">
        <v>138</v>
      </c>
      <c r="O13" s="5" t="s">
        <v>139</v>
      </c>
      <c r="P13" s="5" t="s">
        <v>129</v>
      </c>
      <c r="Q13" s="5" t="s">
        <v>140</v>
      </c>
      <c r="R13" s="5" t="s">
        <v>141</v>
      </c>
      <c r="S13" s="5" t="s">
        <v>142</v>
      </c>
      <c r="T13" s="5" t="s">
        <v>143</v>
      </c>
      <c r="U13" s="5" t="s">
        <v>145</v>
      </c>
      <c r="V13" s="5" t="s">
        <v>144</v>
      </c>
      <c r="W13" s="5" t="s">
        <v>130</v>
      </c>
      <c r="X13" s="5" t="s">
        <v>131</v>
      </c>
      <c r="Y13" s="5" t="s">
        <v>132</v>
      </c>
      <c r="Z13" s="5" t="s">
        <v>133</v>
      </c>
      <c r="AA13" s="5" t="s">
        <v>134</v>
      </c>
      <c r="AB13" s="5" t="s">
        <v>135</v>
      </c>
      <c r="AC13" s="5" t="s">
        <v>136</v>
      </c>
    </row>
    <row r="14" spans="2:29" x14ac:dyDescent="0.25">
      <c r="B14" s="12" t="s">
        <v>949</v>
      </c>
      <c r="C14" s="28" t="s">
        <v>774</v>
      </c>
      <c r="D14" s="8">
        <v>1</v>
      </c>
      <c r="E14" s="8">
        <v>0</v>
      </c>
      <c r="F14" s="8">
        <v>0</v>
      </c>
      <c r="G14" s="8">
        <v>0</v>
      </c>
      <c r="H14" s="8">
        <v>0</v>
      </c>
      <c r="I14" s="8">
        <v>0</v>
      </c>
      <c r="J14" s="8">
        <v>0</v>
      </c>
      <c r="K14" s="8">
        <v>0</v>
      </c>
      <c r="L14" s="8">
        <v>0</v>
      </c>
      <c r="M14" s="8">
        <v>0</v>
      </c>
      <c r="N14" s="8">
        <v>0</v>
      </c>
      <c r="O14" s="8">
        <v>0</v>
      </c>
      <c r="P14" s="8">
        <v>0</v>
      </c>
      <c r="Q14" s="8">
        <v>0</v>
      </c>
      <c r="R14" s="8">
        <v>0</v>
      </c>
      <c r="S14" s="8">
        <v>0</v>
      </c>
      <c r="T14" s="8">
        <v>0</v>
      </c>
      <c r="U14" s="8">
        <v>0</v>
      </c>
      <c r="V14" s="8">
        <v>0</v>
      </c>
      <c r="W14" s="8">
        <v>0</v>
      </c>
      <c r="X14" s="8">
        <v>0</v>
      </c>
      <c r="Y14" s="8">
        <v>0</v>
      </c>
      <c r="Z14" s="8">
        <v>0</v>
      </c>
      <c r="AA14" s="8">
        <v>0</v>
      </c>
      <c r="AB14" s="8">
        <v>0</v>
      </c>
      <c r="AC14" s="8">
        <v>0</v>
      </c>
    </row>
    <row r="15" spans="2:29" x14ac:dyDescent="0.25">
      <c r="B15" s="12" t="s">
        <v>950</v>
      </c>
      <c r="C15" s="28" t="s">
        <v>775</v>
      </c>
      <c r="D15" s="8">
        <v>1</v>
      </c>
      <c r="E15" s="8">
        <v>0</v>
      </c>
      <c r="F15" s="8">
        <v>0</v>
      </c>
      <c r="G15" s="8">
        <v>0</v>
      </c>
      <c r="H15" s="8">
        <v>0</v>
      </c>
      <c r="I15" s="8">
        <v>0</v>
      </c>
      <c r="J15" s="8">
        <v>0</v>
      </c>
      <c r="K15" s="8">
        <v>0</v>
      </c>
      <c r="L15" s="8">
        <v>0</v>
      </c>
      <c r="M15" s="8">
        <v>0</v>
      </c>
      <c r="N15" s="8">
        <v>0</v>
      </c>
      <c r="O15" s="8">
        <v>1</v>
      </c>
      <c r="P15" s="8">
        <v>0</v>
      </c>
      <c r="Q15" s="8">
        <v>0</v>
      </c>
      <c r="R15" s="8">
        <v>0</v>
      </c>
      <c r="S15" s="8">
        <v>0</v>
      </c>
      <c r="T15" s="8">
        <v>0</v>
      </c>
      <c r="U15" s="8">
        <v>0</v>
      </c>
      <c r="V15" s="8">
        <v>0</v>
      </c>
      <c r="W15" s="8">
        <v>0</v>
      </c>
      <c r="X15" s="8">
        <v>0</v>
      </c>
      <c r="Y15" s="8">
        <v>0</v>
      </c>
      <c r="Z15" s="8">
        <v>0</v>
      </c>
      <c r="AA15" s="8">
        <v>0</v>
      </c>
      <c r="AB15" s="8">
        <v>0</v>
      </c>
      <c r="AC15" s="8">
        <v>0</v>
      </c>
    </row>
    <row r="16" spans="2:29" x14ac:dyDescent="0.25">
      <c r="B16" s="12" t="s">
        <v>951</v>
      </c>
      <c r="C16" s="28" t="s">
        <v>776</v>
      </c>
      <c r="D16" s="8">
        <v>1</v>
      </c>
      <c r="E16" s="8">
        <v>0</v>
      </c>
      <c r="F16" s="8">
        <v>0</v>
      </c>
      <c r="G16" s="8">
        <v>0</v>
      </c>
      <c r="H16" s="8">
        <v>0</v>
      </c>
      <c r="I16" s="8">
        <v>0</v>
      </c>
      <c r="J16" s="8">
        <v>0</v>
      </c>
      <c r="K16" s="8">
        <v>0</v>
      </c>
      <c r="L16" s="8">
        <v>0</v>
      </c>
      <c r="M16" s="8">
        <v>0</v>
      </c>
      <c r="N16" s="8">
        <v>0</v>
      </c>
      <c r="O16" s="8">
        <v>1</v>
      </c>
      <c r="P16" s="8">
        <v>0</v>
      </c>
      <c r="Q16" s="8">
        <v>0</v>
      </c>
      <c r="R16" s="8">
        <v>1</v>
      </c>
      <c r="S16" s="8">
        <v>0</v>
      </c>
      <c r="T16" s="8">
        <v>0</v>
      </c>
      <c r="U16" s="8">
        <v>0</v>
      </c>
      <c r="V16" s="8">
        <v>0</v>
      </c>
      <c r="W16" s="8">
        <v>0</v>
      </c>
      <c r="X16" s="8">
        <v>0</v>
      </c>
      <c r="Y16" s="8">
        <v>0</v>
      </c>
      <c r="Z16" s="8">
        <v>0</v>
      </c>
      <c r="AA16" s="8">
        <v>0</v>
      </c>
      <c r="AB16" s="8">
        <v>0</v>
      </c>
      <c r="AC16" s="8">
        <v>0</v>
      </c>
    </row>
    <row r="17" spans="2:29" x14ac:dyDescent="0.25">
      <c r="B17" s="12" t="s">
        <v>952</v>
      </c>
      <c r="C17" s="28" t="s">
        <v>777</v>
      </c>
      <c r="D17" s="8">
        <v>1</v>
      </c>
      <c r="E17" s="8">
        <v>0</v>
      </c>
      <c r="F17" s="8">
        <v>0</v>
      </c>
      <c r="G17" s="8">
        <v>0</v>
      </c>
      <c r="H17" s="8">
        <v>0</v>
      </c>
      <c r="I17" s="8">
        <v>0</v>
      </c>
      <c r="J17" s="8">
        <v>0</v>
      </c>
      <c r="K17" s="8">
        <v>0</v>
      </c>
      <c r="L17" s="8">
        <v>0</v>
      </c>
      <c r="M17" s="8">
        <v>0</v>
      </c>
      <c r="N17" s="8">
        <v>0</v>
      </c>
      <c r="O17" s="8">
        <v>1</v>
      </c>
      <c r="P17" s="8">
        <v>0</v>
      </c>
      <c r="Q17" s="8">
        <v>1</v>
      </c>
      <c r="R17" s="8">
        <v>1</v>
      </c>
      <c r="S17" s="8">
        <v>0</v>
      </c>
      <c r="T17" s="8">
        <v>0</v>
      </c>
      <c r="U17" s="8">
        <v>0</v>
      </c>
      <c r="V17" s="8">
        <v>0</v>
      </c>
      <c r="W17" s="8">
        <v>0</v>
      </c>
      <c r="X17" s="8">
        <v>0</v>
      </c>
      <c r="Y17" s="8">
        <v>0</v>
      </c>
      <c r="Z17" s="8">
        <v>0</v>
      </c>
      <c r="AA17" s="8">
        <v>0</v>
      </c>
      <c r="AB17" s="8">
        <v>0</v>
      </c>
      <c r="AC17" s="8">
        <v>0</v>
      </c>
    </row>
    <row r="18" spans="2:29" x14ac:dyDescent="0.25">
      <c r="B18" s="12" t="s">
        <v>953</v>
      </c>
      <c r="C18" s="28" t="s">
        <v>818</v>
      </c>
      <c r="D18" s="8">
        <v>1</v>
      </c>
      <c r="E18" s="8">
        <v>0</v>
      </c>
      <c r="F18" s="8">
        <v>0</v>
      </c>
      <c r="G18" s="8">
        <v>1</v>
      </c>
      <c r="H18" s="8">
        <v>0</v>
      </c>
      <c r="I18" s="8">
        <v>0</v>
      </c>
      <c r="J18" s="8">
        <v>0</v>
      </c>
      <c r="K18" s="8">
        <v>0</v>
      </c>
      <c r="L18" s="8">
        <v>0</v>
      </c>
      <c r="M18" s="8">
        <v>0</v>
      </c>
      <c r="N18" s="8">
        <v>0</v>
      </c>
      <c r="O18" s="8">
        <v>1</v>
      </c>
      <c r="P18" s="8">
        <v>0</v>
      </c>
      <c r="Q18" s="8">
        <v>1</v>
      </c>
      <c r="R18" s="8">
        <v>1</v>
      </c>
      <c r="S18" s="8">
        <v>0</v>
      </c>
      <c r="T18" s="8">
        <v>0</v>
      </c>
      <c r="U18" s="8">
        <v>0</v>
      </c>
      <c r="V18" s="8">
        <v>0</v>
      </c>
      <c r="W18" s="8">
        <v>0</v>
      </c>
      <c r="X18" s="8">
        <v>0</v>
      </c>
      <c r="Y18" s="8">
        <v>0</v>
      </c>
      <c r="Z18" s="8">
        <v>0</v>
      </c>
      <c r="AA18" s="8">
        <v>0</v>
      </c>
      <c r="AB18" s="8">
        <v>0</v>
      </c>
      <c r="AC18" s="8">
        <v>0</v>
      </c>
    </row>
    <row r="20" spans="2:29" ht="15.75" x14ac:dyDescent="0.25">
      <c r="C20" s="29" t="s">
        <v>778</v>
      </c>
      <c r="D20" s="30"/>
      <c r="E20" s="30"/>
      <c r="F20" s="30"/>
      <c r="G20" s="30"/>
      <c r="H20" s="30"/>
      <c r="I20" s="31"/>
    </row>
    <row r="21" spans="2:29" x14ac:dyDescent="0.25">
      <c r="C21" s="9" t="s">
        <v>773</v>
      </c>
      <c r="D21" s="5" t="s">
        <v>779</v>
      </c>
      <c r="E21" s="5" t="s">
        <v>763</v>
      </c>
      <c r="F21" s="5" t="s">
        <v>780</v>
      </c>
      <c r="G21" s="5" t="s">
        <v>732</v>
      </c>
      <c r="H21" s="5" t="s">
        <v>761</v>
      </c>
      <c r="I21" s="5" t="s">
        <v>781</v>
      </c>
    </row>
    <row r="22" spans="2:29" x14ac:dyDescent="0.25">
      <c r="C22" s="9" t="s">
        <v>774</v>
      </c>
      <c r="D22" s="8">
        <v>1</v>
      </c>
      <c r="E22" s="8">
        <v>389.32975871313647</v>
      </c>
      <c r="F22" s="8">
        <v>29.710098765999987</v>
      </c>
      <c r="G22" s="8">
        <v>5.5511151231257827E-16</v>
      </c>
      <c r="H22" s="8">
        <v>6.6613381477509392E-16</v>
      </c>
      <c r="I22" s="8">
        <v>6.3134922407441106E-4</v>
      </c>
    </row>
    <row r="23" spans="2:29" x14ac:dyDescent="0.25">
      <c r="C23" s="9" t="s">
        <v>775</v>
      </c>
      <c r="D23" s="8">
        <v>2</v>
      </c>
      <c r="E23" s="8">
        <v>384.28025477706984</v>
      </c>
      <c r="F23" s="8">
        <v>26.512994831205674</v>
      </c>
      <c r="G23" s="8">
        <v>1.296973535431023E-2</v>
      </c>
      <c r="H23" s="8">
        <v>1.0309276419955271E-2</v>
      </c>
      <c r="I23" s="8">
        <v>1.7708862030171657E-3</v>
      </c>
    </row>
    <row r="24" spans="2:29" x14ac:dyDescent="0.25">
      <c r="C24" s="9" t="s">
        <v>776</v>
      </c>
      <c r="D24" s="8">
        <v>3</v>
      </c>
      <c r="E24" s="8">
        <v>379.38641151012985</v>
      </c>
      <c r="F24" s="8">
        <v>23.476101619336532</v>
      </c>
      <c r="G24" s="8">
        <v>2.5539653675262008E-2</v>
      </c>
      <c r="H24" s="8">
        <v>2.0272300451884995E-2</v>
      </c>
      <c r="I24" s="8">
        <v>4.7400119094223652E-3</v>
      </c>
    </row>
    <row r="25" spans="2:29" x14ac:dyDescent="0.25">
      <c r="C25" s="9" t="s">
        <v>777</v>
      </c>
      <c r="D25" s="8">
        <v>4</v>
      </c>
      <c r="E25" s="8">
        <v>371.05272643482795</v>
      </c>
      <c r="F25" s="8">
        <v>16.898817980277556</v>
      </c>
      <c r="G25" s="8">
        <v>4.6944863240663603E-2</v>
      </c>
      <c r="H25" s="8">
        <v>3.9196447494652675E-2</v>
      </c>
      <c r="I25" s="8">
        <v>3.1847572939567012E-2</v>
      </c>
    </row>
    <row r="26" spans="2:29" x14ac:dyDescent="0.25">
      <c r="C26" s="9" t="s">
        <v>818</v>
      </c>
      <c r="D26" s="8">
        <v>5</v>
      </c>
      <c r="E26" s="8">
        <v>360.10744727209851</v>
      </c>
      <c r="F26" s="8">
        <v>7.6336018077055883</v>
      </c>
      <c r="G26" s="8">
        <v>7.5057995920033371E-2</v>
      </c>
      <c r="H26" s="8">
        <v>6.5004278484381617E-2</v>
      </c>
      <c r="I26" s="8">
        <v>0.29460424260950879</v>
      </c>
    </row>
  </sheetData>
  <mergeCells count="14">
    <mergeCell ref="H5:I5"/>
    <mergeCell ref="J5:K5"/>
    <mergeCell ref="B3:K3"/>
    <mergeCell ref="N3:Q3"/>
    <mergeCell ref="C12:AC12"/>
    <mergeCell ref="C20:I20"/>
    <mergeCell ref="B4:C4"/>
    <mergeCell ref="D4:E4"/>
    <mergeCell ref="F4:G4"/>
    <mergeCell ref="H4:I4"/>
    <mergeCell ref="J4:K4"/>
    <mergeCell ref="B5:C5"/>
    <mergeCell ref="D5:E5"/>
    <mergeCell ref="F5:G5"/>
  </mergeCells>
  <hyperlinks>
    <hyperlink ref="C14" location="B14:B14" tooltip="701" display="Subset 1" xr:uid="{03AD4559-D906-4633-93E5-BA377D8FBEA8}"/>
    <hyperlink ref="C15" location="B15:B15" tooltip="701" display="Subset 2" xr:uid="{A377AECF-7F4B-454C-8551-24A087F5ABC8}"/>
    <hyperlink ref="C16" location="B16:B16" tooltip="701" display="Subset 3" xr:uid="{A82F2225-D2AE-41F3-BE9F-2AE2E646541D}"/>
    <hyperlink ref="C17" location="B17:B17" tooltip="701" display="Subset 4" xr:uid="{F742D6A2-F6CD-48F2-8146-187F91B43996}"/>
    <hyperlink ref="C18" location="B18:B18" tooltip="701" display="Subset 5" xr:uid="{97E2B93B-F660-4D8E-A94C-7072E39B0EAB}"/>
    <hyperlink ref="B4" location="'LinReg_FS1'!$B$10:$B$10" display="Feature Selection" xr:uid="{8465B3A0-0A98-47BA-A75F-4C6788B84028}"/>
    <hyperlink ref="D4" location="'LinReg_Output'!$B$10:$B$10" display="Inputs" xr:uid="{7BA1397A-C667-47C9-A777-FE62E224D6AD}"/>
    <hyperlink ref="F4" location="'LinReg_Output'!$B$54:$B$54" display="Regression Summary" xr:uid="{FD2B6A1B-A4F8-4BF7-849F-A84C3F313443}"/>
    <hyperlink ref="H4" location="'LinReg_Output'!$B$63:$B$63" display="Predictor Screening" xr:uid="{96E8D093-9E28-481F-9B8C-CDE4ADFE2540}"/>
    <hyperlink ref="J4" location="'LinReg_Output'!$B$96:$B$96" display="Coefficients" xr:uid="{D5B73DC1-DF46-454F-8956-8BB8B4A5CE20}"/>
    <hyperlink ref="B5" location="'LinReg_Stored1'!$B$10:$B$10" display="PMML Model" xr:uid="{D2EFBD7E-3FB0-4A7A-BC93-1DB1199C2798}"/>
    <hyperlink ref="D5" location="'LinReg_TrainingScore1'!$B$10:$B$10" display="Training: Prediction Summary" xr:uid="{F2D44D6B-A102-4764-9EAC-A3BA876C09C9}"/>
    <hyperlink ref="F5" location="'LinReg_ValidationScore1'!$B$10:$B$10" display="Validation: Prediction Summary" xr:uid="{5FD8816B-FA31-4B4B-BDA1-E39FE0AE46DD}"/>
  </hyperlinks>
  <pageMargins left="0.7" right="0.7" top="0.75" bottom="0.75" header="0.3" footer="0.3"/>
  <tableParts count="2">
    <tablePart r:id="rId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AAA945-6BB1-4C81-BDDE-2C962CF6132F}">
  <sheetPr codeName="Sheet14">
    <tabColor theme="7" tint="-0.249977111117893"/>
  </sheetPr>
  <dimension ref="B1:Q17"/>
  <sheetViews>
    <sheetView showGridLines="0" workbookViewId="0">
      <selection activeCell="E84" sqref="E84:N86"/>
    </sheetView>
  </sheetViews>
  <sheetFormatPr defaultRowHeight="15" x14ac:dyDescent="0.25"/>
  <cols>
    <col min="14" max="14" width="15.5703125" bestFit="1" customWidth="1"/>
  </cols>
  <sheetData>
    <row r="1" spans="2:17" ht="18.75" x14ac:dyDescent="0.3">
      <c r="B1" s="6" t="s">
        <v>733</v>
      </c>
      <c r="N1" t="s">
        <v>947</v>
      </c>
    </row>
    <row r="3" spans="2:17" ht="15.75" x14ac:dyDescent="0.25">
      <c r="B3" s="13" t="s">
        <v>147</v>
      </c>
      <c r="C3" s="14"/>
      <c r="D3" s="14"/>
      <c r="E3" s="14"/>
      <c r="F3" s="14"/>
      <c r="G3" s="14"/>
      <c r="H3" s="14"/>
      <c r="I3" s="14"/>
      <c r="J3" s="14"/>
      <c r="K3" s="15"/>
      <c r="N3" s="13" t="s">
        <v>148</v>
      </c>
      <c r="O3" s="14"/>
      <c r="P3" s="14"/>
      <c r="Q3" s="15"/>
    </row>
    <row r="4" spans="2:17" x14ac:dyDescent="0.25">
      <c r="B4" s="25" t="s">
        <v>770</v>
      </c>
      <c r="C4" s="21"/>
      <c r="D4" s="25" t="s">
        <v>153</v>
      </c>
      <c r="E4" s="21"/>
      <c r="F4" s="25" t="s">
        <v>720</v>
      </c>
      <c r="G4" s="21"/>
      <c r="H4" s="25" t="s">
        <v>721</v>
      </c>
      <c r="I4" s="21"/>
      <c r="J4" s="25" t="s">
        <v>722</v>
      </c>
      <c r="K4" s="21"/>
      <c r="N4" s="11" t="s">
        <v>149</v>
      </c>
      <c r="O4" s="11" t="s">
        <v>150</v>
      </c>
      <c r="P4" s="11" t="s">
        <v>151</v>
      </c>
      <c r="Q4" s="11" t="s">
        <v>152</v>
      </c>
    </row>
    <row r="5" spans="2:17" x14ac:dyDescent="0.25">
      <c r="B5" s="25" t="s">
        <v>645</v>
      </c>
      <c r="C5" s="21"/>
      <c r="D5" s="25" t="s">
        <v>723</v>
      </c>
      <c r="E5" s="21"/>
      <c r="F5" s="25" t="s">
        <v>724</v>
      </c>
      <c r="G5" s="21"/>
      <c r="H5" s="19"/>
      <c r="I5" s="21"/>
      <c r="J5" s="19"/>
      <c r="K5" s="21"/>
      <c r="N5" s="10">
        <v>14</v>
      </c>
      <c r="O5" s="10">
        <v>8</v>
      </c>
      <c r="P5" s="10">
        <v>8</v>
      </c>
      <c r="Q5" s="10">
        <v>30</v>
      </c>
    </row>
    <row r="10" spans="2:17" ht="18.75" x14ac:dyDescent="0.3">
      <c r="B10" s="7" t="s">
        <v>723</v>
      </c>
    </row>
    <row r="12" spans="2:17" x14ac:dyDescent="0.25">
      <c r="C12" t="s">
        <v>726</v>
      </c>
      <c r="D12" t="s">
        <v>727</v>
      </c>
    </row>
    <row r="13" spans="2:17" x14ac:dyDescent="0.25">
      <c r="C13" t="s">
        <v>728</v>
      </c>
      <c r="D13">
        <v>342.00304781201146</v>
      </c>
    </row>
    <row r="14" spans="2:17" x14ac:dyDescent="0.25">
      <c r="C14" t="s">
        <v>729</v>
      </c>
      <c r="D14">
        <v>0.9168982515067331</v>
      </c>
    </row>
    <row r="15" spans="2:17" x14ac:dyDescent="0.25">
      <c r="C15" t="s">
        <v>730</v>
      </c>
      <c r="D15">
        <v>0.9575480413570554</v>
      </c>
    </row>
    <row r="16" spans="2:17" x14ac:dyDescent="0.25">
      <c r="C16" t="s">
        <v>731</v>
      </c>
      <c r="D16">
        <v>0.74970141902013387</v>
      </c>
    </row>
    <row r="17" spans="3:4" x14ac:dyDescent="0.25">
      <c r="C17" t="s">
        <v>732</v>
      </c>
      <c r="D17">
        <v>0.12155944887838854</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FS1'!$B$10:$B$10" display="Feature Selection" xr:uid="{6CADAE6A-E392-4C32-9EC2-9A3B2F797F66}"/>
    <hyperlink ref="D4" location="'LinReg_Output'!$B$10:$B$10" display="Inputs" xr:uid="{4B3179D2-A301-4F92-AC9A-6D90F6B0BCFB}"/>
    <hyperlink ref="F4" location="'LinReg_Output'!$B$54:$B$54" display="Regression Summary" xr:uid="{8C6CE887-2922-4DBD-83F7-C3882966C265}"/>
    <hyperlink ref="H4" location="'LinReg_Output'!$B$63:$B$63" display="Predictor Screening" xr:uid="{70140764-B986-463E-918A-C684052D3474}"/>
    <hyperlink ref="J4" location="'LinReg_Output'!$B$96:$B$96" display="Coefficients" xr:uid="{2893C5D7-D81F-4E6A-B6FD-967F3777C8CD}"/>
    <hyperlink ref="B5" location="'LinReg_Stored1'!$B$10:$B$10" display="PMML Model" xr:uid="{96DCDFFF-2FC8-4BE1-9AB9-E5FD795E384D}"/>
    <hyperlink ref="D5" location="'LinReg_TrainingScore1'!$B$10:$B$10" display="Training: Prediction Summary" xr:uid="{FF93ABAD-6479-4582-B2C5-8E0E3DA4EB7D}"/>
    <hyperlink ref="F5" location="'LinReg_ValidationScore1'!$B$10:$B$10" display="Validation: Prediction Summary" xr:uid="{6FA42004-DD9E-4490-8C6E-A683DE2031A5}"/>
  </hyperlink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D28A2-79B6-4102-BE14-92FA31B8DDA5}">
  <sheetPr codeName="Sheet15">
    <tabColor theme="7" tint="-0.249977111117893"/>
  </sheetPr>
  <dimension ref="B1:Q17"/>
  <sheetViews>
    <sheetView showGridLines="0" workbookViewId="0">
      <selection activeCell="E84" sqref="E84:N86"/>
    </sheetView>
  </sheetViews>
  <sheetFormatPr defaultRowHeight="15" x14ac:dyDescent="0.25"/>
  <cols>
    <col min="14" max="14" width="15.5703125" bestFit="1" customWidth="1"/>
  </cols>
  <sheetData>
    <row r="1" spans="2:17" ht="18.75" x14ac:dyDescent="0.3">
      <c r="B1" s="6" t="s">
        <v>725</v>
      </c>
      <c r="N1" t="s">
        <v>947</v>
      </c>
    </row>
    <row r="3" spans="2:17" ht="15.75" x14ac:dyDescent="0.25">
      <c r="B3" s="13" t="s">
        <v>147</v>
      </c>
      <c r="C3" s="14"/>
      <c r="D3" s="14"/>
      <c r="E3" s="14"/>
      <c r="F3" s="14"/>
      <c r="G3" s="14"/>
      <c r="H3" s="14"/>
      <c r="I3" s="14"/>
      <c r="J3" s="14"/>
      <c r="K3" s="15"/>
      <c r="N3" s="13" t="s">
        <v>148</v>
      </c>
      <c r="O3" s="14"/>
      <c r="P3" s="14"/>
      <c r="Q3" s="15"/>
    </row>
    <row r="4" spans="2:17" x14ac:dyDescent="0.25">
      <c r="B4" s="25" t="s">
        <v>770</v>
      </c>
      <c r="C4" s="21"/>
      <c r="D4" s="25" t="s">
        <v>153</v>
      </c>
      <c r="E4" s="21"/>
      <c r="F4" s="25" t="s">
        <v>720</v>
      </c>
      <c r="G4" s="21"/>
      <c r="H4" s="25" t="s">
        <v>721</v>
      </c>
      <c r="I4" s="21"/>
      <c r="J4" s="25" t="s">
        <v>722</v>
      </c>
      <c r="K4" s="21"/>
      <c r="N4" s="11" t="s">
        <v>149</v>
      </c>
      <c r="O4" s="11" t="s">
        <v>150</v>
      </c>
      <c r="P4" s="11" t="s">
        <v>151</v>
      </c>
      <c r="Q4" s="11" t="s">
        <v>152</v>
      </c>
    </row>
    <row r="5" spans="2:17" x14ac:dyDescent="0.25">
      <c r="B5" s="25" t="s">
        <v>645</v>
      </c>
      <c r="C5" s="21"/>
      <c r="D5" s="25" t="s">
        <v>723</v>
      </c>
      <c r="E5" s="21"/>
      <c r="F5" s="25" t="s">
        <v>724</v>
      </c>
      <c r="G5" s="21"/>
      <c r="H5" s="19"/>
      <c r="I5" s="21"/>
      <c r="J5" s="19"/>
      <c r="K5" s="21"/>
      <c r="N5" s="10">
        <v>14</v>
      </c>
      <c r="O5" s="10">
        <v>8</v>
      </c>
      <c r="P5" s="10">
        <v>8</v>
      </c>
      <c r="Q5" s="10">
        <v>30</v>
      </c>
    </row>
    <row r="10" spans="2:17" ht="18.75" x14ac:dyDescent="0.3">
      <c r="B10" s="7" t="s">
        <v>724</v>
      </c>
    </row>
    <row r="12" spans="2:17" x14ac:dyDescent="0.25">
      <c r="C12" t="s">
        <v>726</v>
      </c>
      <c r="D12" t="s">
        <v>727</v>
      </c>
    </row>
    <row r="13" spans="2:17" x14ac:dyDescent="0.25">
      <c r="C13" t="s">
        <v>728</v>
      </c>
      <c r="D13">
        <v>88.101451497980662</v>
      </c>
    </row>
    <row r="14" spans="2:17" x14ac:dyDescent="0.25">
      <c r="C14" t="s">
        <v>729</v>
      </c>
      <c r="D14">
        <v>0.9473274354621577</v>
      </c>
    </row>
    <row r="15" spans="2:17" x14ac:dyDescent="0.25">
      <c r="C15" t="s">
        <v>730</v>
      </c>
      <c r="D15">
        <v>0.97330747221120095</v>
      </c>
    </row>
    <row r="16" spans="2:17" x14ac:dyDescent="0.25">
      <c r="C16" t="s">
        <v>731</v>
      </c>
      <c r="D16">
        <v>0.76797918769731555</v>
      </c>
    </row>
    <row r="17" spans="3:4" x14ac:dyDescent="0.25">
      <c r="C17" t="s">
        <v>732</v>
      </c>
      <c r="D17">
        <v>9.4047435945133206E-2</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FS1'!$B$10:$B$10" display="Feature Selection" xr:uid="{F7369396-C651-4E18-871D-1B692B435F47}"/>
    <hyperlink ref="D4" location="'LinReg_Output'!$B$10:$B$10" display="Inputs" xr:uid="{80A0440B-D15A-41B3-9FB5-448172CAA346}"/>
    <hyperlink ref="F4" location="'LinReg_Output'!$B$54:$B$54" display="Regression Summary" xr:uid="{8CB17781-2451-4D69-A640-623FD9D93BFA}"/>
    <hyperlink ref="H4" location="'LinReg_Output'!$B$63:$B$63" display="Predictor Screening" xr:uid="{DF3C2AB9-4726-463E-B457-40BFE5516BA7}"/>
    <hyperlink ref="J4" location="'LinReg_Output'!$B$96:$B$96" display="Coefficients" xr:uid="{9B82CBD5-870D-4C4B-9F13-FF0AF49BA4EF}"/>
    <hyperlink ref="B5" location="'LinReg_Stored1'!$B$10:$B$10" display="PMML Model" xr:uid="{727B9B01-B8A2-4454-AC45-6A5EE0218668}"/>
    <hyperlink ref="D5" location="'LinReg_TrainingScore1'!$B$10:$B$10" display="Training: Prediction Summary" xr:uid="{BF1DEE6D-B2B3-4D89-BDBD-158186D68828}"/>
    <hyperlink ref="F5" location="'LinReg_ValidationScore1'!$B$10:$B$10" display="Validation: Prediction Summary" xr:uid="{9851EA39-67C9-467D-A973-2C6B06EB05D4}"/>
  </hyperlink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DC391-FC86-4D00-9B27-052ED1DEDC59}">
  <sheetPr codeName="Sheet16">
    <tabColor theme="7" tint="-0.249977111117893"/>
  </sheetPr>
  <dimension ref="B1:Q108"/>
  <sheetViews>
    <sheetView showGridLines="0" workbookViewId="0">
      <selection activeCell="E84" sqref="E84:N86"/>
    </sheetView>
  </sheetViews>
  <sheetFormatPr defaultRowHeight="15" x14ac:dyDescent="0.25"/>
  <cols>
    <col min="14" max="14" width="15.5703125" bestFit="1" customWidth="1"/>
  </cols>
  <sheetData>
    <row r="1" spans="2:17" ht="18.75" x14ac:dyDescent="0.3">
      <c r="B1" s="6"/>
      <c r="N1" t="s">
        <v>947</v>
      </c>
    </row>
    <row r="3" spans="2:17" ht="15.75" x14ac:dyDescent="0.25">
      <c r="B3" s="13" t="s">
        <v>147</v>
      </c>
      <c r="C3" s="14"/>
      <c r="D3" s="14"/>
      <c r="E3" s="14"/>
      <c r="F3" s="14"/>
      <c r="G3" s="14"/>
      <c r="H3" s="14"/>
      <c r="I3" s="14"/>
      <c r="J3" s="14"/>
      <c r="K3" s="15"/>
      <c r="N3" s="13" t="s">
        <v>148</v>
      </c>
      <c r="O3" s="14"/>
      <c r="P3" s="14"/>
      <c r="Q3" s="15"/>
    </row>
    <row r="4" spans="2:17" x14ac:dyDescent="0.25">
      <c r="B4" s="25" t="s">
        <v>770</v>
      </c>
      <c r="C4" s="21"/>
      <c r="D4" s="25" t="s">
        <v>153</v>
      </c>
      <c r="E4" s="21"/>
      <c r="F4" s="25" t="s">
        <v>720</v>
      </c>
      <c r="G4" s="21"/>
      <c r="H4" s="25" t="s">
        <v>721</v>
      </c>
      <c r="I4" s="21"/>
      <c r="J4" s="25" t="s">
        <v>722</v>
      </c>
      <c r="K4" s="21"/>
      <c r="N4" s="11" t="s">
        <v>149</v>
      </c>
      <c r="O4" s="11" t="s">
        <v>150</v>
      </c>
      <c r="P4" s="11" t="s">
        <v>151</v>
      </c>
      <c r="Q4" s="11" t="s">
        <v>152</v>
      </c>
    </row>
    <row r="5" spans="2:17" x14ac:dyDescent="0.25">
      <c r="B5" s="25" t="s">
        <v>645</v>
      </c>
      <c r="C5" s="21"/>
      <c r="D5" s="25" t="s">
        <v>723</v>
      </c>
      <c r="E5" s="21"/>
      <c r="F5" s="25" t="s">
        <v>724</v>
      </c>
      <c r="G5" s="21"/>
      <c r="H5" s="19"/>
      <c r="I5" s="21"/>
      <c r="J5" s="19"/>
      <c r="K5" s="21"/>
      <c r="N5" s="10">
        <v>14</v>
      </c>
      <c r="O5" s="10">
        <v>8</v>
      </c>
      <c r="P5" s="10">
        <v>8</v>
      </c>
      <c r="Q5" s="10">
        <v>30</v>
      </c>
    </row>
    <row r="10" spans="2:17" ht="18.75" x14ac:dyDescent="0.3">
      <c r="B10" s="7" t="s">
        <v>645</v>
      </c>
    </row>
    <row r="12" spans="2:17" x14ac:dyDescent="0.25">
      <c r="B12" t="s">
        <v>646</v>
      </c>
    </row>
    <row r="13" spans="2:17" x14ac:dyDescent="0.25">
      <c r="B13" t="s">
        <v>647</v>
      </c>
    </row>
    <row r="14" spans="2:17" x14ac:dyDescent="0.25">
      <c r="B14" t="s">
        <v>648</v>
      </c>
    </row>
    <row r="15" spans="2:17" x14ac:dyDescent="0.25">
      <c r="B15" t="s">
        <v>649</v>
      </c>
    </row>
    <row r="16" spans="2:17" x14ac:dyDescent="0.25">
      <c r="B16" t="s">
        <v>948</v>
      </c>
    </row>
    <row r="17" spans="2:2" x14ac:dyDescent="0.25">
      <c r="B17" t="s">
        <v>650</v>
      </c>
    </row>
    <row r="18" spans="2:2" x14ac:dyDescent="0.25">
      <c r="B18" t="s">
        <v>651</v>
      </c>
    </row>
    <row r="19" spans="2:2" x14ac:dyDescent="0.25">
      <c r="B19" t="s">
        <v>652</v>
      </c>
    </row>
    <row r="20" spans="2:2" x14ac:dyDescent="0.25">
      <c r="B20" t="s">
        <v>653</v>
      </c>
    </row>
    <row r="21" spans="2:2" x14ac:dyDescent="0.25">
      <c r="B21" t="s">
        <v>654</v>
      </c>
    </row>
    <row r="22" spans="2:2" x14ac:dyDescent="0.25">
      <c r="B22" t="s">
        <v>655</v>
      </c>
    </row>
    <row r="23" spans="2:2" x14ac:dyDescent="0.25">
      <c r="B23" t="s">
        <v>656</v>
      </c>
    </row>
    <row r="24" spans="2:2" x14ac:dyDescent="0.25">
      <c r="B24" t="s">
        <v>657</v>
      </c>
    </row>
    <row r="25" spans="2:2" x14ac:dyDescent="0.25">
      <c r="B25" t="s">
        <v>658</v>
      </c>
    </row>
    <row r="26" spans="2:2" x14ac:dyDescent="0.25">
      <c r="B26" t="s">
        <v>659</v>
      </c>
    </row>
    <row r="27" spans="2:2" x14ac:dyDescent="0.25">
      <c r="B27" t="s">
        <v>660</v>
      </c>
    </row>
    <row r="28" spans="2:2" x14ac:dyDescent="0.25">
      <c r="B28" t="s">
        <v>661</v>
      </c>
    </row>
    <row r="29" spans="2:2" x14ac:dyDescent="0.25">
      <c r="B29" t="s">
        <v>662</v>
      </c>
    </row>
    <row r="30" spans="2:2" x14ac:dyDescent="0.25">
      <c r="B30" t="s">
        <v>663</v>
      </c>
    </row>
    <row r="31" spans="2:2" x14ac:dyDescent="0.25">
      <c r="B31" t="s">
        <v>664</v>
      </c>
    </row>
    <row r="32" spans="2:2" x14ac:dyDescent="0.25">
      <c r="B32" t="s">
        <v>665</v>
      </c>
    </row>
    <row r="33" spans="2:2" x14ac:dyDescent="0.25">
      <c r="B33" t="s">
        <v>666</v>
      </c>
    </row>
    <row r="34" spans="2:2" x14ac:dyDescent="0.25">
      <c r="B34" t="s">
        <v>667</v>
      </c>
    </row>
    <row r="35" spans="2:2" x14ac:dyDescent="0.25">
      <c r="B35" t="s">
        <v>668</v>
      </c>
    </row>
    <row r="36" spans="2:2" x14ac:dyDescent="0.25">
      <c r="B36" t="s">
        <v>669</v>
      </c>
    </row>
    <row r="37" spans="2:2" x14ac:dyDescent="0.25">
      <c r="B37" t="s">
        <v>670</v>
      </c>
    </row>
    <row r="38" spans="2:2" x14ac:dyDescent="0.25">
      <c r="B38" t="s">
        <v>671</v>
      </c>
    </row>
    <row r="39" spans="2:2" x14ac:dyDescent="0.25">
      <c r="B39" t="s">
        <v>672</v>
      </c>
    </row>
    <row r="40" spans="2:2" x14ac:dyDescent="0.25">
      <c r="B40" t="s">
        <v>673</v>
      </c>
    </row>
    <row r="41" spans="2:2" x14ac:dyDescent="0.25">
      <c r="B41" t="s">
        <v>674</v>
      </c>
    </row>
    <row r="42" spans="2:2" x14ac:dyDescent="0.25">
      <c r="B42" t="s">
        <v>675</v>
      </c>
    </row>
    <row r="43" spans="2:2" x14ac:dyDescent="0.25">
      <c r="B43" t="s">
        <v>676</v>
      </c>
    </row>
    <row r="44" spans="2:2" x14ac:dyDescent="0.25">
      <c r="B44" t="s">
        <v>677</v>
      </c>
    </row>
    <row r="45" spans="2:2" x14ac:dyDescent="0.25">
      <c r="B45" t="s">
        <v>678</v>
      </c>
    </row>
    <row r="46" spans="2:2" x14ac:dyDescent="0.25">
      <c r="B46" t="s">
        <v>679</v>
      </c>
    </row>
    <row r="47" spans="2:2" x14ac:dyDescent="0.25">
      <c r="B47" t="s">
        <v>680</v>
      </c>
    </row>
    <row r="48" spans="2:2" x14ac:dyDescent="0.25">
      <c r="B48" t="s">
        <v>681</v>
      </c>
    </row>
    <row r="49" spans="2:2" x14ac:dyDescent="0.25">
      <c r="B49" t="s">
        <v>682</v>
      </c>
    </row>
    <row r="50" spans="2:2" x14ac:dyDescent="0.25">
      <c r="B50" t="s">
        <v>683</v>
      </c>
    </row>
    <row r="51" spans="2:2" x14ac:dyDescent="0.25">
      <c r="B51" t="s">
        <v>684</v>
      </c>
    </row>
    <row r="52" spans="2:2" x14ac:dyDescent="0.25">
      <c r="B52" t="s">
        <v>685</v>
      </c>
    </row>
    <row r="53" spans="2:2" x14ac:dyDescent="0.25">
      <c r="B53" t="s">
        <v>686</v>
      </c>
    </row>
    <row r="54" spans="2:2" x14ac:dyDescent="0.25">
      <c r="B54" t="s">
        <v>687</v>
      </c>
    </row>
    <row r="55" spans="2:2" x14ac:dyDescent="0.25">
      <c r="B55" t="s">
        <v>688</v>
      </c>
    </row>
    <row r="56" spans="2:2" x14ac:dyDescent="0.25">
      <c r="B56" t="s">
        <v>689</v>
      </c>
    </row>
    <row r="57" spans="2:2" x14ac:dyDescent="0.25">
      <c r="B57" t="s">
        <v>690</v>
      </c>
    </row>
    <row r="58" spans="2:2" x14ac:dyDescent="0.25">
      <c r="B58" t="s">
        <v>691</v>
      </c>
    </row>
    <row r="59" spans="2:2" x14ac:dyDescent="0.25">
      <c r="B59" t="s">
        <v>692</v>
      </c>
    </row>
    <row r="60" spans="2:2" x14ac:dyDescent="0.25">
      <c r="B60" t="s">
        <v>693</v>
      </c>
    </row>
    <row r="61" spans="2:2" x14ac:dyDescent="0.25">
      <c r="B61" t="s">
        <v>694</v>
      </c>
    </row>
    <row r="62" spans="2:2" x14ac:dyDescent="0.25">
      <c r="B62" t="s">
        <v>695</v>
      </c>
    </row>
    <row r="63" spans="2:2" x14ac:dyDescent="0.25">
      <c r="B63" t="s">
        <v>696</v>
      </c>
    </row>
    <row r="64" spans="2:2" x14ac:dyDescent="0.25">
      <c r="B64" t="s">
        <v>697</v>
      </c>
    </row>
    <row r="65" spans="2:2" x14ac:dyDescent="0.25">
      <c r="B65" t="s">
        <v>698</v>
      </c>
    </row>
    <row r="66" spans="2:2" x14ac:dyDescent="0.25">
      <c r="B66" t="s">
        <v>699</v>
      </c>
    </row>
    <row r="67" spans="2:2" x14ac:dyDescent="0.25">
      <c r="B67" t="s">
        <v>700</v>
      </c>
    </row>
    <row r="68" spans="2:2" x14ac:dyDescent="0.25">
      <c r="B68" t="s">
        <v>701</v>
      </c>
    </row>
    <row r="69" spans="2:2" x14ac:dyDescent="0.25">
      <c r="B69" t="s">
        <v>702</v>
      </c>
    </row>
    <row r="70" spans="2:2" x14ac:dyDescent="0.25">
      <c r="B70" t="s">
        <v>703</v>
      </c>
    </row>
    <row r="71" spans="2:2" x14ac:dyDescent="0.25">
      <c r="B71" t="s">
        <v>704</v>
      </c>
    </row>
    <row r="72" spans="2:2" x14ac:dyDescent="0.25">
      <c r="B72" t="s">
        <v>705</v>
      </c>
    </row>
    <row r="73" spans="2:2" x14ac:dyDescent="0.25">
      <c r="B73" t="s">
        <v>706</v>
      </c>
    </row>
    <row r="74" spans="2:2" x14ac:dyDescent="0.25">
      <c r="B74" t="s">
        <v>707</v>
      </c>
    </row>
    <row r="75" spans="2:2" x14ac:dyDescent="0.25">
      <c r="B75" t="s">
        <v>708</v>
      </c>
    </row>
    <row r="76" spans="2:2" x14ac:dyDescent="0.25">
      <c r="B76" t="s">
        <v>709</v>
      </c>
    </row>
    <row r="77" spans="2:2" x14ac:dyDescent="0.25">
      <c r="B77" t="s">
        <v>710</v>
      </c>
    </row>
    <row r="78" spans="2:2" x14ac:dyDescent="0.25">
      <c r="B78" t="s">
        <v>711</v>
      </c>
    </row>
    <row r="79" spans="2:2" x14ac:dyDescent="0.25">
      <c r="B79" t="s">
        <v>712</v>
      </c>
    </row>
    <row r="80" spans="2:2" x14ac:dyDescent="0.25">
      <c r="B80" t="s">
        <v>791</v>
      </c>
    </row>
    <row r="81" spans="2:2" x14ac:dyDescent="0.25">
      <c r="B81" t="s">
        <v>792</v>
      </c>
    </row>
    <row r="82" spans="2:2" x14ac:dyDescent="0.25">
      <c r="B82" t="s">
        <v>793</v>
      </c>
    </row>
    <row r="83" spans="2:2" x14ac:dyDescent="0.25">
      <c r="B83" t="s">
        <v>794</v>
      </c>
    </row>
    <row r="84" spans="2:2" x14ac:dyDescent="0.25">
      <c r="B84" t="s">
        <v>795</v>
      </c>
    </row>
    <row r="85" spans="2:2" x14ac:dyDescent="0.25">
      <c r="B85" t="s">
        <v>713</v>
      </c>
    </row>
    <row r="86" spans="2:2" x14ac:dyDescent="0.25">
      <c r="B86" t="s">
        <v>796</v>
      </c>
    </row>
    <row r="87" spans="2:2" x14ac:dyDescent="0.25">
      <c r="B87" t="s">
        <v>797</v>
      </c>
    </row>
    <row r="88" spans="2:2" x14ac:dyDescent="0.25">
      <c r="B88" t="s">
        <v>798</v>
      </c>
    </row>
    <row r="89" spans="2:2" x14ac:dyDescent="0.25">
      <c r="B89" t="s">
        <v>799</v>
      </c>
    </row>
    <row r="90" spans="2:2" x14ac:dyDescent="0.25">
      <c r="B90" t="s">
        <v>714</v>
      </c>
    </row>
    <row r="91" spans="2:2" x14ac:dyDescent="0.25">
      <c r="B91" t="s">
        <v>800</v>
      </c>
    </row>
    <row r="92" spans="2:2" x14ac:dyDescent="0.25">
      <c r="B92" t="s">
        <v>801</v>
      </c>
    </row>
    <row r="93" spans="2:2" x14ac:dyDescent="0.25">
      <c r="B93" t="s">
        <v>802</v>
      </c>
    </row>
    <row r="94" spans="2:2" x14ac:dyDescent="0.25">
      <c r="B94" t="s">
        <v>803</v>
      </c>
    </row>
    <row r="95" spans="2:2" x14ac:dyDescent="0.25">
      <c r="B95" t="s">
        <v>715</v>
      </c>
    </row>
    <row r="96" spans="2:2" x14ac:dyDescent="0.25">
      <c r="B96" t="s">
        <v>804</v>
      </c>
    </row>
    <row r="97" spans="2:2" x14ac:dyDescent="0.25">
      <c r="B97" t="s">
        <v>716</v>
      </c>
    </row>
    <row r="98" spans="2:2" x14ac:dyDescent="0.25">
      <c r="B98" t="s">
        <v>805</v>
      </c>
    </row>
    <row r="99" spans="2:2" x14ac:dyDescent="0.25">
      <c r="B99" t="s">
        <v>806</v>
      </c>
    </row>
    <row r="100" spans="2:2" x14ac:dyDescent="0.25">
      <c r="B100" t="s">
        <v>807</v>
      </c>
    </row>
    <row r="101" spans="2:2" x14ac:dyDescent="0.25">
      <c r="B101" t="s">
        <v>808</v>
      </c>
    </row>
    <row r="102" spans="2:2" x14ac:dyDescent="0.25">
      <c r="B102" t="s">
        <v>809</v>
      </c>
    </row>
    <row r="103" spans="2:2" x14ac:dyDescent="0.25">
      <c r="B103" t="s">
        <v>810</v>
      </c>
    </row>
    <row r="104" spans="2:2" x14ac:dyDescent="0.25">
      <c r="B104" t="s">
        <v>811</v>
      </c>
    </row>
    <row r="105" spans="2:2" x14ac:dyDescent="0.25">
      <c r="B105" t="s">
        <v>812</v>
      </c>
    </row>
    <row r="106" spans="2:2" x14ac:dyDescent="0.25">
      <c r="B106" t="s">
        <v>717</v>
      </c>
    </row>
    <row r="107" spans="2:2" x14ac:dyDescent="0.25">
      <c r="B107" t="s">
        <v>718</v>
      </c>
    </row>
    <row r="108" spans="2:2" x14ac:dyDescent="0.25">
      <c r="B108" t="s">
        <v>719</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FS1'!$B$10:$B$10" display="Feature Selection" xr:uid="{5CA9AAD0-87D4-4C47-9060-E97B20FBBD91}"/>
    <hyperlink ref="D4" location="'LinReg_Output'!$B$10:$B$10" display="Inputs" xr:uid="{14C254C3-76A3-4719-B167-99A038AF2366}"/>
    <hyperlink ref="F4" location="'LinReg_Output'!$B$54:$B$54" display="Regression Summary" xr:uid="{9FA2A6DC-F89C-4CC8-A39E-31EAF98D6C97}"/>
    <hyperlink ref="H4" location="'LinReg_Output'!$B$63:$B$63" display="Predictor Screening" xr:uid="{1599B444-A6FC-4E38-BFCC-7A47E201744E}"/>
    <hyperlink ref="J4" location="'LinReg_Output'!$B$96:$B$96" display="Coefficients" xr:uid="{DEC0FF54-4155-4E18-BDF9-D82BDF85298D}"/>
    <hyperlink ref="B5" location="'LinReg_Stored1'!$B$10:$B$10" display="PMML Model" xr:uid="{EDB7045C-9DA3-499D-B804-A1E7FF201CFA}"/>
    <hyperlink ref="D5" location="'LinReg_TrainingScore1'!$B$10:$B$10" display="Training: Prediction Summary" xr:uid="{FFA503EE-5524-4907-9DBB-B2BC88FBEBA7}"/>
    <hyperlink ref="F5" location="'LinReg_ValidationScore1'!$B$10:$B$10" display="Validation: Prediction Summary" xr:uid="{8DD3B9A7-00F3-4439-9483-BFDC801F7F2C}"/>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C159E-94F4-471E-98B3-B961AF9D2E79}">
  <sheetPr codeName="Sheet17">
    <tabColor rgb="FF92D050"/>
  </sheetPr>
  <dimension ref="B1:CV100"/>
  <sheetViews>
    <sheetView showGridLines="0" topLeftCell="A70" workbookViewId="0">
      <selection activeCell="G412" sqref="G412"/>
    </sheetView>
  </sheetViews>
  <sheetFormatPr defaultRowHeight="15" x14ac:dyDescent="0.25"/>
  <cols>
    <col min="3" max="3" width="11.28515625" customWidth="1"/>
    <col min="4" max="4" width="11.42578125" customWidth="1"/>
    <col min="5" max="5" width="27" customWidth="1"/>
    <col min="6" max="6" width="27.140625" customWidth="1"/>
    <col min="7" max="7" width="15.7109375" customWidth="1"/>
    <col min="8" max="8" width="11.85546875" customWidth="1"/>
    <col min="9" max="9" width="10.140625" customWidth="1"/>
    <col min="14" max="14" width="15.5703125" bestFit="1" customWidth="1"/>
  </cols>
  <sheetData>
    <row r="1" spans="2:100" ht="18.75" x14ac:dyDescent="0.3">
      <c r="B1" s="6" t="s">
        <v>734</v>
      </c>
      <c r="N1" t="s">
        <v>928</v>
      </c>
      <c r="CV1" s="12" t="s">
        <v>748</v>
      </c>
    </row>
    <row r="3" spans="2:100" ht="15.75" x14ac:dyDescent="0.25">
      <c r="B3" s="13" t="s">
        <v>147</v>
      </c>
      <c r="C3" s="14"/>
      <c r="D3" s="14"/>
      <c r="E3" s="14"/>
      <c r="F3" s="14"/>
      <c r="G3" s="14"/>
      <c r="H3" s="14"/>
      <c r="I3" s="14"/>
      <c r="J3" s="14"/>
      <c r="K3" s="15"/>
      <c r="N3" s="13" t="s">
        <v>148</v>
      </c>
      <c r="O3" s="14"/>
      <c r="P3" s="14"/>
      <c r="Q3" s="15"/>
    </row>
    <row r="4" spans="2:100" x14ac:dyDescent="0.25">
      <c r="B4" s="25" t="s">
        <v>153</v>
      </c>
      <c r="C4" s="21"/>
      <c r="D4" s="25" t="s">
        <v>720</v>
      </c>
      <c r="E4" s="21"/>
      <c r="F4" s="25" t="s">
        <v>721</v>
      </c>
      <c r="G4" s="21"/>
      <c r="H4" s="25" t="s">
        <v>722</v>
      </c>
      <c r="I4" s="21"/>
      <c r="J4" s="25" t="s">
        <v>645</v>
      </c>
      <c r="K4" s="21"/>
      <c r="N4" s="11" t="s">
        <v>149</v>
      </c>
      <c r="O4" s="11" t="s">
        <v>150</v>
      </c>
      <c r="P4" s="11" t="s">
        <v>151</v>
      </c>
      <c r="Q4" s="11" t="s">
        <v>152</v>
      </c>
    </row>
    <row r="5" spans="2:100" x14ac:dyDescent="0.25">
      <c r="B5" s="25" t="s">
        <v>723</v>
      </c>
      <c r="C5" s="21"/>
      <c r="D5" s="25" t="s">
        <v>830</v>
      </c>
      <c r="E5" s="21"/>
      <c r="F5" s="25" t="s">
        <v>724</v>
      </c>
      <c r="G5" s="21"/>
      <c r="H5" s="25" t="s">
        <v>831</v>
      </c>
      <c r="I5" s="21"/>
      <c r="J5" s="19"/>
      <c r="K5" s="21"/>
      <c r="N5" s="10">
        <v>13</v>
      </c>
      <c r="O5" s="10">
        <v>17</v>
      </c>
      <c r="P5" s="10">
        <v>16</v>
      </c>
      <c r="Q5" s="10">
        <v>46</v>
      </c>
    </row>
    <row r="10" spans="2:100" ht="18.75" x14ac:dyDescent="0.3">
      <c r="B10" s="7" t="s">
        <v>153</v>
      </c>
    </row>
    <row r="12" spans="2:100" ht="15.75" x14ac:dyDescent="0.25">
      <c r="C12" s="13" t="s">
        <v>154</v>
      </c>
      <c r="D12" s="14"/>
      <c r="E12" s="14"/>
      <c r="F12" s="14"/>
      <c r="G12" s="14"/>
      <c r="H12" s="14"/>
      <c r="I12" s="14"/>
      <c r="J12" s="14"/>
      <c r="K12" s="15"/>
    </row>
    <row r="13" spans="2:100" x14ac:dyDescent="0.25">
      <c r="C13" s="16" t="s">
        <v>155</v>
      </c>
      <c r="D13" s="17"/>
      <c r="E13" s="17"/>
      <c r="F13" s="18"/>
      <c r="G13" s="22" t="s">
        <v>878</v>
      </c>
      <c r="H13" s="23"/>
      <c r="I13" s="23"/>
      <c r="J13" s="23"/>
      <c r="K13" s="24"/>
    </row>
    <row r="14" spans="2:100" x14ac:dyDescent="0.25">
      <c r="C14" s="16" t="s">
        <v>157</v>
      </c>
      <c r="D14" s="17"/>
      <c r="E14" s="17"/>
      <c r="F14" s="18"/>
      <c r="G14" s="22" t="s">
        <v>819</v>
      </c>
      <c r="H14" s="23"/>
      <c r="I14" s="23"/>
      <c r="J14" s="23"/>
      <c r="K14" s="24"/>
    </row>
    <row r="15" spans="2:100" x14ac:dyDescent="0.25">
      <c r="C15" s="16" t="s">
        <v>735</v>
      </c>
      <c r="D15" s="17"/>
      <c r="E15" s="17"/>
      <c r="F15" s="18"/>
      <c r="G15" s="22" t="s">
        <v>820</v>
      </c>
      <c r="H15" s="23"/>
      <c r="I15" s="23"/>
      <c r="J15" s="23"/>
      <c r="K15" s="24"/>
    </row>
    <row r="16" spans="2:100" x14ac:dyDescent="0.25">
      <c r="C16" s="16" t="s">
        <v>736</v>
      </c>
      <c r="D16" s="17"/>
      <c r="E16" s="17"/>
      <c r="F16" s="18"/>
      <c r="G16" s="22">
        <v>373</v>
      </c>
      <c r="H16" s="23"/>
      <c r="I16" s="23"/>
      <c r="J16" s="23"/>
      <c r="K16" s="24"/>
    </row>
    <row r="17" spans="3:19" x14ac:dyDescent="0.25">
      <c r="C17" s="16" t="s">
        <v>737</v>
      </c>
      <c r="D17" s="17"/>
      <c r="E17" s="17"/>
      <c r="F17" s="18"/>
      <c r="G17" s="22" t="s">
        <v>821</v>
      </c>
      <c r="H17" s="23"/>
      <c r="I17" s="23"/>
      <c r="J17" s="23"/>
      <c r="K17" s="24"/>
    </row>
    <row r="18" spans="3:19" x14ac:dyDescent="0.25">
      <c r="C18" s="16" t="s">
        <v>738</v>
      </c>
      <c r="D18" s="17"/>
      <c r="E18" s="17"/>
      <c r="F18" s="18"/>
      <c r="G18" s="22">
        <v>93</v>
      </c>
      <c r="H18" s="23"/>
      <c r="I18" s="23"/>
      <c r="J18" s="23"/>
      <c r="K18" s="24"/>
    </row>
    <row r="20" spans="3:19" ht="15.75" x14ac:dyDescent="0.25">
      <c r="C20" s="13" t="s">
        <v>161</v>
      </c>
      <c r="D20" s="14"/>
      <c r="E20" s="14"/>
      <c r="F20" s="14"/>
      <c r="G20" s="14"/>
      <c r="H20" s="14"/>
      <c r="I20" s="14"/>
      <c r="J20" s="14"/>
      <c r="K20" s="14"/>
      <c r="L20" s="14"/>
      <c r="M20" s="14"/>
      <c r="N20" s="14"/>
      <c r="O20" s="14"/>
      <c r="P20" s="14"/>
      <c r="Q20" s="14"/>
      <c r="R20" s="14"/>
      <c r="S20" s="15"/>
    </row>
    <row r="21" spans="3:19" x14ac:dyDescent="0.25">
      <c r="C21" s="16" t="s">
        <v>739</v>
      </c>
      <c r="D21" s="18"/>
      <c r="E21" s="22">
        <v>15</v>
      </c>
      <c r="F21" s="23"/>
      <c r="G21" s="23"/>
      <c r="H21" s="23"/>
      <c r="I21" s="23"/>
      <c r="J21" s="23"/>
      <c r="K21" s="23"/>
      <c r="L21" s="23"/>
      <c r="M21" s="23"/>
      <c r="N21" s="23"/>
      <c r="O21" s="23"/>
      <c r="P21" s="23"/>
      <c r="Q21" s="23"/>
      <c r="R21" s="23"/>
      <c r="S21" s="24"/>
    </row>
    <row r="22" spans="3:19" x14ac:dyDescent="0.25">
      <c r="C22" s="16" t="s">
        <v>740</v>
      </c>
      <c r="D22" s="18"/>
      <c r="E22" s="10" t="s">
        <v>1</v>
      </c>
      <c r="F22" s="10" t="s">
        <v>2</v>
      </c>
      <c r="G22" s="10" t="s">
        <v>15</v>
      </c>
      <c r="H22" s="10" t="s">
        <v>127</v>
      </c>
      <c r="I22" s="10" t="s">
        <v>137</v>
      </c>
      <c r="J22" s="10" t="s">
        <v>139</v>
      </c>
      <c r="K22" s="10" t="s">
        <v>129</v>
      </c>
      <c r="L22" s="10" t="s">
        <v>140</v>
      </c>
      <c r="M22" s="10" t="s">
        <v>141</v>
      </c>
      <c r="N22" s="10" t="s">
        <v>143</v>
      </c>
      <c r="O22" s="10" t="s">
        <v>131</v>
      </c>
      <c r="P22" s="10" t="s">
        <v>133</v>
      </c>
      <c r="Q22" s="10" t="s">
        <v>134</v>
      </c>
      <c r="R22" s="10" t="s">
        <v>135</v>
      </c>
      <c r="S22" s="10" t="s">
        <v>136</v>
      </c>
    </row>
    <row r="23" spans="3:19" x14ac:dyDescent="0.25">
      <c r="C23" s="16" t="s">
        <v>741</v>
      </c>
      <c r="D23" s="18"/>
      <c r="E23" s="10"/>
      <c r="F23" s="10"/>
      <c r="G23" s="10"/>
      <c r="H23" s="10"/>
      <c r="I23" s="10"/>
      <c r="J23" s="10"/>
      <c r="K23" s="10"/>
      <c r="L23" s="10"/>
      <c r="M23" s="10"/>
      <c r="N23" s="10"/>
      <c r="O23" s="10"/>
      <c r="P23" s="10"/>
      <c r="Q23" s="10"/>
      <c r="R23" s="10"/>
      <c r="S23" s="10"/>
    </row>
    <row r="24" spans="3:19" x14ac:dyDescent="0.25">
      <c r="C24" s="16" t="s">
        <v>742</v>
      </c>
      <c r="D24" s="18"/>
      <c r="E24" s="19" t="s">
        <v>4</v>
      </c>
      <c r="F24" s="20"/>
      <c r="G24" s="20"/>
      <c r="H24" s="20"/>
      <c r="I24" s="20"/>
      <c r="J24" s="20"/>
      <c r="K24" s="20"/>
      <c r="L24" s="20"/>
      <c r="M24" s="20"/>
      <c r="N24" s="20"/>
      <c r="O24" s="20"/>
      <c r="P24" s="20"/>
      <c r="Q24" s="20"/>
      <c r="R24" s="20"/>
      <c r="S24" s="21"/>
    </row>
    <row r="26" spans="3:19" ht="15.75" x14ac:dyDescent="0.25">
      <c r="C26" s="13" t="s">
        <v>743</v>
      </c>
      <c r="D26" s="14"/>
      <c r="E26" s="14"/>
      <c r="F26" s="14"/>
      <c r="G26" s="14"/>
      <c r="H26" s="14"/>
      <c r="I26" s="15"/>
    </row>
    <row r="27" spans="3:19" x14ac:dyDescent="0.25">
      <c r="C27" s="16" t="s">
        <v>744</v>
      </c>
      <c r="D27" s="17"/>
      <c r="E27" s="18"/>
      <c r="F27" s="22" t="b">
        <v>0</v>
      </c>
      <c r="G27" s="23"/>
      <c r="H27" s="23"/>
      <c r="I27" s="24"/>
    </row>
    <row r="29" spans="3:19" ht="15.75" x14ac:dyDescent="0.25">
      <c r="C29" s="13" t="s">
        <v>745</v>
      </c>
      <c r="D29" s="14"/>
      <c r="E29" s="14"/>
      <c r="F29" s="14"/>
      <c r="G29" s="14"/>
      <c r="H29" s="14"/>
      <c r="I29" s="15"/>
    </row>
    <row r="30" spans="3:19" x14ac:dyDescent="0.25">
      <c r="C30" s="16" t="s">
        <v>746</v>
      </c>
      <c r="D30" s="17"/>
      <c r="E30" s="18"/>
      <c r="F30" s="22" t="b">
        <v>1</v>
      </c>
      <c r="G30" s="23"/>
      <c r="H30" s="23"/>
      <c r="I30" s="24"/>
    </row>
    <row r="32" spans="3:19" ht="15.75" x14ac:dyDescent="0.25">
      <c r="C32" s="13" t="s">
        <v>747</v>
      </c>
      <c r="D32" s="14"/>
      <c r="E32" s="14"/>
      <c r="F32" s="14"/>
      <c r="G32" s="14"/>
      <c r="H32" s="14"/>
      <c r="I32" s="15"/>
    </row>
    <row r="33" spans="3:9" x14ac:dyDescent="0.25">
      <c r="C33" s="16" t="s">
        <v>749</v>
      </c>
      <c r="D33" s="17"/>
      <c r="E33" s="18"/>
      <c r="F33" s="22" t="b">
        <v>0</v>
      </c>
      <c r="G33" s="23"/>
      <c r="H33" s="23"/>
      <c r="I33" s="24"/>
    </row>
    <row r="34" spans="3:9" x14ac:dyDescent="0.25">
      <c r="C34" s="16" t="s">
        <v>750</v>
      </c>
      <c r="D34" s="17"/>
      <c r="E34" s="18"/>
      <c r="F34" s="22" t="b">
        <v>0</v>
      </c>
      <c r="G34" s="23"/>
      <c r="H34" s="23"/>
      <c r="I34" s="24"/>
    </row>
    <row r="35" spans="3:9" x14ac:dyDescent="0.25">
      <c r="C35" s="16" t="s">
        <v>751</v>
      </c>
      <c r="D35" s="17"/>
      <c r="E35" s="18"/>
      <c r="F35" s="22" t="b">
        <v>1</v>
      </c>
      <c r="G35" s="23"/>
      <c r="H35" s="23"/>
      <c r="I35" s="24"/>
    </row>
    <row r="37" spans="3:9" ht="15.75" x14ac:dyDescent="0.25">
      <c r="C37" s="13" t="s">
        <v>752</v>
      </c>
      <c r="D37" s="14"/>
      <c r="E37" s="14"/>
      <c r="F37" s="14"/>
      <c r="G37" s="14"/>
      <c r="H37" s="14"/>
      <c r="I37" s="15"/>
    </row>
    <row r="38" spans="3:9" x14ac:dyDescent="0.25">
      <c r="C38" s="16" t="s">
        <v>753</v>
      </c>
      <c r="D38" s="17"/>
      <c r="E38" s="18"/>
      <c r="F38" s="22" t="b">
        <v>0</v>
      </c>
      <c r="G38" s="23"/>
      <c r="H38" s="23"/>
      <c r="I38" s="24"/>
    </row>
    <row r="39" spans="3:9" x14ac:dyDescent="0.25">
      <c r="C39" s="16" t="s">
        <v>754</v>
      </c>
      <c r="D39" s="17"/>
      <c r="E39" s="18"/>
      <c r="F39" s="22" t="b">
        <v>0</v>
      </c>
      <c r="G39" s="23"/>
      <c r="H39" s="23"/>
      <c r="I39" s="24"/>
    </row>
    <row r="40" spans="3:9" x14ac:dyDescent="0.25">
      <c r="C40" s="16" t="s">
        <v>755</v>
      </c>
      <c r="D40" s="17"/>
      <c r="E40" s="18"/>
      <c r="F40" s="22" t="b">
        <v>0</v>
      </c>
      <c r="G40" s="23"/>
      <c r="H40" s="23"/>
      <c r="I40" s="24"/>
    </row>
    <row r="41" spans="3:9" x14ac:dyDescent="0.25">
      <c r="C41" s="16" t="s">
        <v>756</v>
      </c>
      <c r="D41" s="17"/>
      <c r="E41" s="18"/>
      <c r="F41" s="22" t="b">
        <v>0</v>
      </c>
      <c r="G41" s="23"/>
      <c r="H41" s="23"/>
      <c r="I41" s="24"/>
    </row>
    <row r="43" spans="3:9" ht="15.75" x14ac:dyDescent="0.25">
      <c r="C43" s="13" t="s">
        <v>757</v>
      </c>
      <c r="D43" s="14"/>
      <c r="E43" s="14"/>
      <c r="F43" s="14"/>
      <c r="G43" s="15"/>
    </row>
    <row r="44" spans="3:9" x14ac:dyDescent="0.25">
      <c r="C44" s="19" t="s">
        <v>758</v>
      </c>
      <c r="D44" s="20"/>
      <c r="E44" s="20"/>
      <c r="F44" s="20"/>
      <c r="G44" s="21"/>
    </row>
    <row r="45" spans="3:9" x14ac:dyDescent="0.25">
      <c r="C45" s="19" t="s">
        <v>834</v>
      </c>
      <c r="D45" s="20"/>
      <c r="E45" s="20"/>
      <c r="F45" s="20"/>
      <c r="G45" s="21"/>
    </row>
    <row r="46" spans="3:9" x14ac:dyDescent="0.25">
      <c r="C46" s="19" t="s">
        <v>759</v>
      </c>
      <c r="D46" s="20"/>
      <c r="E46" s="20"/>
      <c r="F46" s="20"/>
      <c r="G46" s="21"/>
    </row>
    <row r="47" spans="3:9" x14ac:dyDescent="0.25">
      <c r="C47" s="19" t="s">
        <v>835</v>
      </c>
      <c r="D47" s="20"/>
      <c r="E47" s="20"/>
      <c r="F47" s="20"/>
      <c r="G47" s="21"/>
    </row>
    <row r="50" spans="2:5" ht="18.75" x14ac:dyDescent="0.3">
      <c r="B50" s="7" t="s">
        <v>720</v>
      </c>
    </row>
    <row r="52" spans="2:5" x14ac:dyDescent="0.25">
      <c r="C52" s="9" t="s">
        <v>726</v>
      </c>
      <c r="D52" s="5" t="s">
        <v>727</v>
      </c>
    </row>
    <row r="53" spans="2:5" x14ac:dyDescent="0.25">
      <c r="C53" s="9" t="s">
        <v>760</v>
      </c>
      <c r="D53" s="8">
        <v>357</v>
      </c>
    </row>
    <row r="54" spans="2:5" x14ac:dyDescent="0.25">
      <c r="C54" s="9" t="s">
        <v>732</v>
      </c>
      <c r="D54" s="8">
        <v>0.12071806633408877</v>
      </c>
    </row>
    <row r="55" spans="2:5" x14ac:dyDescent="0.25">
      <c r="C55" s="9" t="s">
        <v>761</v>
      </c>
      <c r="D55" s="8">
        <v>8.3773447272495805E-2</v>
      </c>
    </row>
    <row r="56" spans="2:5" x14ac:dyDescent="0.25">
      <c r="C56" s="9" t="s">
        <v>762</v>
      </c>
      <c r="D56" s="8">
        <v>0.97923914767192999</v>
      </c>
    </row>
    <row r="57" spans="2:5" x14ac:dyDescent="0.25">
      <c r="C57" s="9" t="s">
        <v>763</v>
      </c>
      <c r="D57" s="8">
        <v>342.33062307496948</v>
      </c>
    </row>
    <row r="59" spans="2:5" ht="18.75" x14ac:dyDescent="0.3">
      <c r="B59" s="7" t="s">
        <v>721</v>
      </c>
    </row>
    <row r="61" spans="2:5" x14ac:dyDescent="0.25">
      <c r="C61" s="9" t="s">
        <v>764</v>
      </c>
      <c r="D61" s="5" t="s">
        <v>765</v>
      </c>
      <c r="E61" s="5" t="s">
        <v>766</v>
      </c>
    </row>
    <row r="62" spans="2:5" x14ac:dyDescent="0.25">
      <c r="C62" s="9" t="s">
        <v>767</v>
      </c>
      <c r="D62" s="8">
        <v>4.2271470263255866</v>
      </c>
      <c r="E62" s="8" t="b">
        <v>1</v>
      </c>
    </row>
    <row r="63" spans="2:5" x14ac:dyDescent="0.25">
      <c r="C63" s="9" t="s">
        <v>1</v>
      </c>
      <c r="D63" s="8">
        <v>804.96491622822862</v>
      </c>
      <c r="E63" s="8" t="b">
        <v>1</v>
      </c>
    </row>
    <row r="64" spans="2:5" x14ac:dyDescent="0.25">
      <c r="C64" s="9" t="s">
        <v>2</v>
      </c>
      <c r="D64" s="8">
        <v>157.65198105341554</v>
      </c>
      <c r="E64" s="8" t="b">
        <v>1</v>
      </c>
    </row>
    <row r="65" spans="3:5" x14ac:dyDescent="0.25">
      <c r="C65" s="9" t="s">
        <v>15</v>
      </c>
      <c r="D65" s="8">
        <v>50459.451968882895</v>
      </c>
      <c r="E65" s="8" t="b">
        <v>1</v>
      </c>
    </row>
    <row r="66" spans="3:5" x14ac:dyDescent="0.25">
      <c r="C66" s="9" t="s">
        <v>127</v>
      </c>
      <c r="D66" s="8">
        <v>8.696501896685275</v>
      </c>
      <c r="E66" s="8" t="b">
        <v>1</v>
      </c>
    </row>
    <row r="67" spans="3:5" x14ac:dyDescent="0.25">
      <c r="C67" s="9" t="s">
        <v>137</v>
      </c>
      <c r="D67" s="8">
        <v>7.7287706667327294</v>
      </c>
      <c r="E67" s="8" t="b">
        <v>1</v>
      </c>
    </row>
    <row r="68" spans="3:5" x14ac:dyDescent="0.25">
      <c r="C68" s="9" t="s">
        <v>139</v>
      </c>
      <c r="D68" s="8">
        <v>10.053189110613474</v>
      </c>
      <c r="E68" s="8" t="b">
        <v>1</v>
      </c>
    </row>
    <row r="69" spans="3:5" x14ac:dyDescent="0.25">
      <c r="C69" s="9" t="s">
        <v>129</v>
      </c>
      <c r="D69" s="8">
        <v>7.9177120279143756</v>
      </c>
      <c r="E69" s="8" t="b">
        <v>1</v>
      </c>
    </row>
    <row r="70" spans="3:5" x14ac:dyDescent="0.25">
      <c r="C70" s="9" t="s">
        <v>140</v>
      </c>
      <c r="D70" s="8">
        <v>9.9756447879922732</v>
      </c>
      <c r="E70" s="8" t="b">
        <v>1</v>
      </c>
    </row>
    <row r="71" spans="3:5" x14ac:dyDescent="0.25">
      <c r="C71" s="9" t="s">
        <v>141</v>
      </c>
      <c r="D71" s="8">
        <v>8.6402085531066195</v>
      </c>
      <c r="E71" s="8" t="b">
        <v>1</v>
      </c>
    </row>
    <row r="72" spans="3:5" x14ac:dyDescent="0.25">
      <c r="C72" s="9" t="s">
        <v>143</v>
      </c>
      <c r="D72" s="8">
        <v>7.4674939382489338</v>
      </c>
      <c r="E72" s="8" t="b">
        <v>1</v>
      </c>
    </row>
    <row r="73" spans="3:5" x14ac:dyDescent="0.25">
      <c r="C73" s="9" t="s">
        <v>131</v>
      </c>
      <c r="D73" s="8">
        <v>6.0137522030634321</v>
      </c>
      <c r="E73" s="8" t="b">
        <v>1</v>
      </c>
    </row>
    <row r="74" spans="3:5" x14ac:dyDescent="0.25">
      <c r="C74" s="9" t="s">
        <v>133</v>
      </c>
      <c r="D74" s="8">
        <v>6.6221001317755279</v>
      </c>
      <c r="E74" s="8" t="b">
        <v>1</v>
      </c>
    </row>
    <row r="75" spans="3:5" x14ac:dyDescent="0.25">
      <c r="C75" s="9" t="s">
        <v>134</v>
      </c>
      <c r="D75" s="8">
        <v>5.7913217387224547</v>
      </c>
      <c r="E75" s="8" t="b">
        <v>1</v>
      </c>
    </row>
    <row r="76" spans="3:5" x14ac:dyDescent="0.25">
      <c r="C76" s="9" t="s">
        <v>135</v>
      </c>
      <c r="D76" s="8">
        <v>6.9093724653307467</v>
      </c>
      <c r="E76" s="8" t="b">
        <v>1</v>
      </c>
    </row>
    <row r="77" spans="3:5" x14ac:dyDescent="0.25">
      <c r="C77" s="9" t="s">
        <v>136</v>
      </c>
      <c r="D77" s="8">
        <v>7.3831242210749597</v>
      </c>
      <c r="E77" s="8" t="b">
        <v>1</v>
      </c>
    </row>
    <row r="80" spans="3:5" x14ac:dyDescent="0.25">
      <c r="C80" s="9" t="s">
        <v>768</v>
      </c>
      <c r="D80" s="8">
        <v>4.1790982347586923E-9</v>
      </c>
    </row>
    <row r="82" spans="2:9" ht="18.75" x14ac:dyDescent="0.3">
      <c r="B82" s="7" t="s">
        <v>722</v>
      </c>
    </row>
    <row r="84" spans="2:9" x14ac:dyDescent="0.25">
      <c r="C84" s="9" t="s">
        <v>764</v>
      </c>
      <c r="D84" s="5" t="s">
        <v>769</v>
      </c>
      <c r="E84" s="5" t="s">
        <v>836</v>
      </c>
      <c r="F84" s="5" t="s">
        <v>837</v>
      </c>
      <c r="G84" s="5" t="s">
        <v>838</v>
      </c>
      <c r="H84" s="5" t="s">
        <v>839</v>
      </c>
      <c r="I84" s="5" t="s">
        <v>840</v>
      </c>
    </row>
    <row r="85" spans="2:9" x14ac:dyDescent="0.25">
      <c r="C85" s="9" t="s">
        <v>767</v>
      </c>
      <c r="D85" s="8">
        <v>4.8863922766545986</v>
      </c>
      <c r="E85" s="8">
        <v>4.4308126026203816</v>
      </c>
      <c r="F85" s="8">
        <v>5.3419719506888157</v>
      </c>
      <c r="G85" s="8">
        <v>0.23165485883823769</v>
      </c>
      <c r="H85" s="8">
        <v>21.09341587377072</v>
      </c>
      <c r="I85" s="8">
        <v>1.0350581499087698E-64</v>
      </c>
    </row>
    <row r="86" spans="2:9" x14ac:dyDescent="0.25">
      <c r="C86" s="9" t="s">
        <v>1</v>
      </c>
      <c r="D86" s="8">
        <v>1.9848904698760062E-3</v>
      </c>
      <c r="E86" s="8">
        <v>-1.9396324805282905E-3</v>
      </c>
      <c r="F86" s="8">
        <v>5.9094134202803024E-3</v>
      </c>
      <c r="G86" s="8">
        <v>1.9955561274997728E-3</v>
      </c>
      <c r="H86" s="8">
        <v>0.99465529559565458</v>
      </c>
      <c r="I86" s="8">
        <v>0.32057763024888247</v>
      </c>
    </row>
    <row r="87" spans="2:9" x14ac:dyDescent="0.25">
      <c r="C87" s="9" t="s">
        <v>2</v>
      </c>
      <c r="D87" s="8">
        <v>-4.3604681919453044E-3</v>
      </c>
      <c r="E87" s="8">
        <v>-1.7402390420835911E-2</v>
      </c>
      <c r="F87" s="8">
        <v>8.6814540369453009E-3</v>
      </c>
      <c r="G87" s="8">
        <v>6.6316054580740835E-3</v>
      </c>
      <c r="H87" s="8">
        <v>-0.65752828926762619</v>
      </c>
      <c r="I87" s="8">
        <v>0.5112649989412934</v>
      </c>
    </row>
    <row r="88" spans="2:9" x14ac:dyDescent="0.25">
      <c r="C88" s="9" t="s">
        <v>15</v>
      </c>
      <c r="D88" s="8">
        <v>-1.5744692705646951E-4</v>
      </c>
      <c r="E88" s="8">
        <v>-2.4846648543635873E-4</v>
      </c>
      <c r="F88" s="8">
        <v>-6.6427368676580305E-5</v>
      </c>
      <c r="G88" s="8">
        <v>4.6281965921131775E-5</v>
      </c>
      <c r="H88" s="8">
        <v>-3.4019066373449185</v>
      </c>
      <c r="I88" s="8">
        <v>7.4501502335143507E-4</v>
      </c>
    </row>
    <row r="89" spans="2:9" x14ac:dyDescent="0.25">
      <c r="C89" s="9" t="s">
        <v>127</v>
      </c>
      <c r="D89" s="8">
        <v>-9.8257844014584858E-2</v>
      </c>
      <c r="E89" s="8">
        <v>-0.3247876366837511</v>
      </c>
      <c r="F89" s="8">
        <v>0.12827194865458136</v>
      </c>
      <c r="G89" s="8">
        <v>0.11518671735010191</v>
      </c>
      <c r="H89" s="8">
        <v>-0.85303102888102156</v>
      </c>
      <c r="I89" s="8">
        <v>0.39421404427968287</v>
      </c>
    </row>
    <row r="90" spans="2:9" x14ac:dyDescent="0.25">
      <c r="C90" s="9" t="s">
        <v>137</v>
      </c>
      <c r="D90" s="8">
        <v>0.14652086258844774</v>
      </c>
      <c r="E90" s="8">
        <v>-0.12900894211317418</v>
      </c>
      <c r="F90" s="8">
        <v>0.42205066729006968</v>
      </c>
      <c r="G90" s="8">
        <v>0.14010242697765199</v>
      </c>
      <c r="H90" s="8">
        <v>1.0458124512847986</v>
      </c>
      <c r="I90" s="8">
        <v>0.29635520715553171</v>
      </c>
    </row>
    <row r="91" spans="2:9" x14ac:dyDescent="0.25">
      <c r="C91" s="9" t="s">
        <v>139</v>
      </c>
      <c r="D91" s="8">
        <v>0.35694106349728916</v>
      </c>
      <c r="E91" s="8">
        <v>8.9049154764266447E-2</v>
      </c>
      <c r="F91" s="8">
        <v>0.62483297223031187</v>
      </c>
      <c r="G91" s="8">
        <v>0.13621868103095705</v>
      </c>
      <c r="H91" s="8">
        <v>2.6203532496117088</v>
      </c>
      <c r="I91" s="8">
        <v>9.1590232209782241E-3</v>
      </c>
    </row>
    <row r="92" spans="2:9" x14ac:dyDescent="0.25">
      <c r="C92" s="9" t="s">
        <v>129</v>
      </c>
      <c r="D92" s="8">
        <v>0.22727778531406542</v>
      </c>
      <c r="E92" s="8">
        <v>-2.7892862768308685E-2</v>
      </c>
      <c r="F92" s="8">
        <v>0.4824484333964395</v>
      </c>
      <c r="G92" s="8">
        <v>0.12975012677309283</v>
      </c>
      <c r="H92" s="8">
        <v>1.751657520239106</v>
      </c>
      <c r="I92" s="8">
        <v>8.0691389817077394E-2</v>
      </c>
    </row>
    <row r="93" spans="2:9" x14ac:dyDescent="0.25">
      <c r="C93" s="9" t="s">
        <v>140</v>
      </c>
      <c r="D93" s="8">
        <v>-0.55349455098343459</v>
      </c>
      <c r="E93" s="8">
        <v>-0.81531707675614373</v>
      </c>
      <c r="F93" s="8">
        <v>-0.29167202521072544</v>
      </c>
      <c r="G93" s="8">
        <v>0.13313249845293218</v>
      </c>
      <c r="H93" s="8">
        <v>-4.1574713718688132</v>
      </c>
      <c r="I93" s="8">
        <v>4.0333187901639155E-5</v>
      </c>
    </row>
    <row r="94" spans="2:9" x14ac:dyDescent="0.25">
      <c r="C94" s="9" t="s">
        <v>141</v>
      </c>
      <c r="D94" s="8">
        <v>-0.61553982323527523</v>
      </c>
      <c r="E94" s="8">
        <v>-0.88650026146878402</v>
      </c>
      <c r="F94" s="8">
        <v>-0.34457938500176638</v>
      </c>
      <c r="G94" s="8">
        <v>0.13777897840327286</v>
      </c>
      <c r="H94" s="8">
        <v>-4.4675888177485099</v>
      </c>
      <c r="I94" s="8">
        <v>1.063237221694332E-5</v>
      </c>
    </row>
    <row r="95" spans="2:9" x14ac:dyDescent="0.25">
      <c r="C95" s="9" t="s">
        <v>143</v>
      </c>
      <c r="D95" s="8">
        <v>-0.21390551826157128</v>
      </c>
      <c r="E95" s="8">
        <v>-0.47429077394618313</v>
      </c>
      <c r="F95" s="8">
        <v>4.6479737423040568E-2</v>
      </c>
      <c r="G95" s="8">
        <v>0.13240166997583558</v>
      </c>
      <c r="H95" s="8">
        <v>-1.6155802136076596</v>
      </c>
      <c r="I95" s="8">
        <v>0.10706846219318933</v>
      </c>
    </row>
    <row r="96" spans="2:9" x14ac:dyDescent="0.25">
      <c r="C96" s="9" t="s">
        <v>131</v>
      </c>
      <c r="D96" s="8">
        <v>-0.35807620566969628</v>
      </c>
      <c r="E96" s="8">
        <v>-0.71474532803462831</v>
      </c>
      <c r="F96" s="8">
        <v>-1.4070833047643005E-3</v>
      </c>
      <c r="G96" s="8">
        <v>0.18136045109686078</v>
      </c>
      <c r="H96" s="8">
        <v>-1.9743896946884818</v>
      </c>
      <c r="I96" s="8">
        <v>4.9107812647929641E-2</v>
      </c>
    </row>
    <row r="97" spans="3:9" x14ac:dyDescent="0.25">
      <c r="C97" s="9" t="s">
        <v>133</v>
      </c>
      <c r="D97" s="8">
        <v>-0.32671702221535931</v>
      </c>
      <c r="E97" s="8">
        <v>-0.6623468288275034</v>
      </c>
      <c r="F97" s="8">
        <v>8.9127843967847786E-3</v>
      </c>
      <c r="G97" s="8">
        <v>0.17066230102882432</v>
      </c>
      <c r="H97" s="8">
        <v>-1.9144065223881976</v>
      </c>
      <c r="I97" s="8">
        <v>5.6367341306340218E-2</v>
      </c>
    </row>
    <row r="98" spans="3:9" x14ac:dyDescent="0.25">
      <c r="C98" s="9" t="s">
        <v>134</v>
      </c>
      <c r="D98" s="8">
        <v>-0.2639039426205525</v>
      </c>
      <c r="E98" s="8">
        <v>-0.6139196038678969</v>
      </c>
      <c r="F98" s="8">
        <v>8.6111718626791955E-2</v>
      </c>
      <c r="G98" s="8">
        <v>0.17797727427000201</v>
      </c>
      <c r="H98" s="8">
        <v>-1.4827957316628788</v>
      </c>
      <c r="I98" s="8">
        <v>0.13901090276193107</v>
      </c>
    </row>
    <row r="99" spans="3:9" x14ac:dyDescent="0.25">
      <c r="C99" s="9" t="s">
        <v>135</v>
      </c>
      <c r="D99" s="8">
        <v>-0.4583953584104058</v>
      </c>
      <c r="E99" s="8">
        <v>-0.78498109095089597</v>
      </c>
      <c r="F99" s="8">
        <v>-0.13180962586991563</v>
      </c>
      <c r="G99" s="8">
        <v>0.1660635363740294</v>
      </c>
      <c r="H99" s="8">
        <v>-2.7603612955582828</v>
      </c>
      <c r="I99" s="8">
        <v>6.0717446610772923E-3</v>
      </c>
    </row>
    <row r="100" spans="3:9" x14ac:dyDescent="0.25">
      <c r="C100" s="9" t="s">
        <v>136</v>
      </c>
      <c r="D100" s="8">
        <v>-0.4232975631057338</v>
      </c>
      <c r="E100" s="8">
        <v>-0.73553848157940416</v>
      </c>
      <c r="F100" s="8">
        <v>-0.11105664463206338</v>
      </c>
      <c r="G100" s="8">
        <v>0.15876943159476237</v>
      </c>
      <c r="H100" s="8">
        <v>-2.6661149999336393</v>
      </c>
      <c r="I100" s="8">
        <v>8.0222726930347984E-3</v>
      </c>
    </row>
  </sheetData>
  <mergeCells count="59">
    <mergeCell ref="B3:K3"/>
    <mergeCell ref="N3:Q3"/>
    <mergeCell ref="H4:I4"/>
    <mergeCell ref="J4:K4"/>
    <mergeCell ref="B5:C5"/>
    <mergeCell ref="D5:E5"/>
    <mergeCell ref="F5:G5"/>
    <mergeCell ref="H5:I5"/>
    <mergeCell ref="J5:K5"/>
    <mergeCell ref="C43:G43"/>
    <mergeCell ref="C44:G44"/>
    <mergeCell ref="C45:G45"/>
    <mergeCell ref="C46:G46"/>
    <mergeCell ref="C47:G47"/>
    <mergeCell ref="B4:C4"/>
    <mergeCell ref="D4:E4"/>
    <mergeCell ref="F4:G4"/>
    <mergeCell ref="C37:I37"/>
    <mergeCell ref="C38:E38"/>
    <mergeCell ref="C39:E39"/>
    <mergeCell ref="C40:E40"/>
    <mergeCell ref="C41:E41"/>
    <mergeCell ref="F38:I38"/>
    <mergeCell ref="F39:I39"/>
    <mergeCell ref="F40:I40"/>
    <mergeCell ref="F41:I41"/>
    <mergeCell ref="C32:I32"/>
    <mergeCell ref="C33:E33"/>
    <mergeCell ref="C34:E34"/>
    <mergeCell ref="C35:E35"/>
    <mergeCell ref="F33:I33"/>
    <mergeCell ref="F34:I34"/>
    <mergeCell ref="F35:I35"/>
    <mergeCell ref="C26:I26"/>
    <mergeCell ref="C27:E27"/>
    <mergeCell ref="F27:I27"/>
    <mergeCell ref="C29:I29"/>
    <mergeCell ref="C30:E30"/>
    <mergeCell ref="F30:I30"/>
    <mergeCell ref="C20:S20"/>
    <mergeCell ref="C21:D21"/>
    <mergeCell ref="C22:D22"/>
    <mergeCell ref="C23:D23"/>
    <mergeCell ref="C24:D24"/>
    <mergeCell ref="E21:S21"/>
    <mergeCell ref="E24:S24"/>
    <mergeCell ref="C18:F18"/>
    <mergeCell ref="G13:K13"/>
    <mergeCell ref="G14:K14"/>
    <mergeCell ref="G15:K15"/>
    <mergeCell ref="G16:K16"/>
    <mergeCell ref="G17:K17"/>
    <mergeCell ref="G18:K18"/>
    <mergeCell ref="C12:K12"/>
    <mergeCell ref="C13:F13"/>
    <mergeCell ref="C14:F14"/>
    <mergeCell ref="C15:F15"/>
    <mergeCell ref="C16:F16"/>
    <mergeCell ref="C17:F17"/>
  </mergeCells>
  <hyperlinks>
    <hyperlink ref="B4" location="'LinReg_Output1'!$B$10:$B$10" display="Inputs" xr:uid="{9C71D66E-5C70-4BBA-B22A-754DED884038}"/>
    <hyperlink ref="D4" location="'LinReg_Output1'!$B$50:$B$50" display="Regression Summary" xr:uid="{46C144E0-7E01-42D3-9423-74B726BA3624}"/>
    <hyperlink ref="F4" location="'LinReg_Output1'!$B$59:$B$59" display="Predictor Screening" xr:uid="{CBF8567D-813B-4FF4-ADD0-755ECE2BBBA9}"/>
    <hyperlink ref="H4" location="'LinReg_Output1'!$B$82:$B$82" display="Coefficients" xr:uid="{F5194C83-879C-4B3A-A7F4-090E0A5F5C35}"/>
    <hyperlink ref="J4" location="'LinReg_Stored2'!$B$10:$B$10" display="PMML Model" xr:uid="{68E1A90C-A34E-494D-9CB9-B2C0E1CFA7EC}"/>
    <hyperlink ref="B5" location="'LinReg_TrainingScore2'!$B$10:$B$10" display="Training: Prediction Summary" xr:uid="{6F679BDE-94BE-4CEF-871F-764A48FC49EE}"/>
    <hyperlink ref="D5" location="'LinReg_TrainingScore2'!$B$19:$B$19" display="Training: Prediction Details" xr:uid="{B663C44F-3668-461E-8569-EED5CB55826F}"/>
    <hyperlink ref="F5" location="'LinReg_ValidationScore2'!$B$10:$B$10" display="Validation: Prediction Summary" xr:uid="{FBFB9BD2-5118-4C48-89E9-923B4C5E45E5}"/>
    <hyperlink ref="H5" location="'LinReg_ValidationScore2'!$B$19:$B$19" display="Validation: Prediction Details" xr:uid="{AB5992AC-FB6D-4DC1-90DD-CCC262B070B5}"/>
  </hyperlinks>
  <pageMargins left="0.7" right="0.7" top="0.75" bottom="0.75" header="0.3" footer="0.3"/>
  <tableParts count="4">
    <tablePart r:id="rId1"/>
    <tablePart r:id="rId2"/>
    <tablePart r:id="rId3"/>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22694-62DC-4745-B186-9EA4F6AF8BAF}">
  <sheetPr codeName="Sheet18">
    <tabColor rgb="FF92D050"/>
  </sheetPr>
  <dimension ref="B1:Q394"/>
  <sheetViews>
    <sheetView showGridLines="0" workbookViewId="0">
      <selection activeCell="G412" sqref="G412"/>
    </sheetView>
  </sheetViews>
  <sheetFormatPr defaultRowHeight="15" x14ac:dyDescent="0.25"/>
  <cols>
    <col min="3" max="3" width="11.5703125" customWidth="1"/>
    <col min="5" max="5" width="18.140625" customWidth="1"/>
    <col min="6" max="6" width="10.7109375" customWidth="1"/>
    <col min="14" max="14" width="15.5703125" bestFit="1" customWidth="1"/>
  </cols>
  <sheetData>
    <row r="1" spans="2:17" ht="18.75" x14ac:dyDescent="0.3">
      <c r="B1" s="6" t="s">
        <v>733</v>
      </c>
      <c r="N1" t="s">
        <v>928</v>
      </c>
    </row>
    <row r="3" spans="2:17" ht="15.75" x14ac:dyDescent="0.25">
      <c r="B3" s="13" t="s">
        <v>147</v>
      </c>
      <c r="C3" s="14"/>
      <c r="D3" s="14"/>
      <c r="E3" s="14"/>
      <c r="F3" s="14"/>
      <c r="G3" s="14"/>
      <c r="H3" s="14"/>
      <c r="I3" s="14"/>
      <c r="J3" s="14"/>
      <c r="K3" s="15"/>
      <c r="N3" s="13" t="s">
        <v>148</v>
      </c>
      <c r="O3" s="14"/>
      <c r="P3" s="14"/>
      <c r="Q3" s="15"/>
    </row>
    <row r="4" spans="2:17" x14ac:dyDescent="0.25">
      <c r="B4" s="25" t="s">
        <v>153</v>
      </c>
      <c r="C4" s="21"/>
      <c r="D4" s="25" t="s">
        <v>720</v>
      </c>
      <c r="E4" s="21"/>
      <c r="F4" s="25" t="s">
        <v>721</v>
      </c>
      <c r="G4" s="21"/>
      <c r="H4" s="25" t="s">
        <v>722</v>
      </c>
      <c r="I4" s="21"/>
      <c r="J4" s="25" t="s">
        <v>645</v>
      </c>
      <c r="K4" s="21"/>
      <c r="N4" s="11" t="s">
        <v>149</v>
      </c>
      <c r="O4" s="11" t="s">
        <v>150</v>
      </c>
      <c r="P4" s="11" t="s">
        <v>151</v>
      </c>
      <c r="Q4" s="11" t="s">
        <v>152</v>
      </c>
    </row>
    <row r="5" spans="2:17" x14ac:dyDescent="0.25">
      <c r="B5" s="25" t="s">
        <v>723</v>
      </c>
      <c r="C5" s="21"/>
      <c r="D5" s="25" t="s">
        <v>830</v>
      </c>
      <c r="E5" s="21"/>
      <c r="F5" s="25" t="s">
        <v>724</v>
      </c>
      <c r="G5" s="21"/>
      <c r="H5" s="25" t="s">
        <v>831</v>
      </c>
      <c r="I5" s="21"/>
      <c r="J5" s="19"/>
      <c r="K5" s="21"/>
      <c r="N5" s="10">
        <v>13</v>
      </c>
      <c r="O5" s="10">
        <v>17</v>
      </c>
      <c r="P5" s="10">
        <v>16</v>
      </c>
      <c r="Q5" s="10">
        <v>46</v>
      </c>
    </row>
    <row r="10" spans="2:17" ht="18.75" x14ac:dyDescent="0.3">
      <c r="B10" s="7" t="s">
        <v>723</v>
      </c>
    </row>
    <row r="12" spans="2:17" x14ac:dyDescent="0.25">
      <c r="C12" t="s">
        <v>726</v>
      </c>
      <c r="D12" t="s">
        <v>727</v>
      </c>
    </row>
    <row r="13" spans="2:17" x14ac:dyDescent="0.25">
      <c r="C13" t="s">
        <v>728</v>
      </c>
      <c r="D13">
        <v>342.33062307496965</v>
      </c>
    </row>
    <row r="14" spans="2:17" x14ac:dyDescent="0.25">
      <c r="C14" t="s">
        <v>729</v>
      </c>
      <c r="D14">
        <v>0.91777646936989188</v>
      </c>
    </row>
    <row r="15" spans="2:17" x14ac:dyDescent="0.25">
      <c r="C15" t="s">
        <v>730</v>
      </c>
      <c r="D15">
        <v>0.95800650799975873</v>
      </c>
    </row>
    <row r="16" spans="2:17" x14ac:dyDescent="0.25">
      <c r="C16" t="s">
        <v>731</v>
      </c>
      <c r="D16">
        <v>0.74977961240272895</v>
      </c>
    </row>
    <row r="17" spans="2:6" x14ac:dyDescent="0.25">
      <c r="C17" t="s">
        <v>732</v>
      </c>
      <c r="D17">
        <v>0.12071806633408744</v>
      </c>
    </row>
    <row r="19" spans="2:6" ht="18.75" x14ac:dyDescent="0.3">
      <c r="B19" s="7" t="s">
        <v>830</v>
      </c>
    </row>
    <row r="21" spans="2:6" x14ac:dyDescent="0.25">
      <c r="C21" s="9" t="s">
        <v>176</v>
      </c>
      <c r="D21" s="5" t="s">
        <v>4</v>
      </c>
      <c r="E21" s="5" t="s">
        <v>832</v>
      </c>
      <c r="F21" s="5" t="s">
        <v>833</v>
      </c>
    </row>
    <row r="22" spans="2:6" x14ac:dyDescent="0.25">
      <c r="C22" s="9" t="s">
        <v>177</v>
      </c>
      <c r="D22" s="8">
        <v>3</v>
      </c>
      <c r="E22" s="8">
        <v>3.9713805803572475</v>
      </c>
      <c r="F22" s="8">
        <v>-0.9713805803572475</v>
      </c>
    </row>
    <row r="23" spans="2:6" x14ac:dyDescent="0.25">
      <c r="C23" s="9" t="s">
        <v>454</v>
      </c>
      <c r="D23" s="8">
        <v>4</v>
      </c>
      <c r="E23" s="8">
        <v>3.6392548470108332</v>
      </c>
      <c r="F23" s="8">
        <v>0.36074515298916676</v>
      </c>
    </row>
    <row r="24" spans="2:6" x14ac:dyDescent="0.25">
      <c r="C24" s="9" t="s">
        <v>178</v>
      </c>
      <c r="D24" s="8">
        <v>5</v>
      </c>
      <c r="E24" s="8">
        <v>4.6511935248503349</v>
      </c>
      <c r="F24" s="8">
        <v>0.34880647514966512</v>
      </c>
    </row>
    <row r="25" spans="2:6" x14ac:dyDescent="0.25">
      <c r="C25" s="9" t="s">
        <v>179</v>
      </c>
      <c r="D25" s="8">
        <v>4</v>
      </c>
      <c r="E25" s="8">
        <v>4.2959370522756064</v>
      </c>
      <c r="F25" s="8">
        <v>-0.2959370522756064</v>
      </c>
    </row>
    <row r="26" spans="2:6" x14ac:dyDescent="0.25">
      <c r="C26" s="9" t="s">
        <v>406</v>
      </c>
      <c r="D26" s="8">
        <v>5</v>
      </c>
      <c r="E26" s="8">
        <v>4.4450224513997654</v>
      </c>
      <c r="F26" s="8">
        <v>0.55497754860023463</v>
      </c>
    </row>
    <row r="27" spans="2:6" x14ac:dyDescent="0.25">
      <c r="C27" s="9" t="s">
        <v>180</v>
      </c>
      <c r="D27" s="8">
        <v>4</v>
      </c>
      <c r="E27" s="8">
        <v>4.8918729436826691</v>
      </c>
      <c r="F27" s="8">
        <v>-0.89187294368266912</v>
      </c>
    </row>
    <row r="28" spans="2:6" x14ac:dyDescent="0.25">
      <c r="C28" s="9" t="s">
        <v>475</v>
      </c>
      <c r="D28" s="8">
        <v>5</v>
      </c>
      <c r="E28" s="8">
        <v>5.1617239862597764</v>
      </c>
      <c r="F28" s="8">
        <v>-0.16172398625977635</v>
      </c>
    </row>
    <row r="29" spans="2:6" x14ac:dyDescent="0.25">
      <c r="C29" s="9" t="s">
        <v>181</v>
      </c>
      <c r="D29" s="8">
        <v>5</v>
      </c>
      <c r="E29" s="8">
        <v>4.0388550570562405</v>
      </c>
      <c r="F29" s="8">
        <v>0.96114494294375952</v>
      </c>
    </row>
    <row r="30" spans="2:6" x14ac:dyDescent="0.25">
      <c r="C30" s="9" t="s">
        <v>182</v>
      </c>
      <c r="D30" s="8">
        <v>5</v>
      </c>
      <c r="E30" s="8">
        <v>4.4318126818825014</v>
      </c>
      <c r="F30" s="8">
        <v>0.56818731811749856</v>
      </c>
    </row>
    <row r="31" spans="2:6" x14ac:dyDescent="0.25">
      <c r="C31" s="9" t="s">
        <v>183</v>
      </c>
      <c r="D31" s="8">
        <v>3</v>
      </c>
      <c r="E31" s="8">
        <v>4.4505480161174038</v>
      </c>
      <c r="F31" s="8">
        <v>-1.4505480161174038</v>
      </c>
    </row>
    <row r="32" spans="2:6" x14ac:dyDescent="0.25">
      <c r="C32" s="9" t="s">
        <v>184</v>
      </c>
      <c r="D32" s="8">
        <v>4</v>
      </c>
      <c r="E32" s="8">
        <v>4.5081598763856467</v>
      </c>
      <c r="F32" s="8">
        <v>-0.50815987638564675</v>
      </c>
    </row>
    <row r="33" spans="3:6" x14ac:dyDescent="0.25">
      <c r="C33" s="9" t="s">
        <v>185</v>
      </c>
      <c r="D33" s="8">
        <v>3</v>
      </c>
      <c r="E33" s="8">
        <v>4.030003466359946</v>
      </c>
      <c r="F33" s="8">
        <v>-1.030003466359946</v>
      </c>
    </row>
    <row r="34" spans="3:6" x14ac:dyDescent="0.25">
      <c r="C34" s="9" t="s">
        <v>186</v>
      </c>
      <c r="D34" s="8">
        <v>5</v>
      </c>
      <c r="E34" s="8">
        <v>4.638805217702032</v>
      </c>
      <c r="F34" s="8">
        <v>0.36119478229796798</v>
      </c>
    </row>
    <row r="35" spans="3:6" x14ac:dyDescent="0.25">
      <c r="C35" s="9" t="s">
        <v>187</v>
      </c>
      <c r="D35" s="8">
        <v>3</v>
      </c>
      <c r="E35" s="8">
        <v>4.09611324450238</v>
      </c>
      <c r="F35" s="8">
        <v>-1.09611324450238</v>
      </c>
    </row>
    <row r="36" spans="3:6" x14ac:dyDescent="0.25">
      <c r="C36" s="9" t="s">
        <v>409</v>
      </c>
      <c r="D36" s="8">
        <v>5</v>
      </c>
      <c r="E36" s="8">
        <v>4.4843077338266673</v>
      </c>
      <c r="F36" s="8">
        <v>0.51569226617333275</v>
      </c>
    </row>
    <row r="37" spans="3:6" x14ac:dyDescent="0.25">
      <c r="C37" s="9" t="s">
        <v>188</v>
      </c>
      <c r="D37" s="8">
        <v>5</v>
      </c>
      <c r="E37" s="8">
        <v>4.3133714320002916</v>
      </c>
      <c r="F37" s="8">
        <v>0.68662856799970839</v>
      </c>
    </row>
    <row r="38" spans="3:6" x14ac:dyDescent="0.25">
      <c r="C38" s="9" t="s">
        <v>189</v>
      </c>
      <c r="D38" s="8">
        <v>5</v>
      </c>
      <c r="E38" s="8">
        <v>3.9354950107918687</v>
      </c>
      <c r="F38" s="8">
        <v>1.0645049892081313</v>
      </c>
    </row>
    <row r="39" spans="3:6" x14ac:dyDescent="0.25">
      <c r="C39" s="9" t="s">
        <v>190</v>
      </c>
      <c r="D39" s="8">
        <v>5</v>
      </c>
      <c r="E39" s="8">
        <v>3.6052100626985721</v>
      </c>
      <c r="F39" s="8">
        <v>1.3947899373014279</v>
      </c>
    </row>
    <row r="40" spans="3:6" x14ac:dyDescent="0.25">
      <c r="C40" s="9" t="s">
        <v>191</v>
      </c>
      <c r="D40" s="8">
        <v>5</v>
      </c>
      <c r="E40" s="8">
        <v>4.2994476324241182</v>
      </c>
      <c r="F40" s="8">
        <v>0.7005523675758818</v>
      </c>
    </row>
    <row r="41" spans="3:6" x14ac:dyDescent="0.25">
      <c r="C41" s="9" t="s">
        <v>192</v>
      </c>
      <c r="D41" s="8">
        <v>5</v>
      </c>
      <c r="E41" s="8">
        <v>4.6559058624691039</v>
      </c>
      <c r="F41" s="8">
        <v>0.34409413753089613</v>
      </c>
    </row>
    <row r="42" spans="3:6" x14ac:dyDescent="0.25">
      <c r="C42" s="9" t="s">
        <v>193</v>
      </c>
      <c r="D42" s="8">
        <v>2</v>
      </c>
      <c r="E42" s="8">
        <v>3.7955107355546644</v>
      </c>
      <c r="F42" s="8">
        <v>-1.7955107355546644</v>
      </c>
    </row>
    <row r="43" spans="3:6" x14ac:dyDescent="0.25">
      <c r="C43" s="9" t="s">
        <v>194</v>
      </c>
      <c r="D43" s="8">
        <v>4</v>
      </c>
      <c r="E43" s="8">
        <v>3.599673903157258</v>
      </c>
      <c r="F43" s="8">
        <v>0.40032609684274201</v>
      </c>
    </row>
    <row r="44" spans="3:6" x14ac:dyDescent="0.25">
      <c r="C44" s="9" t="s">
        <v>195</v>
      </c>
      <c r="D44" s="8">
        <v>5</v>
      </c>
      <c r="E44" s="8">
        <v>4.0326913402506701</v>
      </c>
      <c r="F44" s="8">
        <v>0.96730865974932989</v>
      </c>
    </row>
    <row r="45" spans="3:6" x14ac:dyDescent="0.25">
      <c r="C45" s="9" t="s">
        <v>412</v>
      </c>
      <c r="D45" s="8">
        <v>4</v>
      </c>
      <c r="E45" s="8">
        <v>4.4535600341685164</v>
      </c>
      <c r="F45" s="8">
        <v>-0.45356003416851642</v>
      </c>
    </row>
    <row r="46" spans="3:6" x14ac:dyDescent="0.25">
      <c r="C46" s="9" t="s">
        <v>407</v>
      </c>
      <c r="D46" s="8">
        <v>4</v>
      </c>
      <c r="E46" s="8">
        <v>4.1143440698228746</v>
      </c>
      <c r="F46" s="8">
        <v>-0.11434406982287459</v>
      </c>
    </row>
    <row r="47" spans="3:6" x14ac:dyDescent="0.25">
      <c r="C47" s="9" t="s">
        <v>196</v>
      </c>
      <c r="D47" s="8">
        <v>5</v>
      </c>
      <c r="E47" s="8">
        <v>4.5405640340170752</v>
      </c>
      <c r="F47" s="8">
        <v>0.4594359659829248</v>
      </c>
    </row>
    <row r="48" spans="3:6" x14ac:dyDescent="0.25">
      <c r="C48" s="9" t="s">
        <v>197</v>
      </c>
      <c r="D48" s="8">
        <v>4</v>
      </c>
      <c r="E48" s="8">
        <v>3.5816848992003085</v>
      </c>
      <c r="F48" s="8">
        <v>0.41831510079969147</v>
      </c>
    </row>
    <row r="49" spans="3:6" x14ac:dyDescent="0.25">
      <c r="C49" s="9" t="s">
        <v>198</v>
      </c>
      <c r="D49" s="8">
        <v>4</v>
      </c>
      <c r="E49" s="8">
        <v>4.4647241829441171</v>
      </c>
      <c r="F49" s="8">
        <v>-0.4647241829441171</v>
      </c>
    </row>
    <row r="50" spans="3:6" x14ac:dyDescent="0.25">
      <c r="C50" s="9" t="s">
        <v>199</v>
      </c>
      <c r="D50" s="8">
        <v>5</v>
      </c>
      <c r="E50" s="8">
        <v>3.7882546493086897</v>
      </c>
      <c r="F50" s="8">
        <v>1.2117453506913103</v>
      </c>
    </row>
    <row r="51" spans="3:6" x14ac:dyDescent="0.25">
      <c r="C51" s="9" t="s">
        <v>200</v>
      </c>
      <c r="D51" s="8">
        <v>3</v>
      </c>
      <c r="E51" s="8">
        <v>4.2728058052157634</v>
      </c>
      <c r="F51" s="8">
        <v>-1.2728058052157634</v>
      </c>
    </row>
    <row r="52" spans="3:6" x14ac:dyDescent="0.25">
      <c r="C52" s="9" t="s">
        <v>438</v>
      </c>
      <c r="D52" s="8">
        <v>3</v>
      </c>
      <c r="E52" s="8">
        <v>3.8324937417013127</v>
      </c>
      <c r="F52" s="8">
        <v>-0.83249374170131274</v>
      </c>
    </row>
    <row r="53" spans="3:6" x14ac:dyDescent="0.25">
      <c r="C53" s="9" t="s">
        <v>448</v>
      </c>
      <c r="D53" s="8">
        <v>3</v>
      </c>
      <c r="E53" s="8">
        <v>4.0171481208415081</v>
      </c>
      <c r="F53" s="8">
        <v>-1.0171481208415081</v>
      </c>
    </row>
    <row r="54" spans="3:6" x14ac:dyDescent="0.25">
      <c r="C54" s="9" t="s">
        <v>201</v>
      </c>
      <c r="D54" s="8">
        <v>2</v>
      </c>
      <c r="E54" s="8">
        <v>3.8048352206332003</v>
      </c>
      <c r="F54" s="8">
        <v>-1.8048352206332003</v>
      </c>
    </row>
    <row r="55" spans="3:6" x14ac:dyDescent="0.25">
      <c r="C55" s="9" t="s">
        <v>442</v>
      </c>
      <c r="D55" s="8">
        <v>5</v>
      </c>
      <c r="E55" s="8">
        <v>4.5621171007018422</v>
      </c>
      <c r="F55" s="8">
        <v>0.43788289929815782</v>
      </c>
    </row>
    <row r="56" spans="3:6" x14ac:dyDescent="0.25">
      <c r="C56" s="9" t="s">
        <v>202</v>
      </c>
      <c r="D56" s="8">
        <v>5</v>
      </c>
      <c r="E56" s="8">
        <v>4.5056042772911145</v>
      </c>
      <c r="F56" s="8">
        <v>0.49439572270888554</v>
      </c>
    </row>
    <row r="57" spans="3:6" x14ac:dyDescent="0.25">
      <c r="C57" s="9" t="s">
        <v>203</v>
      </c>
      <c r="D57" s="8">
        <v>4</v>
      </c>
      <c r="E57" s="8">
        <v>4.1275961330053699</v>
      </c>
      <c r="F57" s="8">
        <v>-0.12759613300536987</v>
      </c>
    </row>
    <row r="58" spans="3:6" x14ac:dyDescent="0.25">
      <c r="C58" s="9" t="s">
        <v>204</v>
      </c>
      <c r="D58" s="8">
        <v>4</v>
      </c>
      <c r="E58" s="8">
        <v>3.8104836422073372</v>
      </c>
      <c r="F58" s="8">
        <v>0.18951635779266285</v>
      </c>
    </row>
    <row r="59" spans="3:6" x14ac:dyDescent="0.25">
      <c r="C59" s="9" t="s">
        <v>205</v>
      </c>
      <c r="D59" s="8">
        <v>5</v>
      </c>
      <c r="E59" s="8">
        <v>4.6306431927196261</v>
      </c>
      <c r="F59" s="8">
        <v>0.3693568072803739</v>
      </c>
    </row>
    <row r="60" spans="3:6" x14ac:dyDescent="0.25">
      <c r="C60" s="9" t="s">
        <v>206</v>
      </c>
      <c r="D60" s="8">
        <v>5</v>
      </c>
      <c r="E60" s="8">
        <v>4.1124660178833645</v>
      </c>
      <c r="F60" s="8">
        <v>0.88753398211663548</v>
      </c>
    </row>
    <row r="61" spans="3:6" x14ac:dyDescent="0.25">
      <c r="C61" s="9" t="s">
        <v>207</v>
      </c>
      <c r="D61" s="8">
        <v>5</v>
      </c>
      <c r="E61" s="8">
        <v>4.2023344354006529</v>
      </c>
      <c r="F61" s="8">
        <v>0.79766556459934712</v>
      </c>
    </row>
    <row r="62" spans="3:6" x14ac:dyDescent="0.25">
      <c r="C62" s="9" t="s">
        <v>208</v>
      </c>
      <c r="D62" s="8">
        <v>5</v>
      </c>
      <c r="E62" s="8">
        <v>4.5834233099297927</v>
      </c>
      <c r="F62" s="8">
        <v>0.41657669007020726</v>
      </c>
    </row>
    <row r="63" spans="3:6" x14ac:dyDescent="0.25">
      <c r="C63" s="9" t="s">
        <v>209</v>
      </c>
      <c r="D63" s="8">
        <v>5</v>
      </c>
      <c r="E63" s="8">
        <v>4.2390245010629544</v>
      </c>
      <c r="F63" s="8">
        <v>0.76097549893704564</v>
      </c>
    </row>
    <row r="64" spans="3:6" x14ac:dyDescent="0.25">
      <c r="C64" s="9" t="s">
        <v>210</v>
      </c>
      <c r="D64" s="8">
        <v>5</v>
      </c>
      <c r="E64" s="8">
        <v>4.1403984177288695</v>
      </c>
      <c r="F64" s="8">
        <v>0.85960158227113048</v>
      </c>
    </row>
    <row r="65" spans="3:6" x14ac:dyDescent="0.25">
      <c r="C65" s="9" t="s">
        <v>434</v>
      </c>
      <c r="D65" s="8">
        <v>4</v>
      </c>
      <c r="E65" s="8">
        <v>3.6777843945029733</v>
      </c>
      <c r="F65" s="8">
        <v>0.32221560549702666</v>
      </c>
    </row>
    <row r="66" spans="3:6" x14ac:dyDescent="0.25">
      <c r="C66" s="9" t="s">
        <v>408</v>
      </c>
      <c r="D66" s="8">
        <v>4</v>
      </c>
      <c r="E66" s="8">
        <v>3.7638587326623871</v>
      </c>
      <c r="F66" s="8">
        <v>0.23614126733761287</v>
      </c>
    </row>
    <row r="67" spans="3:6" x14ac:dyDescent="0.25">
      <c r="C67" s="9" t="s">
        <v>211</v>
      </c>
      <c r="D67" s="8">
        <v>5</v>
      </c>
      <c r="E67" s="8">
        <v>4.028410911167061</v>
      </c>
      <c r="F67" s="8">
        <v>0.97158908883293904</v>
      </c>
    </row>
    <row r="68" spans="3:6" x14ac:dyDescent="0.25">
      <c r="C68" s="9" t="s">
        <v>212</v>
      </c>
      <c r="D68" s="8">
        <v>5</v>
      </c>
      <c r="E68" s="8">
        <v>4.4807055158101941</v>
      </c>
      <c r="F68" s="8">
        <v>0.51929448418980595</v>
      </c>
    </row>
    <row r="69" spans="3:6" x14ac:dyDescent="0.25">
      <c r="C69" s="9" t="s">
        <v>447</v>
      </c>
      <c r="D69" s="8">
        <v>5</v>
      </c>
      <c r="E69" s="8">
        <v>4.4038128311983913</v>
      </c>
      <c r="F69" s="8">
        <v>0.59618716880160871</v>
      </c>
    </row>
    <row r="70" spans="3:6" x14ac:dyDescent="0.25">
      <c r="C70" s="9" t="s">
        <v>213</v>
      </c>
      <c r="D70" s="8">
        <v>1</v>
      </c>
      <c r="E70" s="8">
        <v>4.2948367100333513</v>
      </c>
      <c r="F70" s="8">
        <v>-3.2948367100333513</v>
      </c>
    </row>
    <row r="71" spans="3:6" x14ac:dyDescent="0.25">
      <c r="C71" s="9" t="s">
        <v>214</v>
      </c>
      <c r="D71" s="8">
        <v>5</v>
      </c>
      <c r="E71" s="8">
        <v>3.765655970404771</v>
      </c>
      <c r="F71" s="8">
        <v>1.234344029595229</v>
      </c>
    </row>
    <row r="72" spans="3:6" x14ac:dyDescent="0.25">
      <c r="C72" s="9" t="s">
        <v>215</v>
      </c>
      <c r="D72" s="8">
        <v>5</v>
      </c>
      <c r="E72" s="8">
        <v>4.1151301349552982</v>
      </c>
      <c r="F72" s="8">
        <v>0.88486986504470178</v>
      </c>
    </row>
    <row r="73" spans="3:6" x14ac:dyDescent="0.25">
      <c r="C73" s="9" t="s">
        <v>216</v>
      </c>
      <c r="D73" s="8">
        <v>5</v>
      </c>
      <c r="E73" s="8">
        <v>3.9619938551513125</v>
      </c>
      <c r="F73" s="8">
        <v>1.0380061448486875</v>
      </c>
    </row>
    <row r="74" spans="3:6" x14ac:dyDescent="0.25">
      <c r="C74" s="9" t="s">
        <v>217</v>
      </c>
      <c r="D74" s="8">
        <v>3</v>
      </c>
      <c r="E74" s="8">
        <v>3.77378692543288</v>
      </c>
      <c r="F74" s="8">
        <v>-0.77378692543287997</v>
      </c>
    </row>
    <row r="75" spans="3:6" x14ac:dyDescent="0.25">
      <c r="C75" s="9" t="s">
        <v>218</v>
      </c>
      <c r="D75" s="8">
        <v>4</v>
      </c>
      <c r="E75" s="8">
        <v>4.2444487079659163</v>
      </c>
      <c r="F75" s="8">
        <v>-0.24444870796591633</v>
      </c>
    </row>
    <row r="76" spans="3:6" x14ac:dyDescent="0.25">
      <c r="C76" s="9" t="s">
        <v>219</v>
      </c>
      <c r="D76" s="8">
        <v>3</v>
      </c>
      <c r="E76" s="8">
        <v>3.6829154724514508</v>
      </c>
      <c r="F76" s="8">
        <v>-0.68291547245145079</v>
      </c>
    </row>
    <row r="77" spans="3:6" x14ac:dyDescent="0.25">
      <c r="C77" s="9" t="s">
        <v>220</v>
      </c>
      <c r="D77" s="8">
        <v>5</v>
      </c>
      <c r="E77" s="8">
        <v>3.8825913839746629</v>
      </c>
      <c r="F77" s="8">
        <v>1.1174086160253371</v>
      </c>
    </row>
    <row r="78" spans="3:6" x14ac:dyDescent="0.25">
      <c r="C78" s="9" t="s">
        <v>221</v>
      </c>
      <c r="D78" s="8">
        <v>5</v>
      </c>
      <c r="E78" s="8">
        <v>4.1738180066968065</v>
      </c>
      <c r="F78" s="8">
        <v>0.82618199330319353</v>
      </c>
    </row>
    <row r="79" spans="3:6" x14ac:dyDescent="0.25">
      <c r="C79" s="9" t="s">
        <v>222</v>
      </c>
      <c r="D79" s="8">
        <v>4</v>
      </c>
      <c r="E79" s="8">
        <v>4.2019610796661748</v>
      </c>
      <c r="F79" s="8">
        <v>-0.20196107966617483</v>
      </c>
    </row>
    <row r="80" spans="3:6" x14ac:dyDescent="0.25">
      <c r="C80" s="9" t="s">
        <v>223</v>
      </c>
      <c r="D80" s="8">
        <v>5</v>
      </c>
      <c r="E80" s="8">
        <v>4.4197019810286546</v>
      </c>
      <c r="F80" s="8">
        <v>0.58029801897134536</v>
      </c>
    </row>
    <row r="81" spans="3:6" x14ac:dyDescent="0.25">
      <c r="C81" s="9" t="s">
        <v>224</v>
      </c>
      <c r="D81" s="8">
        <v>4</v>
      </c>
      <c r="E81" s="8">
        <v>3.7406110009643592</v>
      </c>
      <c r="F81" s="8">
        <v>0.25938899903564083</v>
      </c>
    </row>
    <row r="82" spans="3:6" x14ac:dyDescent="0.25">
      <c r="C82" s="9" t="s">
        <v>225</v>
      </c>
      <c r="D82" s="8">
        <v>5</v>
      </c>
      <c r="E82" s="8">
        <v>4.6004301783496864</v>
      </c>
      <c r="F82" s="8">
        <v>0.39956982165031363</v>
      </c>
    </row>
    <row r="83" spans="3:6" x14ac:dyDescent="0.25">
      <c r="C83" s="9" t="s">
        <v>226</v>
      </c>
      <c r="D83" s="8">
        <v>3</v>
      </c>
      <c r="E83" s="8">
        <v>3.649367020022543</v>
      </c>
      <c r="F83" s="8">
        <v>-0.64936702002254298</v>
      </c>
    </row>
    <row r="84" spans="3:6" x14ac:dyDescent="0.25">
      <c r="C84" s="9" t="s">
        <v>458</v>
      </c>
      <c r="D84" s="8">
        <v>4</v>
      </c>
      <c r="E84" s="8">
        <v>4.1111789222705415</v>
      </c>
      <c r="F84" s="8">
        <v>-0.11117892227054149</v>
      </c>
    </row>
    <row r="85" spans="3:6" x14ac:dyDescent="0.25">
      <c r="C85" s="9" t="s">
        <v>427</v>
      </c>
      <c r="D85" s="8">
        <v>4</v>
      </c>
      <c r="E85" s="8">
        <v>4.8951547042031116</v>
      </c>
      <c r="F85" s="8">
        <v>-0.89515470420311161</v>
      </c>
    </row>
    <row r="86" spans="3:6" x14ac:dyDescent="0.25">
      <c r="C86" s="9" t="s">
        <v>227</v>
      </c>
      <c r="D86" s="8">
        <v>3</v>
      </c>
      <c r="E86" s="8">
        <v>4.000705298546035</v>
      </c>
      <c r="F86" s="8">
        <v>-1.000705298546035</v>
      </c>
    </row>
    <row r="87" spans="3:6" x14ac:dyDescent="0.25">
      <c r="C87" s="9" t="s">
        <v>420</v>
      </c>
      <c r="D87" s="8">
        <v>4</v>
      </c>
      <c r="E87" s="8">
        <v>4.0216561393565691</v>
      </c>
      <c r="F87" s="8">
        <v>-2.1656139356569071E-2</v>
      </c>
    </row>
    <row r="88" spans="3:6" x14ac:dyDescent="0.25">
      <c r="C88" s="9" t="s">
        <v>228</v>
      </c>
      <c r="D88" s="8">
        <v>4</v>
      </c>
      <c r="E88" s="8">
        <v>4.1195859915629054</v>
      </c>
      <c r="F88" s="8">
        <v>-0.11958599156290539</v>
      </c>
    </row>
    <row r="89" spans="3:6" x14ac:dyDescent="0.25">
      <c r="C89" s="9" t="s">
        <v>229</v>
      </c>
      <c r="D89" s="8">
        <v>4</v>
      </c>
      <c r="E89" s="8">
        <v>3.9337968912389019</v>
      </c>
      <c r="F89" s="8">
        <v>6.6203108761098139E-2</v>
      </c>
    </row>
    <row r="90" spans="3:6" x14ac:dyDescent="0.25">
      <c r="C90" s="9" t="s">
        <v>230</v>
      </c>
      <c r="D90" s="8">
        <v>5</v>
      </c>
      <c r="E90" s="8">
        <v>4.4419968035177329</v>
      </c>
      <c r="F90" s="8">
        <v>0.55800319648226715</v>
      </c>
    </row>
    <row r="91" spans="3:6" x14ac:dyDescent="0.25">
      <c r="C91" s="9" t="s">
        <v>231</v>
      </c>
      <c r="D91" s="8">
        <v>4</v>
      </c>
      <c r="E91" s="8">
        <v>4.4304413901930619</v>
      </c>
      <c r="F91" s="8">
        <v>-0.43044139019306193</v>
      </c>
    </row>
    <row r="92" spans="3:6" x14ac:dyDescent="0.25">
      <c r="C92" s="9" t="s">
        <v>232</v>
      </c>
      <c r="D92" s="8">
        <v>4</v>
      </c>
      <c r="E92" s="8">
        <v>3.8390351118195021</v>
      </c>
      <c r="F92" s="8">
        <v>0.16096488818049792</v>
      </c>
    </row>
    <row r="93" spans="3:6" x14ac:dyDescent="0.25">
      <c r="C93" s="9" t="s">
        <v>233</v>
      </c>
      <c r="D93" s="8">
        <v>3</v>
      </c>
      <c r="E93" s="8">
        <v>3.2129240254160503</v>
      </c>
      <c r="F93" s="8">
        <v>-0.21292402541605027</v>
      </c>
    </row>
    <row r="94" spans="3:6" x14ac:dyDescent="0.25">
      <c r="C94" s="9" t="s">
        <v>234</v>
      </c>
      <c r="D94" s="8">
        <v>5</v>
      </c>
      <c r="E94" s="8">
        <v>4.3150415455446609</v>
      </c>
      <c r="F94" s="8">
        <v>0.68495845445533909</v>
      </c>
    </row>
    <row r="95" spans="3:6" x14ac:dyDescent="0.25">
      <c r="C95" s="9" t="s">
        <v>441</v>
      </c>
      <c r="D95" s="8">
        <v>3</v>
      </c>
      <c r="E95" s="8">
        <v>4.2471707959836413</v>
      </c>
      <c r="F95" s="8">
        <v>-1.2471707959836413</v>
      </c>
    </row>
    <row r="96" spans="3:6" x14ac:dyDescent="0.25">
      <c r="C96" s="9" t="s">
        <v>235</v>
      </c>
      <c r="D96" s="8">
        <v>5</v>
      </c>
      <c r="E96" s="8">
        <v>3.3390694348248107</v>
      </c>
      <c r="F96" s="8">
        <v>1.6609305651751893</v>
      </c>
    </row>
    <row r="97" spans="3:6" x14ac:dyDescent="0.25">
      <c r="C97" s="9" t="s">
        <v>236</v>
      </c>
      <c r="D97" s="8">
        <v>5</v>
      </c>
      <c r="E97" s="8">
        <v>4.5243075214243884</v>
      </c>
      <c r="F97" s="8">
        <v>0.47569247857561159</v>
      </c>
    </row>
    <row r="98" spans="3:6" x14ac:dyDescent="0.25">
      <c r="C98" s="9" t="s">
        <v>237</v>
      </c>
      <c r="D98" s="8">
        <v>4</v>
      </c>
      <c r="E98" s="8">
        <v>4.2146077189872635</v>
      </c>
      <c r="F98" s="8">
        <v>-0.2146077189872635</v>
      </c>
    </row>
    <row r="99" spans="3:6" x14ac:dyDescent="0.25">
      <c r="C99" s="9" t="s">
        <v>238</v>
      </c>
      <c r="D99" s="8">
        <v>5</v>
      </c>
      <c r="E99" s="8">
        <v>4.3301536916612609</v>
      </c>
      <c r="F99" s="8">
        <v>0.66984630833873915</v>
      </c>
    </row>
    <row r="100" spans="3:6" x14ac:dyDescent="0.25">
      <c r="C100" s="9" t="s">
        <v>239</v>
      </c>
      <c r="D100" s="8">
        <v>4</v>
      </c>
      <c r="E100" s="8">
        <v>3.7370684383262889</v>
      </c>
      <c r="F100" s="8">
        <v>0.26293156167371112</v>
      </c>
    </row>
    <row r="101" spans="3:6" x14ac:dyDescent="0.25">
      <c r="C101" s="9" t="s">
        <v>449</v>
      </c>
      <c r="D101" s="8">
        <v>4</v>
      </c>
      <c r="E101" s="8">
        <v>3.9008674624774624</v>
      </c>
      <c r="F101" s="8">
        <v>9.9132537522537589E-2</v>
      </c>
    </row>
    <row r="102" spans="3:6" x14ac:dyDescent="0.25">
      <c r="C102" s="9" t="s">
        <v>467</v>
      </c>
      <c r="D102" s="8">
        <v>3</v>
      </c>
      <c r="E102" s="8">
        <v>3.5657861899899963</v>
      </c>
      <c r="F102" s="8">
        <v>-0.5657861899899963</v>
      </c>
    </row>
    <row r="103" spans="3:6" x14ac:dyDescent="0.25">
      <c r="C103" s="9" t="s">
        <v>240</v>
      </c>
      <c r="D103" s="8">
        <v>4</v>
      </c>
      <c r="E103" s="8">
        <v>4.2441961634790841</v>
      </c>
      <c r="F103" s="8">
        <v>-0.24419616347908413</v>
      </c>
    </row>
    <row r="104" spans="3:6" x14ac:dyDescent="0.25">
      <c r="C104" s="9" t="s">
        <v>241</v>
      </c>
      <c r="D104" s="8">
        <v>2</v>
      </c>
      <c r="E104" s="8">
        <v>4.3779182170974531</v>
      </c>
      <c r="F104" s="8">
        <v>-2.3779182170974531</v>
      </c>
    </row>
    <row r="105" spans="3:6" x14ac:dyDescent="0.25">
      <c r="C105" s="9" t="s">
        <v>417</v>
      </c>
      <c r="D105" s="8">
        <v>4</v>
      </c>
      <c r="E105" s="8">
        <v>4.2841127064613129</v>
      </c>
      <c r="F105" s="8">
        <v>-0.28411270646131292</v>
      </c>
    </row>
    <row r="106" spans="3:6" x14ac:dyDescent="0.25">
      <c r="C106" s="9" t="s">
        <v>242</v>
      </c>
      <c r="D106" s="8">
        <v>4</v>
      </c>
      <c r="E106" s="8">
        <v>3.6029360077918904</v>
      </c>
      <c r="F106" s="8">
        <v>0.39706399220810962</v>
      </c>
    </row>
    <row r="107" spans="3:6" x14ac:dyDescent="0.25">
      <c r="C107" s="9" t="s">
        <v>243</v>
      </c>
      <c r="D107" s="8">
        <v>4</v>
      </c>
      <c r="E107" s="8">
        <v>4.2868732616400029</v>
      </c>
      <c r="F107" s="8">
        <v>-0.28687326164000293</v>
      </c>
    </row>
    <row r="108" spans="3:6" x14ac:dyDescent="0.25">
      <c r="C108" s="9" t="s">
        <v>244</v>
      </c>
      <c r="D108" s="8">
        <v>5</v>
      </c>
      <c r="E108" s="8">
        <v>4.0191480619567264</v>
      </c>
      <c r="F108" s="8">
        <v>0.98085193804327364</v>
      </c>
    </row>
    <row r="109" spans="3:6" x14ac:dyDescent="0.25">
      <c r="C109" s="9" t="s">
        <v>245</v>
      </c>
      <c r="D109" s="8">
        <v>4</v>
      </c>
      <c r="E109" s="8">
        <v>4.1990831225729952</v>
      </c>
      <c r="F109" s="8">
        <v>-0.19908312257299521</v>
      </c>
    </row>
    <row r="110" spans="3:6" x14ac:dyDescent="0.25">
      <c r="C110" s="9" t="s">
        <v>246</v>
      </c>
      <c r="D110" s="8">
        <v>4</v>
      </c>
      <c r="E110" s="8">
        <v>4.1823012444052718</v>
      </c>
      <c r="F110" s="8">
        <v>-0.18230124440527185</v>
      </c>
    </row>
    <row r="111" spans="3:6" x14ac:dyDescent="0.25">
      <c r="C111" s="9" t="s">
        <v>247</v>
      </c>
      <c r="D111" s="8">
        <v>4</v>
      </c>
      <c r="E111" s="8">
        <v>3.8709930689687364</v>
      </c>
      <c r="F111" s="8">
        <v>0.12900693103126359</v>
      </c>
    </row>
    <row r="112" spans="3:6" x14ac:dyDescent="0.25">
      <c r="C112" s="9" t="s">
        <v>248</v>
      </c>
      <c r="D112" s="8">
        <v>3</v>
      </c>
      <c r="E112" s="8">
        <v>4.0372155104024561</v>
      </c>
      <c r="F112" s="8">
        <v>-1.0372155104024561</v>
      </c>
    </row>
    <row r="113" spans="3:6" x14ac:dyDescent="0.25">
      <c r="C113" s="9" t="s">
        <v>410</v>
      </c>
      <c r="D113" s="8">
        <v>5</v>
      </c>
      <c r="E113" s="8">
        <v>4.1960559113680969</v>
      </c>
      <c r="F113" s="8">
        <v>0.80394408863190314</v>
      </c>
    </row>
    <row r="114" spans="3:6" x14ac:dyDescent="0.25">
      <c r="C114" s="9" t="s">
        <v>249</v>
      </c>
      <c r="D114" s="8">
        <v>4</v>
      </c>
      <c r="E114" s="8">
        <v>3.8738320633566037</v>
      </c>
      <c r="F114" s="8">
        <v>0.12616793664339632</v>
      </c>
    </row>
    <row r="115" spans="3:6" x14ac:dyDescent="0.25">
      <c r="C115" s="9" t="s">
        <v>250</v>
      </c>
      <c r="D115" s="8">
        <v>2</v>
      </c>
      <c r="E115" s="8">
        <v>4.2971364545563979</v>
      </c>
      <c r="F115" s="8">
        <v>-2.2971364545563979</v>
      </c>
    </row>
    <row r="116" spans="3:6" x14ac:dyDescent="0.25">
      <c r="C116" s="9" t="s">
        <v>251</v>
      </c>
      <c r="D116" s="8">
        <v>4</v>
      </c>
      <c r="E116" s="8">
        <v>4.2191112544606701</v>
      </c>
      <c r="F116" s="8">
        <v>-0.21911125446067015</v>
      </c>
    </row>
    <row r="117" spans="3:6" x14ac:dyDescent="0.25">
      <c r="C117" s="9" t="s">
        <v>252</v>
      </c>
      <c r="D117" s="8">
        <v>5</v>
      </c>
      <c r="E117" s="8">
        <v>4.2305118984946892</v>
      </c>
      <c r="F117" s="8">
        <v>0.76948810150531077</v>
      </c>
    </row>
    <row r="118" spans="3:6" x14ac:dyDescent="0.25">
      <c r="C118" s="9" t="s">
        <v>451</v>
      </c>
      <c r="D118" s="8">
        <v>3</v>
      </c>
      <c r="E118" s="8">
        <v>3.6719194098839929</v>
      </c>
      <c r="F118" s="8">
        <v>-0.6719194098839929</v>
      </c>
    </row>
    <row r="119" spans="3:6" x14ac:dyDescent="0.25">
      <c r="C119" s="9" t="s">
        <v>253</v>
      </c>
      <c r="D119" s="8">
        <v>4</v>
      </c>
      <c r="E119" s="8">
        <v>3.7495035772030527</v>
      </c>
      <c r="F119" s="8">
        <v>0.25049642279694728</v>
      </c>
    </row>
    <row r="120" spans="3:6" x14ac:dyDescent="0.25">
      <c r="C120" s="9" t="s">
        <v>254</v>
      </c>
      <c r="D120" s="8">
        <v>4</v>
      </c>
      <c r="E120" s="8">
        <v>3.9368801721831446</v>
      </c>
      <c r="F120" s="8">
        <v>6.3119827816855434E-2</v>
      </c>
    </row>
    <row r="121" spans="3:6" x14ac:dyDescent="0.25">
      <c r="C121" s="9" t="s">
        <v>424</v>
      </c>
      <c r="D121" s="8">
        <v>4</v>
      </c>
      <c r="E121" s="8">
        <v>4.2025157782345675</v>
      </c>
      <c r="F121" s="8">
        <v>-0.20251577823456746</v>
      </c>
    </row>
    <row r="122" spans="3:6" x14ac:dyDescent="0.25">
      <c r="C122" s="9" t="s">
        <v>255</v>
      </c>
      <c r="D122" s="8">
        <v>5</v>
      </c>
      <c r="E122" s="8">
        <v>4.7955401393352259</v>
      </c>
      <c r="F122" s="8">
        <v>0.20445986066477406</v>
      </c>
    </row>
    <row r="123" spans="3:6" x14ac:dyDescent="0.25">
      <c r="C123" s="9" t="s">
        <v>256</v>
      </c>
      <c r="D123" s="8">
        <v>5</v>
      </c>
      <c r="E123" s="8">
        <v>4.6475282174695742</v>
      </c>
      <c r="F123" s="8">
        <v>0.35247178253042577</v>
      </c>
    </row>
    <row r="124" spans="3:6" x14ac:dyDescent="0.25">
      <c r="C124" s="9" t="s">
        <v>459</v>
      </c>
      <c r="D124" s="8">
        <v>3</v>
      </c>
      <c r="E124" s="8">
        <v>3.6715863773412427</v>
      </c>
      <c r="F124" s="8">
        <v>-0.67158637734124271</v>
      </c>
    </row>
    <row r="125" spans="3:6" x14ac:dyDescent="0.25">
      <c r="C125" s="9" t="s">
        <v>257</v>
      </c>
      <c r="D125" s="8">
        <v>3</v>
      </c>
      <c r="E125" s="8">
        <v>4.3589613940738099</v>
      </c>
      <c r="F125" s="8">
        <v>-1.3589613940738099</v>
      </c>
    </row>
    <row r="126" spans="3:6" x14ac:dyDescent="0.25">
      <c r="C126" s="9" t="s">
        <v>258</v>
      </c>
      <c r="D126" s="8">
        <v>4</v>
      </c>
      <c r="E126" s="8">
        <v>4.01423080251105</v>
      </c>
      <c r="F126" s="8">
        <v>-1.4230802511050022E-2</v>
      </c>
    </row>
    <row r="127" spans="3:6" x14ac:dyDescent="0.25">
      <c r="C127" s="9" t="s">
        <v>259</v>
      </c>
      <c r="D127" s="8">
        <v>4</v>
      </c>
      <c r="E127" s="8">
        <v>4.2470416334267593</v>
      </c>
      <c r="F127" s="8">
        <v>-0.24704163342675933</v>
      </c>
    </row>
    <row r="128" spans="3:6" x14ac:dyDescent="0.25">
      <c r="C128" s="9" t="s">
        <v>415</v>
      </c>
      <c r="D128" s="8">
        <v>4</v>
      </c>
      <c r="E128" s="8">
        <v>4.1959798063974212</v>
      </c>
      <c r="F128" s="8">
        <v>-0.19597980639742119</v>
      </c>
    </row>
    <row r="129" spans="3:6" x14ac:dyDescent="0.25">
      <c r="C129" s="9" t="s">
        <v>260</v>
      </c>
      <c r="D129" s="8">
        <v>5</v>
      </c>
      <c r="E129" s="8">
        <v>4.4394963265178609</v>
      </c>
      <c r="F129" s="8">
        <v>0.56050367348213914</v>
      </c>
    </row>
    <row r="130" spans="3:6" x14ac:dyDescent="0.25">
      <c r="C130" s="9" t="s">
        <v>473</v>
      </c>
      <c r="D130" s="8">
        <v>3</v>
      </c>
      <c r="E130" s="8">
        <v>3.8279171381636323</v>
      </c>
      <c r="F130" s="8">
        <v>-0.82791713816363233</v>
      </c>
    </row>
    <row r="131" spans="3:6" x14ac:dyDescent="0.25">
      <c r="C131" s="9" t="s">
        <v>261</v>
      </c>
      <c r="D131" s="8">
        <v>5</v>
      </c>
      <c r="E131" s="8">
        <v>4.4058816467387665</v>
      </c>
      <c r="F131" s="8">
        <v>0.59411835326123352</v>
      </c>
    </row>
    <row r="132" spans="3:6" x14ac:dyDescent="0.25">
      <c r="C132" s="9" t="s">
        <v>262</v>
      </c>
      <c r="D132" s="8">
        <v>3</v>
      </c>
      <c r="E132" s="8">
        <v>3.4520028866329135</v>
      </c>
      <c r="F132" s="8">
        <v>-0.45200288663291355</v>
      </c>
    </row>
    <row r="133" spans="3:6" x14ac:dyDescent="0.25">
      <c r="C133" s="9" t="s">
        <v>263</v>
      </c>
      <c r="D133" s="8">
        <v>4</v>
      </c>
      <c r="E133" s="8">
        <v>4.412440818441401</v>
      </c>
      <c r="F133" s="8">
        <v>-0.41244081844140101</v>
      </c>
    </row>
    <row r="134" spans="3:6" x14ac:dyDescent="0.25">
      <c r="C134" s="9" t="s">
        <v>264</v>
      </c>
      <c r="D134" s="8">
        <v>4</v>
      </c>
      <c r="E134" s="8">
        <v>5.037596314742891</v>
      </c>
      <c r="F134" s="8">
        <v>-1.037596314742891</v>
      </c>
    </row>
    <row r="135" spans="3:6" x14ac:dyDescent="0.25">
      <c r="C135" s="9" t="s">
        <v>265</v>
      </c>
      <c r="D135" s="8">
        <v>1</v>
      </c>
      <c r="E135" s="8">
        <v>4.0332384797720033</v>
      </c>
      <c r="F135" s="8">
        <v>-3.0332384797720033</v>
      </c>
    </row>
    <row r="136" spans="3:6" x14ac:dyDescent="0.25">
      <c r="C136" s="9" t="s">
        <v>455</v>
      </c>
      <c r="D136" s="8">
        <v>1</v>
      </c>
      <c r="E136" s="8">
        <v>4.428166746821212</v>
      </c>
      <c r="F136" s="8">
        <v>-3.428166746821212</v>
      </c>
    </row>
    <row r="137" spans="3:6" x14ac:dyDescent="0.25">
      <c r="C137" s="9" t="s">
        <v>266</v>
      </c>
      <c r="D137" s="8">
        <v>5</v>
      </c>
      <c r="E137" s="8">
        <v>4.1432578097690165</v>
      </c>
      <c r="F137" s="8">
        <v>0.85674219023098352</v>
      </c>
    </row>
    <row r="138" spans="3:6" x14ac:dyDescent="0.25">
      <c r="C138" s="9" t="s">
        <v>267</v>
      </c>
      <c r="D138" s="8">
        <v>2</v>
      </c>
      <c r="E138" s="8">
        <v>4.0144573762224374</v>
      </c>
      <c r="F138" s="8">
        <v>-2.0144573762224374</v>
      </c>
    </row>
    <row r="139" spans="3:6" x14ac:dyDescent="0.25">
      <c r="C139" s="9" t="s">
        <v>268</v>
      </c>
      <c r="D139" s="8">
        <v>3</v>
      </c>
      <c r="E139" s="8">
        <v>3.8112150986713105</v>
      </c>
      <c r="F139" s="8">
        <v>-0.81121509867131047</v>
      </c>
    </row>
    <row r="140" spans="3:6" x14ac:dyDescent="0.25">
      <c r="C140" s="9" t="s">
        <v>269</v>
      </c>
      <c r="D140" s="8">
        <v>3</v>
      </c>
      <c r="E140" s="8">
        <v>3.679532470511397</v>
      </c>
      <c r="F140" s="8">
        <v>-0.67953247051139698</v>
      </c>
    </row>
    <row r="141" spans="3:6" x14ac:dyDescent="0.25">
      <c r="C141" s="9" t="s">
        <v>270</v>
      </c>
      <c r="D141" s="8">
        <v>4</v>
      </c>
      <c r="E141" s="8">
        <v>3.4139719077540964</v>
      </c>
      <c r="F141" s="8">
        <v>0.58602809224590358</v>
      </c>
    </row>
    <row r="142" spans="3:6" x14ac:dyDescent="0.25">
      <c r="C142" s="9" t="s">
        <v>271</v>
      </c>
      <c r="D142" s="8">
        <v>4</v>
      </c>
      <c r="E142" s="8">
        <v>3.7440552210012559</v>
      </c>
      <c r="F142" s="8">
        <v>0.25594477899874413</v>
      </c>
    </row>
    <row r="143" spans="3:6" x14ac:dyDescent="0.25">
      <c r="C143" s="9" t="s">
        <v>272</v>
      </c>
      <c r="D143" s="8">
        <v>3</v>
      </c>
      <c r="E143" s="8">
        <v>3.509478518675941</v>
      </c>
      <c r="F143" s="8">
        <v>-0.50947851867594096</v>
      </c>
    </row>
    <row r="144" spans="3:6" x14ac:dyDescent="0.25">
      <c r="C144" s="9" t="s">
        <v>273</v>
      </c>
      <c r="D144" s="8">
        <v>4</v>
      </c>
      <c r="E144" s="8">
        <v>4.4550607596331906</v>
      </c>
      <c r="F144" s="8">
        <v>-0.45506075963319059</v>
      </c>
    </row>
    <row r="145" spans="3:6" x14ac:dyDescent="0.25">
      <c r="C145" s="9" t="s">
        <v>419</v>
      </c>
      <c r="D145" s="8">
        <v>5</v>
      </c>
      <c r="E145" s="8">
        <v>3.959388124333366</v>
      </c>
      <c r="F145" s="8">
        <v>1.040611875666634</v>
      </c>
    </row>
    <row r="146" spans="3:6" x14ac:dyDescent="0.25">
      <c r="C146" s="9" t="s">
        <v>274</v>
      </c>
      <c r="D146" s="8">
        <v>4</v>
      </c>
      <c r="E146" s="8">
        <v>3.931227608811418</v>
      </c>
      <c r="F146" s="8">
        <v>6.8772391188582027E-2</v>
      </c>
    </row>
    <row r="147" spans="3:6" x14ac:dyDescent="0.25">
      <c r="C147" s="9" t="s">
        <v>275</v>
      </c>
      <c r="D147" s="8">
        <v>3</v>
      </c>
      <c r="E147" s="8">
        <v>4.3341742361071534</v>
      </c>
      <c r="F147" s="8">
        <v>-1.3341742361071534</v>
      </c>
    </row>
    <row r="148" spans="3:6" x14ac:dyDescent="0.25">
      <c r="C148" s="9" t="s">
        <v>276</v>
      </c>
      <c r="D148" s="8">
        <v>4</v>
      </c>
      <c r="E148" s="8">
        <v>4.1226778724005033</v>
      </c>
      <c r="F148" s="8">
        <v>-0.12267787240050332</v>
      </c>
    </row>
    <row r="149" spans="3:6" x14ac:dyDescent="0.25">
      <c r="C149" s="9" t="s">
        <v>277</v>
      </c>
      <c r="D149" s="8">
        <v>5</v>
      </c>
      <c r="E149" s="8">
        <v>4.6170645933531897</v>
      </c>
      <c r="F149" s="8">
        <v>0.38293540664681025</v>
      </c>
    </row>
    <row r="150" spans="3:6" x14ac:dyDescent="0.25">
      <c r="C150" s="9" t="s">
        <v>471</v>
      </c>
      <c r="D150" s="8">
        <v>5</v>
      </c>
      <c r="E150" s="8">
        <v>4.3604687647246818</v>
      </c>
      <c r="F150" s="8">
        <v>0.63953123527531819</v>
      </c>
    </row>
    <row r="151" spans="3:6" x14ac:dyDescent="0.25">
      <c r="C151" s="9" t="s">
        <v>278</v>
      </c>
      <c r="D151" s="8">
        <v>4</v>
      </c>
      <c r="E151" s="8">
        <v>4.3621297227082945</v>
      </c>
      <c r="F151" s="8">
        <v>-0.36212972270829447</v>
      </c>
    </row>
    <row r="152" spans="3:6" x14ac:dyDescent="0.25">
      <c r="C152" s="9" t="s">
        <v>463</v>
      </c>
      <c r="D152" s="8">
        <v>5</v>
      </c>
      <c r="E152" s="8">
        <v>4.3374890781187219</v>
      </c>
      <c r="F152" s="8">
        <v>0.66251092188127814</v>
      </c>
    </row>
    <row r="153" spans="3:6" x14ac:dyDescent="0.25">
      <c r="C153" s="9" t="s">
        <v>450</v>
      </c>
      <c r="D153" s="8">
        <v>2</v>
      </c>
      <c r="E153" s="8">
        <v>3.8773236730737333</v>
      </c>
      <c r="F153" s="8">
        <v>-1.8773236730737333</v>
      </c>
    </row>
    <row r="154" spans="3:6" x14ac:dyDescent="0.25">
      <c r="C154" s="9" t="s">
        <v>279</v>
      </c>
      <c r="D154" s="8">
        <v>5</v>
      </c>
      <c r="E154" s="8">
        <v>4.8188913792289414</v>
      </c>
      <c r="F154" s="8">
        <v>0.1811086207710586</v>
      </c>
    </row>
    <row r="155" spans="3:6" x14ac:dyDescent="0.25">
      <c r="C155" s="9" t="s">
        <v>280</v>
      </c>
      <c r="D155" s="8">
        <v>4</v>
      </c>
      <c r="E155" s="8">
        <v>4.2755856738752369</v>
      </c>
      <c r="F155" s="8">
        <v>-0.27558567387523691</v>
      </c>
    </row>
    <row r="156" spans="3:6" x14ac:dyDescent="0.25">
      <c r="C156" s="9" t="s">
        <v>281</v>
      </c>
      <c r="D156" s="8">
        <v>5</v>
      </c>
      <c r="E156" s="8">
        <v>4.2655433373001239</v>
      </c>
      <c r="F156" s="8">
        <v>0.73445666269987608</v>
      </c>
    </row>
    <row r="157" spans="3:6" x14ac:dyDescent="0.25">
      <c r="C157" s="9" t="s">
        <v>282</v>
      </c>
      <c r="D157" s="8">
        <v>2</v>
      </c>
      <c r="E157" s="8">
        <v>3.2026971312889199</v>
      </c>
      <c r="F157" s="8">
        <v>-1.2026971312889199</v>
      </c>
    </row>
    <row r="158" spans="3:6" x14ac:dyDescent="0.25">
      <c r="C158" s="9" t="s">
        <v>422</v>
      </c>
      <c r="D158" s="8">
        <v>3</v>
      </c>
      <c r="E158" s="8">
        <v>3.75961344190556</v>
      </c>
      <c r="F158" s="8">
        <v>-0.75961344190556002</v>
      </c>
    </row>
    <row r="159" spans="3:6" x14ac:dyDescent="0.25">
      <c r="C159" s="9" t="s">
        <v>283</v>
      </c>
      <c r="D159" s="8">
        <v>4</v>
      </c>
      <c r="E159" s="8">
        <v>3.6952677915248739</v>
      </c>
      <c r="F159" s="8">
        <v>0.30473220847512605</v>
      </c>
    </row>
    <row r="160" spans="3:6" x14ac:dyDescent="0.25">
      <c r="C160" s="9" t="s">
        <v>284</v>
      </c>
      <c r="D160" s="8">
        <v>5</v>
      </c>
      <c r="E160" s="8">
        <v>4.7198381003922902</v>
      </c>
      <c r="F160" s="8">
        <v>0.28016189960770976</v>
      </c>
    </row>
    <row r="161" spans="3:6" x14ac:dyDescent="0.25">
      <c r="C161" s="9" t="s">
        <v>423</v>
      </c>
      <c r="D161" s="8">
        <v>3</v>
      </c>
      <c r="E161" s="8">
        <v>3.2836645367433674</v>
      </c>
      <c r="F161" s="8">
        <v>-0.28366453674336745</v>
      </c>
    </row>
    <row r="162" spans="3:6" x14ac:dyDescent="0.25">
      <c r="C162" s="9" t="s">
        <v>285</v>
      </c>
      <c r="D162" s="8">
        <v>5</v>
      </c>
      <c r="E162" s="8">
        <v>4.2669619948592548</v>
      </c>
      <c r="F162" s="8">
        <v>0.73303800514074524</v>
      </c>
    </row>
    <row r="163" spans="3:6" x14ac:dyDescent="0.25">
      <c r="C163" s="9" t="s">
        <v>286</v>
      </c>
      <c r="D163" s="8">
        <v>5</v>
      </c>
      <c r="E163" s="8">
        <v>3.9353955151381959</v>
      </c>
      <c r="F163" s="8">
        <v>1.0646044848618041</v>
      </c>
    </row>
    <row r="164" spans="3:6" x14ac:dyDescent="0.25">
      <c r="C164" s="9" t="s">
        <v>416</v>
      </c>
      <c r="D164" s="8">
        <v>3</v>
      </c>
      <c r="E164" s="8">
        <v>3.9279903449861875</v>
      </c>
      <c r="F164" s="8">
        <v>-0.92799034498618749</v>
      </c>
    </row>
    <row r="165" spans="3:6" x14ac:dyDescent="0.25">
      <c r="C165" s="9" t="s">
        <v>452</v>
      </c>
      <c r="D165" s="8">
        <v>3</v>
      </c>
      <c r="E165" s="8">
        <v>4.1529982191573556</v>
      </c>
      <c r="F165" s="8">
        <v>-1.1529982191573556</v>
      </c>
    </row>
    <row r="166" spans="3:6" x14ac:dyDescent="0.25">
      <c r="C166" s="9" t="s">
        <v>476</v>
      </c>
      <c r="D166" s="8">
        <v>4</v>
      </c>
      <c r="E166" s="8">
        <v>3.9725777904131969</v>
      </c>
      <c r="F166" s="8">
        <v>2.7422209586803081E-2</v>
      </c>
    </row>
    <row r="167" spans="3:6" x14ac:dyDescent="0.25">
      <c r="C167" s="9" t="s">
        <v>436</v>
      </c>
      <c r="D167" s="8">
        <v>4</v>
      </c>
      <c r="E167" s="8">
        <v>4.3375899965107729</v>
      </c>
      <c r="F167" s="8">
        <v>-0.33758999651077293</v>
      </c>
    </row>
    <row r="168" spans="3:6" x14ac:dyDescent="0.25">
      <c r="C168" s="9" t="s">
        <v>469</v>
      </c>
      <c r="D168" s="8">
        <v>2</v>
      </c>
      <c r="E168" s="8">
        <v>4.0819487902301752</v>
      </c>
      <c r="F168" s="8">
        <v>-2.0819487902301752</v>
      </c>
    </row>
    <row r="169" spans="3:6" x14ac:dyDescent="0.25">
      <c r="C169" s="9" t="s">
        <v>457</v>
      </c>
      <c r="D169" s="8">
        <v>1</v>
      </c>
      <c r="E169" s="8">
        <v>4.1318089129801061</v>
      </c>
      <c r="F169" s="8">
        <v>-3.1318089129801061</v>
      </c>
    </row>
    <row r="170" spans="3:6" x14ac:dyDescent="0.25">
      <c r="C170" s="9" t="s">
        <v>287</v>
      </c>
      <c r="D170" s="8">
        <v>4</v>
      </c>
      <c r="E170" s="8">
        <v>4.3016794385196313</v>
      </c>
      <c r="F170" s="8">
        <v>-0.3016794385196313</v>
      </c>
    </row>
    <row r="171" spans="3:6" x14ac:dyDescent="0.25">
      <c r="C171" s="9" t="s">
        <v>288</v>
      </c>
      <c r="D171" s="8">
        <v>4</v>
      </c>
      <c r="E171" s="8">
        <v>3.714563040401957</v>
      </c>
      <c r="F171" s="8">
        <v>0.28543695959804305</v>
      </c>
    </row>
    <row r="172" spans="3:6" x14ac:dyDescent="0.25">
      <c r="C172" s="9" t="s">
        <v>289</v>
      </c>
      <c r="D172" s="8">
        <v>4</v>
      </c>
      <c r="E172" s="8">
        <v>4.0897118430090966</v>
      </c>
      <c r="F172" s="8">
        <v>-8.9711843009096626E-2</v>
      </c>
    </row>
    <row r="173" spans="3:6" x14ac:dyDescent="0.25">
      <c r="C173" s="9" t="s">
        <v>472</v>
      </c>
      <c r="D173" s="8">
        <v>4</v>
      </c>
      <c r="E173" s="8">
        <v>3.9250164878203768</v>
      </c>
      <c r="F173" s="8">
        <v>7.498351217962318E-2</v>
      </c>
    </row>
    <row r="174" spans="3:6" x14ac:dyDescent="0.25">
      <c r="C174" s="9" t="s">
        <v>456</v>
      </c>
      <c r="D174" s="8">
        <v>4</v>
      </c>
      <c r="E174" s="8">
        <v>4.5992395252709812</v>
      </c>
      <c r="F174" s="8">
        <v>-0.59923952527098123</v>
      </c>
    </row>
    <row r="175" spans="3:6" x14ac:dyDescent="0.25">
      <c r="C175" s="9" t="s">
        <v>290</v>
      </c>
      <c r="D175" s="8">
        <v>5</v>
      </c>
      <c r="E175" s="8">
        <v>4.624814455611209</v>
      </c>
      <c r="F175" s="8">
        <v>0.37518554438879104</v>
      </c>
    </row>
    <row r="176" spans="3:6" x14ac:dyDescent="0.25">
      <c r="C176" s="9" t="s">
        <v>291</v>
      </c>
      <c r="D176" s="8">
        <v>4</v>
      </c>
      <c r="E176" s="8">
        <v>4.1719049892348092</v>
      </c>
      <c r="F176" s="8">
        <v>-0.17190498923480924</v>
      </c>
    </row>
    <row r="177" spans="3:6" x14ac:dyDescent="0.25">
      <c r="C177" s="9" t="s">
        <v>292</v>
      </c>
      <c r="D177" s="8">
        <v>5</v>
      </c>
      <c r="E177" s="8">
        <v>3.9916003688560928</v>
      </c>
      <c r="F177" s="8">
        <v>1.0083996311439072</v>
      </c>
    </row>
    <row r="178" spans="3:6" x14ac:dyDescent="0.25">
      <c r="C178" s="9" t="s">
        <v>293</v>
      </c>
      <c r="D178" s="8">
        <v>1</v>
      </c>
      <c r="E178" s="8">
        <v>4.1165333731766891</v>
      </c>
      <c r="F178" s="8">
        <v>-3.1165333731766891</v>
      </c>
    </row>
    <row r="179" spans="3:6" x14ac:dyDescent="0.25">
      <c r="C179" s="9" t="s">
        <v>294</v>
      </c>
      <c r="D179" s="8">
        <v>5</v>
      </c>
      <c r="E179" s="8">
        <v>3.7182646192610043</v>
      </c>
      <c r="F179" s="8">
        <v>1.2817353807389957</v>
      </c>
    </row>
    <row r="180" spans="3:6" x14ac:dyDescent="0.25">
      <c r="C180" s="9" t="s">
        <v>418</v>
      </c>
      <c r="D180" s="8">
        <v>5</v>
      </c>
      <c r="E180" s="8">
        <v>4.5476882127924885</v>
      </c>
      <c r="F180" s="8">
        <v>0.45231178720751153</v>
      </c>
    </row>
    <row r="181" spans="3:6" x14ac:dyDescent="0.25">
      <c r="C181" s="9" t="s">
        <v>295</v>
      </c>
      <c r="D181" s="8">
        <v>5</v>
      </c>
      <c r="E181" s="8">
        <v>3.8442251726219907</v>
      </c>
      <c r="F181" s="8">
        <v>1.1557748273780093</v>
      </c>
    </row>
    <row r="182" spans="3:6" x14ac:dyDescent="0.25">
      <c r="C182" s="9" t="s">
        <v>296</v>
      </c>
      <c r="D182" s="8">
        <v>3</v>
      </c>
      <c r="E182" s="8">
        <v>3.8734538149906244</v>
      </c>
      <c r="F182" s="8">
        <v>-0.87345381499062436</v>
      </c>
    </row>
    <row r="183" spans="3:6" x14ac:dyDescent="0.25">
      <c r="C183" s="9" t="s">
        <v>297</v>
      </c>
      <c r="D183" s="8">
        <v>3</v>
      </c>
      <c r="E183" s="8">
        <v>4.4674153213109724</v>
      </c>
      <c r="F183" s="8">
        <v>-1.4674153213109724</v>
      </c>
    </row>
    <row r="184" spans="3:6" x14ac:dyDescent="0.25">
      <c r="C184" s="9" t="s">
        <v>439</v>
      </c>
      <c r="D184" s="8">
        <v>4</v>
      </c>
      <c r="E184" s="8">
        <v>4.081732254991338</v>
      </c>
      <c r="F184" s="8">
        <v>-8.173225499133796E-2</v>
      </c>
    </row>
    <row r="185" spans="3:6" x14ac:dyDescent="0.25">
      <c r="C185" s="9" t="s">
        <v>298</v>
      </c>
      <c r="D185" s="8">
        <v>4</v>
      </c>
      <c r="E185" s="8">
        <v>3.7843786776956145</v>
      </c>
      <c r="F185" s="8">
        <v>0.21562132230438547</v>
      </c>
    </row>
    <row r="186" spans="3:6" x14ac:dyDescent="0.25">
      <c r="C186" s="9" t="s">
        <v>299</v>
      </c>
      <c r="D186" s="8">
        <v>1</v>
      </c>
      <c r="E186" s="8">
        <v>4.1381975890286942</v>
      </c>
      <c r="F186" s="8">
        <v>-3.1381975890286942</v>
      </c>
    </row>
    <row r="187" spans="3:6" x14ac:dyDescent="0.25">
      <c r="C187" s="9" t="s">
        <v>443</v>
      </c>
      <c r="D187" s="8">
        <v>5</v>
      </c>
      <c r="E187" s="8">
        <v>4.1390973455722584</v>
      </c>
      <c r="F187" s="8">
        <v>0.86090265442774161</v>
      </c>
    </row>
    <row r="188" spans="3:6" x14ac:dyDescent="0.25">
      <c r="C188" s="9" t="s">
        <v>444</v>
      </c>
      <c r="D188" s="8">
        <v>5</v>
      </c>
      <c r="E188" s="8">
        <v>3.8893597886708551</v>
      </c>
      <c r="F188" s="8">
        <v>1.1106402113291449</v>
      </c>
    </row>
    <row r="189" spans="3:6" x14ac:dyDescent="0.25">
      <c r="C189" s="9" t="s">
        <v>300</v>
      </c>
      <c r="D189" s="8">
        <v>4</v>
      </c>
      <c r="E189" s="8">
        <v>4.3166352139954798</v>
      </c>
      <c r="F189" s="8">
        <v>-0.31663521399547978</v>
      </c>
    </row>
    <row r="190" spans="3:6" x14ac:dyDescent="0.25">
      <c r="C190" s="9" t="s">
        <v>301</v>
      </c>
      <c r="D190" s="8">
        <v>5</v>
      </c>
      <c r="E190" s="8">
        <v>3.6374576772032872</v>
      </c>
      <c r="F190" s="8">
        <v>1.3625423227967128</v>
      </c>
    </row>
    <row r="191" spans="3:6" x14ac:dyDescent="0.25">
      <c r="C191" s="9" t="s">
        <v>302</v>
      </c>
      <c r="D191" s="8">
        <v>5</v>
      </c>
      <c r="E191" s="8">
        <v>4.1603134661599963</v>
      </c>
      <c r="F191" s="8">
        <v>0.83968653384000369</v>
      </c>
    </row>
    <row r="192" spans="3:6" x14ac:dyDescent="0.25">
      <c r="C192" s="9" t="s">
        <v>303</v>
      </c>
      <c r="D192" s="8">
        <v>5</v>
      </c>
      <c r="E192" s="8">
        <v>3.951734778175136</v>
      </c>
      <c r="F192" s="8">
        <v>1.048265221824864</v>
      </c>
    </row>
    <row r="193" spans="3:6" x14ac:dyDescent="0.25">
      <c r="C193" s="9" t="s">
        <v>304</v>
      </c>
      <c r="D193" s="8">
        <v>5</v>
      </c>
      <c r="E193" s="8">
        <v>3.922425556858637</v>
      </c>
      <c r="F193" s="8">
        <v>1.077574443141363</v>
      </c>
    </row>
    <row r="194" spans="3:6" x14ac:dyDescent="0.25">
      <c r="C194" s="9" t="s">
        <v>305</v>
      </c>
      <c r="D194" s="8">
        <v>5</v>
      </c>
      <c r="E194" s="8">
        <v>3.7099236861662579</v>
      </c>
      <c r="F194" s="8">
        <v>1.2900763138337421</v>
      </c>
    </row>
    <row r="195" spans="3:6" x14ac:dyDescent="0.25">
      <c r="C195" s="9" t="s">
        <v>306</v>
      </c>
      <c r="D195" s="8">
        <v>5</v>
      </c>
      <c r="E195" s="8">
        <v>3.6258593122558542</v>
      </c>
      <c r="F195" s="8">
        <v>1.3741406877441458</v>
      </c>
    </row>
    <row r="196" spans="3:6" x14ac:dyDescent="0.25">
      <c r="C196" s="9" t="s">
        <v>307</v>
      </c>
      <c r="D196" s="8">
        <v>5</v>
      </c>
      <c r="E196" s="8">
        <v>4.019941522393256</v>
      </c>
      <c r="F196" s="8">
        <v>0.98005847760674403</v>
      </c>
    </row>
    <row r="197" spans="3:6" x14ac:dyDescent="0.25">
      <c r="C197" s="9" t="s">
        <v>308</v>
      </c>
      <c r="D197" s="8">
        <v>5</v>
      </c>
      <c r="E197" s="8">
        <v>4.3897903173696609</v>
      </c>
      <c r="F197" s="8">
        <v>0.61020968263033915</v>
      </c>
    </row>
    <row r="198" spans="3:6" x14ac:dyDescent="0.25">
      <c r="C198" s="9" t="s">
        <v>309</v>
      </c>
      <c r="D198" s="8">
        <v>3</v>
      </c>
      <c r="E198" s="8">
        <v>3.9917979896399527</v>
      </c>
      <c r="F198" s="8">
        <v>-0.99179798963995269</v>
      </c>
    </row>
    <row r="199" spans="3:6" x14ac:dyDescent="0.25">
      <c r="C199" s="9" t="s">
        <v>310</v>
      </c>
      <c r="D199" s="8">
        <v>4</v>
      </c>
      <c r="E199" s="8">
        <v>4.6237353429955093</v>
      </c>
      <c r="F199" s="8">
        <v>-0.62373534299550926</v>
      </c>
    </row>
    <row r="200" spans="3:6" x14ac:dyDescent="0.25">
      <c r="C200" s="9" t="s">
        <v>311</v>
      </c>
      <c r="D200" s="8">
        <v>4</v>
      </c>
      <c r="E200" s="8">
        <v>4.1717435354573356</v>
      </c>
      <c r="F200" s="8">
        <v>-0.17174353545733556</v>
      </c>
    </row>
    <row r="201" spans="3:6" x14ac:dyDescent="0.25">
      <c r="C201" s="9" t="s">
        <v>312</v>
      </c>
      <c r="D201" s="8">
        <v>4</v>
      </c>
      <c r="E201" s="8">
        <v>4.3986305307280329</v>
      </c>
      <c r="F201" s="8">
        <v>-0.39863053072803289</v>
      </c>
    </row>
    <row r="202" spans="3:6" x14ac:dyDescent="0.25">
      <c r="C202" s="9" t="s">
        <v>313</v>
      </c>
      <c r="D202" s="8">
        <v>5</v>
      </c>
      <c r="E202" s="8">
        <v>3.7700122288660221</v>
      </c>
      <c r="F202" s="8">
        <v>1.2299877711339779</v>
      </c>
    </row>
    <row r="203" spans="3:6" x14ac:dyDescent="0.25">
      <c r="C203" s="9" t="s">
        <v>440</v>
      </c>
      <c r="D203" s="8">
        <v>3</v>
      </c>
      <c r="E203" s="8">
        <v>3.7695638530128233</v>
      </c>
      <c r="F203" s="8">
        <v>-0.76956385301282326</v>
      </c>
    </row>
    <row r="204" spans="3:6" x14ac:dyDescent="0.25">
      <c r="C204" s="9" t="s">
        <v>314</v>
      </c>
      <c r="D204" s="8">
        <v>3</v>
      </c>
      <c r="E204" s="8">
        <v>3.9793448834037668</v>
      </c>
      <c r="F204" s="8">
        <v>-0.9793448834037668</v>
      </c>
    </row>
    <row r="205" spans="3:6" x14ac:dyDescent="0.25">
      <c r="C205" s="9" t="s">
        <v>315</v>
      </c>
      <c r="D205" s="8">
        <v>4</v>
      </c>
      <c r="E205" s="8">
        <v>3.3928630276266896</v>
      </c>
      <c r="F205" s="8">
        <v>0.60713697237331044</v>
      </c>
    </row>
    <row r="206" spans="3:6" x14ac:dyDescent="0.25">
      <c r="C206" s="9" t="s">
        <v>462</v>
      </c>
      <c r="D206" s="8">
        <v>4</v>
      </c>
      <c r="E206" s="8">
        <v>3.8997017778836578</v>
      </c>
      <c r="F206" s="8">
        <v>0.10029822211634221</v>
      </c>
    </row>
    <row r="207" spans="3:6" x14ac:dyDescent="0.25">
      <c r="C207" s="9" t="s">
        <v>316</v>
      </c>
      <c r="D207" s="8">
        <v>4</v>
      </c>
      <c r="E207" s="8">
        <v>3.851991564743781</v>
      </c>
      <c r="F207" s="8">
        <v>0.14800843525621898</v>
      </c>
    </row>
    <row r="208" spans="3:6" x14ac:dyDescent="0.25">
      <c r="C208" s="9" t="s">
        <v>317</v>
      </c>
      <c r="D208" s="8">
        <v>3</v>
      </c>
      <c r="E208" s="8">
        <v>3.1754926757570088</v>
      </c>
      <c r="F208" s="8">
        <v>-0.17549267575700878</v>
      </c>
    </row>
    <row r="209" spans="3:6" x14ac:dyDescent="0.25">
      <c r="C209" s="9" t="s">
        <v>435</v>
      </c>
      <c r="D209" s="8">
        <v>5</v>
      </c>
      <c r="E209" s="8">
        <v>4.4474690081931385</v>
      </c>
      <c r="F209" s="8">
        <v>0.55253099180686149</v>
      </c>
    </row>
    <row r="210" spans="3:6" x14ac:dyDescent="0.25">
      <c r="C210" s="9" t="s">
        <v>318</v>
      </c>
      <c r="D210" s="8">
        <v>4</v>
      </c>
      <c r="E210" s="8">
        <v>4.1286715069908979</v>
      </c>
      <c r="F210" s="8">
        <v>-0.12867150699089791</v>
      </c>
    </row>
    <row r="211" spans="3:6" x14ac:dyDescent="0.25">
      <c r="C211" s="9" t="s">
        <v>319</v>
      </c>
      <c r="D211" s="8">
        <v>4</v>
      </c>
      <c r="E211" s="8">
        <v>3.8588378719976908</v>
      </c>
      <c r="F211" s="8">
        <v>0.14116212800230921</v>
      </c>
    </row>
    <row r="212" spans="3:6" x14ac:dyDescent="0.25">
      <c r="C212" s="9" t="s">
        <v>320</v>
      </c>
      <c r="D212" s="8">
        <v>5</v>
      </c>
      <c r="E212" s="8">
        <v>4.2702081071177664</v>
      </c>
      <c r="F212" s="8">
        <v>0.72979189288223356</v>
      </c>
    </row>
    <row r="213" spans="3:6" x14ac:dyDescent="0.25">
      <c r="C213" s="9" t="s">
        <v>321</v>
      </c>
      <c r="D213" s="8">
        <v>2</v>
      </c>
      <c r="E213" s="8">
        <v>4.0701352435233522</v>
      </c>
      <c r="F213" s="8">
        <v>-2.0701352435233522</v>
      </c>
    </row>
    <row r="214" spans="3:6" x14ac:dyDescent="0.25">
      <c r="C214" s="9" t="s">
        <v>322</v>
      </c>
      <c r="D214" s="8">
        <v>4</v>
      </c>
      <c r="E214" s="8">
        <v>4.1361677951835736</v>
      </c>
      <c r="F214" s="8">
        <v>-0.13616779518357358</v>
      </c>
    </row>
    <row r="215" spans="3:6" x14ac:dyDescent="0.25">
      <c r="C215" s="9" t="s">
        <v>414</v>
      </c>
      <c r="D215" s="8">
        <v>5</v>
      </c>
      <c r="E215" s="8">
        <v>4.0589313144620904</v>
      </c>
      <c r="F215" s="8">
        <v>0.94106868553790957</v>
      </c>
    </row>
    <row r="216" spans="3:6" x14ac:dyDescent="0.25">
      <c r="C216" s="9" t="s">
        <v>323</v>
      </c>
      <c r="D216" s="8">
        <v>2</v>
      </c>
      <c r="E216" s="8">
        <v>3.8332486958321836</v>
      </c>
      <c r="F216" s="8">
        <v>-1.8332486958321836</v>
      </c>
    </row>
    <row r="217" spans="3:6" x14ac:dyDescent="0.25">
      <c r="C217" s="9" t="s">
        <v>324</v>
      </c>
      <c r="D217" s="8">
        <v>4</v>
      </c>
      <c r="E217" s="8">
        <v>3.5446731032665246</v>
      </c>
      <c r="F217" s="8">
        <v>0.45532689673347537</v>
      </c>
    </row>
    <row r="218" spans="3:6" x14ac:dyDescent="0.25">
      <c r="C218" s="9" t="s">
        <v>325</v>
      </c>
      <c r="D218" s="8">
        <v>5</v>
      </c>
      <c r="E218" s="8">
        <v>3.5268430118517204</v>
      </c>
      <c r="F218" s="8">
        <v>1.4731569881482796</v>
      </c>
    </row>
    <row r="219" spans="3:6" x14ac:dyDescent="0.25">
      <c r="C219" s="9" t="s">
        <v>326</v>
      </c>
      <c r="D219" s="8">
        <v>3</v>
      </c>
      <c r="E219" s="8">
        <v>4.1649831393956953</v>
      </c>
      <c r="F219" s="8">
        <v>-1.1649831393956953</v>
      </c>
    </row>
    <row r="220" spans="3:6" x14ac:dyDescent="0.25">
      <c r="C220" s="9" t="s">
        <v>327</v>
      </c>
      <c r="D220" s="8">
        <v>2</v>
      </c>
      <c r="E220" s="8">
        <v>3.3042785080789767</v>
      </c>
      <c r="F220" s="8">
        <v>-1.3042785080789767</v>
      </c>
    </row>
    <row r="221" spans="3:6" x14ac:dyDescent="0.25">
      <c r="C221" s="9" t="s">
        <v>328</v>
      </c>
      <c r="D221" s="8">
        <v>3</v>
      </c>
      <c r="E221" s="8">
        <v>3.8043839580601921</v>
      </c>
      <c r="F221" s="8">
        <v>-0.80438395806019214</v>
      </c>
    </row>
    <row r="222" spans="3:6" x14ac:dyDescent="0.25">
      <c r="C222" s="9" t="s">
        <v>329</v>
      </c>
      <c r="D222" s="8">
        <v>5</v>
      </c>
      <c r="E222" s="8">
        <v>4.1341764609731442</v>
      </c>
      <c r="F222" s="8">
        <v>0.86582353902685583</v>
      </c>
    </row>
    <row r="223" spans="3:6" x14ac:dyDescent="0.25">
      <c r="C223" s="9" t="s">
        <v>330</v>
      </c>
      <c r="D223" s="8">
        <v>4</v>
      </c>
      <c r="E223" s="8">
        <v>4.5361854100347347</v>
      </c>
      <c r="F223" s="8">
        <v>-0.53618541003473474</v>
      </c>
    </row>
    <row r="224" spans="3:6" x14ac:dyDescent="0.25">
      <c r="C224" s="9" t="s">
        <v>331</v>
      </c>
      <c r="D224" s="8">
        <v>5</v>
      </c>
      <c r="E224" s="8">
        <v>4.1795769200328889</v>
      </c>
      <c r="F224" s="8">
        <v>0.82042307996711106</v>
      </c>
    </row>
    <row r="225" spans="3:6" x14ac:dyDescent="0.25">
      <c r="C225" s="9" t="s">
        <v>332</v>
      </c>
      <c r="D225" s="8">
        <v>5</v>
      </c>
      <c r="E225" s="8">
        <v>4.2270110482793353</v>
      </c>
      <c r="F225" s="8">
        <v>0.77298895172066473</v>
      </c>
    </row>
    <row r="226" spans="3:6" x14ac:dyDescent="0.25">
      <c r="C226" s="9" t="s">
        <v>333</v>
      </c>
      <c r="D226" s="8">
        <v>5</v>
      </c>
      <c r="E226" s="8">
        <v>4.2860899726974884</v>
      </c>
      <c r="F226" s="8">
        <v>0.71391002730251163</v>
      </c>
    </row>
    <row r="227" spans="3:6" x14ac:dyDescent="0.25">
      <c r="C227" s="9" t="s">
        <v>334</v>
      </c>
      <c r="D227" s="8">
        <v>5</v>
      </c>
      <c r="E227" s="8">
        <v>3.7361042408388454</v>
      </c>
      <c r="F227" s="8">
        <v>1.2638957591611546</v>
      </c>
    </row>
    <row r="228" spans="3:6" x14ac:dyDescent="0.25">
      <c r="C228" s="9" t="s">
        <v>464</v>
      </c>
      <c r="D228" s="8">
        <v>5</v>
      </c>
      <c r="E228" s="8">
        <v>4.4165839146615378</v>
      </c>
      <c r="F228" s="8">
        <v>0.58341608533846223</v>
      </c>
    </row>
    <row r="229" spans="3:6" x14ac:dyDescent="0.25">
      <c r="C229" s="9" t="s">
        <v>335</v>
      </c>
      <c r="D229" s="8">
        <v>3</v>
      </c>
      <c r="E229" s="8">
        <v>3.090639404070961</v>
      </c>
      <c r="F229" s="8">
        <v>-9.0639404070961049E-2</v>
      </c>
    </row>
    <row r="230" spans="3:6" x14ac:dyDescent="0.25">
      <c r="C230" s="9" t="s">
        <v>425</v>
      </c>
      <c r="D230" s="8">
        <v>4</v>
      </c>
      <c r="E230" s="8">
        <v>3.8444956118001037</v>
      </c>
      <c r="F230" s="8">
        <v>0.15550438819989632</v>
      </c>
    </row>
    <row r="231" spans="3:6" x14ac:dyDescent="0.25">
      <c r="C231" s="9" t="s">
        <v>336</v>
      </c>
      <c r="D231" s="8">
        <v>5</v>
      </c>
      <c r="E231" s="8">
        <v>4.4442940993003406</v>
      </c>
      <c r="F231" s="8">
        <v>0.55570590069965942</v>
      </c>
    </row>
    <row r="232" spans="3:6" x14ac:dyDescent="0.25">
      <c r="C232" s="9" t="s">
        <v>337</v>
      </c>
      <c r="D232" s="8">
        <v>4</v>
      </c>
      <c r="E232" s="8">
        <v>3.9232163579266057</v>
      </c>
      <c r="F232" s="8">
        <v>7.6783642073394276E-2</v>
      </c>
    </row>
    <row r="233" spans="3:6" x14ac:dyDescent="0.25">
      <c r="C233" s="9" t="s">
        <v>338</v>
      </c>
      <c r="D233" s="8">
        <v>5</v>
      </c>
      <c r="E233" s="8">
        <v>4.577268263239465</v>
      </c>
      <c r="F233" s="8">
        <v>0.42273173676053499</v>
      </c>
    </row>
    <row r="234" spans="3:6" x14ac:dyDescent="0.25">
      <c r="C234" s="9" t="s">
        <v>429</v>
      </c>
      <c r="D234" s="8">
        <v>5</v>
      </c>
      <c r="E234" s="8">
        <v>4.6850998070115937</v>
      </c>
      <c r="F234" s="8">
        <v>0.31490019298840632</v>
      </c>
    </row>
    <row r="235" spans="3:6" x14ac:dyDescent="0.25">
      <c r="C235" s="9" t="s">
        <v>339</v>
      </c>
      <c r="D235" s="8">
        <v>5</v>
      </c>
      <c r="E235" s="8">
        <v>4.1833568172329674</v>
      </c>
      <c r="F235" s="8">
        <v>0.81664318276703263</v>
      </c>
    </row>
    <row r="236" spans="3:6" x14ac:dyDescent="0.25">
      <c r="C236" s="9" t="s">
        <v>340</v>
      </c>
      <c r="D236" s="8">
        <v>4</v>
      </c>
      <c r="E236" s="8">
        <v>3.6077639369005845</v>
      </c>
      <c r="F236" s="8">
        <v>0.3922360630994155</v>
      </c>
    </row>
    <row r="237" spans="3:6" x14ac:dyDescent="0.25">
      <c r="C237" s="9" t="s">
        <v>341</v>
      </c>
      <c r="D237" s="8">
        <v>5</v>
      </c>
      <c r="E237" s="8">
        <v>4.094602625992442</v>
      </c>
      <c r="F237" s="8">
        <v>0.90539737400755804</v>
      </c>
    </row>
    <row r="238" spans="3:6" x14ac:dyDescent="0.25">
      <c r="C238" s="9" t="s">
        <v>342</v>
      </c>
      <c r="D238" s="8">
        <v>2</v>
      </c>
      <c r="E238" s="8">
        <v>4.3139106818850577</v>
      </c>
      <c r="F238" s="8">
        <v>-2.3139106818850577</v>
      </c>
    </row>
    <row r="239" spans="3:6" x14ac:dyDescent="0.25">
      <c r="C239" s="9" t="s">
        <v>343</v>
      </c>
      <c r="D239" s="8">
        <v>5</v>
      </c>
      <c r="E239" s="8">
        <v>4.0649415742620549</v>
      </c>
      <c r="F239" s="8">
        <v>0.93505842573794506</v>
      </c>
    </row>
    <row r="240" spans="3:6" x14ac:dyDescent="0.25">
      <c r="C240" s="9" t="s">
        <v>470</v>
      </c>
      <c r="D240" s="8">
        <v>2</v>
      </c>
      <c r="E240" s="8">
        <v>3.7164549815261418</v>
      </c>
      <c r="F240" s="8">
        <v>-1.7164549815261418</v>
      </c>
    </row>
    <row r="241" spans="3:6" x14ac:dyDescent="0.25">
      <c r="C241" s="9" t="s">
        <v>344</v>
      </c>
      <c r="D241" s="8">
        <v>4</v>
      </c>
      <c r="E241" s="8">
        <v>3.6026477636268934</v>
      </c>
      <c r="F241" s="8">
        <v>0.39735223637310657</v>
      </c>
    </row>
    <row r="242" spans="3:6" x14ac:dyDescent="0.25">
      <c r="C242" s="9" t="s">
        <v>345</v>
      </c>
      <c r="D242" s="8">
        <v>5</v>
      </c>
      <c r="E242" s="8">
        <v>4.215686123634022</v>
      </c>
      <c r="F242" s="8">
        <v>0.78431387636597805</v>
      </c>
    </row>
    <row r="243" spans="3:6" x14ac:dyDescent="0.25">
      <c r="C243" s="9" t="s">
        <v>465</v>
      </c>
      <c r="D243" s="8">
        <v>5</v>
      </c>
      <c r="E243" s="8">
        <v>3.5678156847926994</v>
      </c>
      <c r="F243" s="8">
        <v>1.4321843152073006</v>
      </c>
    </row>
    <row r="244" spans="3:6" x14ac:dyDescent="0.25">
      <c r="C244" s="9" t="s">
        <v>346</v>
      </c>
      <c r="D244" s="8">
        <v>4</v>
      </c>
      <c r="E244" s="8">
        <v>4.4726437410459665</v>
      </c>
      <c r="F244" s="8">
        <v>-0.47264374104596651</v>
      </c>
    </row>
    <row r="245" spans="3:6" x14ac:dyDescent="0.25">
      <c r="C245" s="9" t="s">
        <v>347</v>
      </c>
      <c r="D245" s="8">
        <v>5</v>
      </c>
      <c r="E245" s="8">
        <v>3.923668542181534</v>
      </c>
      <c r="F245" s="8">
        <v>1.076331457818466</v>
      </c>
    </row>
    <row r="246" spans="3:6" x14ac:dyDescent="0.25">
      <c r="C246" s="9" t="s">
        <v>348</v>
      </c>
      <c r="D246" s="8">
        <v>5</v>
      </c>
      <c r="E246" s="8">
        <v>4.3047990582489728</v>
      </c>
      <c r="F246" s="8">
        <v>0.6952009417510272</v>
      </c>
    </row>
    <row r="247" spans="3:6" x14ac:dyDescent="0.25">
      <c r="C247" s="9" t="s">
        <v>349</v>
      </c>
      <c r="D247" s="8">
        <v>4</v>
      </c>
      <c r="E247" s="8">
        <v>3.6886769288850338</v>
      </c>
      <c r="F247" s="8">
        <v>0.31132307111496615</v>
      </c>
    </row>
    <row r="248" spans="3:6" x14ac:dyDescent="0.25">
      <c r="C248" s="9" t="s">
        <v>431</v>
      </c>
      <c r="D248" s="8">
        <v>4</v>
      </c>
      <c r="E248" s="8">
        <v>4.2013114447536539</v>
      </c>
      <c r="F248" s="8">
        <v>-0.20131144475365392</v>
      </c>
    </row>
    <row r="249" spans="3:6" x14ac:dyDescent="0.25">
      <c r="C249" s="9" t="s">
        <v>350</v>
      </c>
      <c r="D249" s="8">
        <v>4</v>
      </c>
      <c r="E249" s="8">
        <v>3.3736408490091021</v>
      </c>
      <c r="F249" s="8">
        <v>0.62635915099089789</v>
      </c>
    </row>
    <row r="250" spans="3:6" x14ac:dyDescent="0.25">
      <c r="C250" s="9" t="s">
        <v>351</v>
      </c>
      <c r="D250" s="8">
        <v>5</v>
      </c>
      <c r="E250" s="8">
        <v>4.2324998444489648</v>
      </c>
      <c r="F250" s="8">
        <v>0.76750015555103523</v>
      </c>
    </row>
    <row r="251" spans="3:6" x14ac:dyDescent="0.25">
      <c r="C251" s="9" t="s">
        <v>352</v>
      </c>
      <c r="D251" s="8">
        <v>4</v>
      </c>
      <c r="E251" s="8">
        <v>3.7114682280239606</v>
      </c>
      <c r="F251" s="8">
        <v>0.28853177197603941</v>
      </c>
    </row>
    <row r="252" spans="3:6" x14ac:dyDescent="0.25">
      <c r="C252" s="9" t="s">
        <v>426</v>
      </c>
      <c r="D252" s="8">
        <v>4</v>
      </c>
      <c r="E252" s="8">
        <v>4.3724817818940407</v>
      </c>
      <c r="F252" s="8">
        <v>-0.37248178189404069</v>
      </c>
    </row>
    <row r="253" spans="3:6" x14ac:dyDescent="0.25">
      <c r="C253" s="9" t="s">
        <v>353</v>
      </c>
      <c r="D253" s="8">
        <v>5</v>
      </c>
      <c r="E253" s="8">
        <v>4.0676856228400098</v>
      </c>
      <c r="F253" s="8">
        <v>0.93231437715999022</v>
      </c>
    </row>
    <row r="254" spans="3:6" x14ac:dyDescent="0.25">
      <c r="C254" s="9" t="s">
        <v>354</v>
      </c>
      <c r="D254" s="8">
        <v>5</v>
      </c>
      <c r="E254" s="8">
        <v>3.9727858821051898</v>
      </c>
      <c r="F254" s="8">
        <v>1.0272141178948102</v>
      </c>
    </row>
    <row r="255" spans="3:6" x14ac:dyDescent="0.25">
      <c r="C255" s="9" t="s">
        <v>355</v>
      </c>
      <c r="D255" s="8">
        <v>5</v>
      </c>
      <c r="E255" s="8">
        <v>4.2433102515551946</v>
      </c>
      <c r="F255" s="8">
        <v>0.75668974844480541</v>
      </c>
    </row>
    <row r="256" spans="3:6" x14ac:dyDescent="0.25">
      <c r="C256" s="9" t="s">
        <v>356</v>
      </c>
      <c r="D256" s="8">
        <v>5</v>
      </c>
      <c r="E256" s="8">
        <v>4.4225226262576243</v>
      </c>
      <c r="F256" s="8">
        <v>0.57747737374237573</v>
      </c>
    </row>
    <row r="257" spans="3:6" x14ac:dyDescent="0.25">
      <c r="C257" s="9" t="s">
        <v>357</v>
      </c>
      <c r="D257" s="8">
        <v>5</v>
      </c>
      <c r="E257" s="8">
        <v>4.3894487149449599</v>
      </c>
      <c r="F257" s="8">
        <v>0.61055128505504008</v>
      </c>
    </row>
    <row r="258" spans="3:6" x14ac:dyDescent="0.25">
      <c r="C258" s="9" t="s">
        <v>358</v>
      </c>
      <c r="D258" s="8">
        <v>5</v>
      </c>
      <c r="E258" s="8">
        <v>4.4415064500901114</v>
      </c>
      <c r="F258" s="8">
        <v>0.55849354990988864</v>
      </c>
    </row>
    <row r="259" spans="3:6" x14ac:dyDescent="0.25">
      <c r="C259" s="9" t="s">
        <v>359</v>
      </c>
      <c r="D259" s="8">
        <v>5</v>
      </c>
      <c r="E259" s="8">
        <v>4.1037067576907589</v>
      </c>
      <c r="F259" s="8">
        <v>0.89629324230924112</v>
      </c>
    </row>
    <row r="260" spans="3:6" x14ac:dyDescent="0.25">
      <c r="C260" s="9" t="s">
        <v>360</v>
      </c>
      <c r="D260" s="8">
        <v>5</v>
      </c>
      <c r="E260" s="8">
        <v>4.0949287993591943</v>
      </c>
      <c r="F260" s="8">
        <v>0.90507120064080571</v>
      </c>
    </row>
    <row r="261" spans="3:6" x14ac:dyDescent="0.25">
      <c r="C261" s="9" t="s">
        <v>361</v>
      </c>
      <c r="D261" s="8">
        <v>5</v>
      </c>
      <c r="E261" s="8">
        <v>4.6050809506971229</v>
      </c>
      <c r="F261" s="8">
        <v>0.39491904930287713</v>
      </c>
    </row>
    <row r="262" spans="3:6" x14ac:dyDescent="0.25">
      <c r="C262" s="9" t="s">
        <v>468</v>
      </c>
      <c r="D262" s="8">
        <v>3</v>
      </c>
      <c r="E262" s="8">
        <v>4.1019030696668644</v>
      </c>
      <c r="F262" s="8">
        <v>-1.1019030696668644</v>
      </c>
    </row>
    <row r="263" spans="3:6" x14ac:dyDescent="0.25">
      <c r="C263" s="9" t="s">
        <v>362</v>
      </c>
      <c r="D263" s="8">
        <v>4</v>
      </c>
      <c r="E263" s="8">
        <v>3.9327060080489433</v>
      </c>
      <c r="F263" s="8">
        <v>6.7293991951056675E-2</v>
      </c>
    </row>
    <row r="264" spans="3:6" x14ac:dyDescent="0.25">
      <c r="C264" s="9" t="s">
        <v>363</v>
      </c>
      <c r="D264" s="8">
        <v>5</v>
      </c>
      <c r="E264" s="8">
        <v>3.8765172221057766</v>
      </c>
      <c r="F264" s="8">
        <v>1.1234827778942234</v>
      </c>
    </row>
    <row r="265" spans="3:6" x14ac:dyDescent="0.25">
      <c r="C265" s="9" t="s">
        <v>432</v>
      </c>
      <c r="D265" s="8">
        <v>5</v>
      </c>
      <c r="E265" s="8">
        <v>3.9046000174872901</v>
      </c>
      <c r="F265" s="8">
        <v>1.0953999825127099</v>
      </c>
    </row>
    <row r="266" spans="3:6" x14ac:dyDescent="0.25">
      <c r="C266" s="9" t="s">
        <v>364</v>
      </c>
      <c r="D266" s="8">
        <v>5</v>
      </c>
      <c r="E266" s="8">
        <v>3.7616709093523406</v>
      </c>
      <c r="F266" s="8">
        <v>1.2383290906476594</v>
      </c>
    </row>
    <row r="267" spans="3:6" x14ac:dyDescent="0.25">
      <c r="C267" s="9" t="s">
        <v>411</v>
      </c>
      <c r="D267" s="8">
        <v>4</v>
      </c>
      <c r="E267" s="8">
        <v>3.7854482021597939</v>
      </c>
      <c r="F267" s="8">
        <v>0.21455179784020606</v>
      </c>
    </row>
    <row r="268" spans="3:6" x14ac:dyDescent="0.25">
      <c r="C268" s="9" t="s">
        <v>437</v>
      </c>
      <c r="D268" s="8">
        <v>5</v>
      </c>
      <c r="E268" s="8">
        <v>3.85378040178515</v>
      </c>
      <c r="F268" s="8">
        <v>1.14621959821485</v>
      </c>
    </row>
    <row r="269" spans="3:6" x14ac:dyDescent="0.25">
      <c r="C269" s="9" t="s">
        <v>365</v>
      </c>
      <c r="D269" s="8">
        <v>5</v>
      </c>
      <c r="E269" s="8">
        <v>4.3510295437398332</v>
      </c>
      <c r="F269" s="8">
        <v>0.64897045626016681</v>
      </c>
    </row>
    <row r="270" spans="3:6" x14ac:dyDescent="0.25">
      <c r="C270" s="9" t="s">
        <v>366</v>
      </c>
      <c r="D270" s="8">
        <v>5</v>
      </c>
      <c r="E270" s="8">
        <v>4.070930541605942</v>
      </c>
      <c r="F270" s="8">
        <v>0.92906945839405797</v>
      </c>
    </row>
    <row r="271" spans="3:6" x14ac:dyDescent="0.25">
      <c r="C271" s="9" t="s">
        <v>367</v>
      </c>
      <c r="D271" s="8">
        <v>4</v>
      </c>
      <c r="E271" s="8">
        <v>3.7960858952077792</v>
      </c>
      <c r="F271" s="8">
        <v>0.20391410479222083</v>
      </c>
    </row>
    <row r="272" spans="3:6" x14ac:dyDescent="0.25">
      <c r="C272" s="9" t="s">
        <v>368</v>
      </c>
      <c r="D272" s="8">
        <v>5</v>
      </c>
      <c r="E272" s="8">
        <v>3.5921579633451266</v>
      </c>
      <c r="F272" s="8">
        <v>1.4078420366548734</v>
      </c>
    </row>
    <row r="273" spans="3:6" x14ac:dyDescent="0.25">
      <c r="C273" s="9" t="s">
        <v>369</v>
      </c>
      <c r="D273" s="8">
        <v>5</v>
      </c>
      <c r="E273" s="8">
        <v>4.3421613531213445</v>
      </c>
      <c r="F273" s="8">
        <v>0.65783864687865545</v>
      </c>
    </row>
    <row r="274" spans="3:6" x14ac:dyDescent="0.25">
      <c r="C274" s="9" t="s">
        <v>370</v>
      </c>
      <c r="D274" s="8">
        <v>4</v>
      </c>
      <c r="E274" s="8">
        <v>3.972886186653128</v>
      </c>
      <c r="F274" s="8">
        <v>2.7113813346872018E-2</v>
      </c>
    </row>
    <row r="275" spans="3:6" x14ac:dyDescent="0.25">
      <c r="C275" s="9" t="s">
        <v>371</v>
      </c>
      <c r="D275" s="8">
        <v>5</v>
      </c>
      <c r="E275" s="8">
        <v>4.4929463232644586</v>
      </c>
      <c r="F275" s="8">
        <v>0.50705367673554136</v>
      </c>
    </row>
    <row r="276" spans="3:6" x14ac:dyDescent="0.25">
      <c r="C276" s="9" t="s">
        <v>433</v>
      </c>
      <c r="D276" s="8">
        <v>5</v>
      </c>
      <c r="E276" s="8">
        <v>4.4976199132369894</v>
      </c>
      <c r="F276" s="8">
        <v>0.5023800867630106</v>
      </c>
    </row>
    <row r="277" spans="3:6" x14ac:dyDescent="0.25">
      <c r="C277" s="9" t="s">
        <v>372</v>
      </c>
      <c r="D277" s="8">
        <v>3</v>
      </c>
      <c r="E277" s="8">
        <v>3.699097885732578</v>
      </c>
      <c r="F277" s="8">
        <v>-0.69909788573257803</v>
      </c>
    </row>
    <row r="278" spans="3:6" x14ac:dyDescent="0.25">
      <c r="C278" s="9" t="s">
        <v>373</v>
      </c>
      <c r="D278" s="8">
        <v>5</v>
      </c>
      <c r="E278" s="8">
        <v>4.3529829800008004</v>
      </c>
      <c r="F278" s="8">
        <v>0.64701701999919958</v>
      </c>
    </row>
    <row r="279" spans="3:6" x14ac:dyDescent="0.25">
      <c r="C279" s="9" t="s">
        <v>374</v>
      </c>
      <c r="D279" s="8">
        <v>4</v>
      </c>
      <c r="E279" s="8">
        <v>3.1818065802099209</v>
      </c>
      <c r="F279" s="8">
        <v>0.81819341979007909</v>
      </c>
    </row>
    <row r="280" spans="3:6" x14ac:dyDescent="0.25">
      <c r="C280" s="9" t="s">
        <v>460</v>
      </c>
      <c r="D280" s="8">
        <v>4</v>
      </c>
      <c r="E280" s="8">
        <v>3.5378146922517026</v>
      </c>
      <c r="F280" s="8">
        <v>0.46218530774829736</v>
      </c>
    </row>
    <row r="281" spans="3:6" x14ac:dyDescent="0.25">
      <c r="C281" s="9" t="s">
        <v>375</v>
      </c>
      <c r="D281" s="8">
        <v>5</v>
      </c>
      <c r="E281" s="8">
        <v>4.7749959476855715</v>
      </c>
      <c r="F281" s="8">
        <v>0.22500405231442855</v>
      </c>
    </row>
    <row r="282" spans="3:6" x14ac:dyDescent="0.25">
      <c r="C282" s="9" t="s">
        <v>376</v>
      </c>
      <c r="D282" s="8">
        <v>5</v>
      </c>
      <c r="E282" s="8">
        <v>4.6315537937379192</v>
      </c>
      <c r="F282" s="8">
        <v>0.3684462062620808</v>
      </c>
    </row>
    <row r="283" spans="3:6" x14ac:dyDescent="0.25">
      <c r="C283" s="9" t="s">
        <v>377</v>
      </c>
      <c r="D283" s="8">
        <v>5</v>
      </c>
      <c r="E283" s="8">
        <v>4.4675371591555804</v>
      </c>
      <c r="F283" s="8">
        <v>0.53246284084441964</v>
      </c>
    </row>
    <row r="284" spans="3:6" x14ac:dyDescent="0.25">
      <c r="C284" s="9" t="s">
        <v>378</v>
      </c>
      <c r="D284" s="8">
        <v>4</v>
      </c>
      <c r="E284" s="8">
        <v>4.081251259779342</v>
      </c>
      <c r="F284" s="8">
        <v>-8.1251259779342E-2</v>
      </c>
    </row>
    <row r="285" spans="3:6" x14ac:dyDescent="0.25">
      <c r="C285" s="9" t="s">
        <v>379</v>
      </c>
      <c r="D285" s="8">
        <v>5</v>
      </c>
      <c r="E285" s="8">
        <v>4.1851267874838154</v>
      </c>
      <c r="F285" s="8">
        <v>0.81487321251618461</v>
      </c>
    </row>
    <row r="286" spans="3:6" x14ac:dyDescent="0.25">
      <c r="C286" s="9" t="s">
        <v>380</v>
      </c>
      <c r="D286" s="8">
        <v>4</v>
      </c>
      <c r="E286" s="8">
        <v>4.2053642952347241</v>
      </c>
      <c r="F286" s="8">
        <v>-0.2053642952347241</v>
      </c>
    </row>
    <row r="287" spans="3:6" x14ac:dyDescent="0.25">
      <c r="C287" s="9" t="s">
        <v>381</v>
      </c>
      <c r="D287" s="8">
        <v>5</v>
      </c>
      <c r="E287" s="8">
        <v>4.3905755690638557</v>
      </c>
      <c r="F287" s="8">
        <v>0.60942443093614429</v>
      </c>
    </row>
    <row r="288" spans="3:6" x14ac:dyDescent="0.25">
      <c r="C288" s="9" t="s">
        <v>446</v>
      </c>
      <c r="D288" s="8">
        <v>5</v>
      </c>
      <c r="E288" s="8">
        <v>4.161472087152899</v>
      </c>
      <c r="F288" s="8">
        <v>0.83852791284710104</v>
      </c>
    </row>
    <row r="289" spans="3:6" x14ac:dyDescent="0.25">
      <c r="C289" s="9" t="s">
        <v>474</v>
      </c>
      <c r="D289" s="8">
        <v>2</v>
      </c>
      <c r="E289" s="8">
        <v>3.7595722002807572</v>
      </c>
      <c r="F289" s="8">
        <v>-1.7595722002807572</v>
      </c>
    </row>
    <row r="290" spans="3:6" x14ac:dyDescent="0.25">
      <c r="C290" s="9" t="s">
        <v>413</v>
      </c>
      <c r="D290" s="8">
        <v>5</v>
      </c>
      <c r="E290" s="8">
        <v>4.3791367837082857</v>
      </c>
      <c r="F290" s="8">
        <v>0.62086321629171426</v>
      </c>
    </row>
    <row r="291" spans="3:6" x14ac:dyDescent="0.25">
      <c r="C291" s="9" t="s">
        <v>453</v>
      </c>
      <c r="D291" s="8">
        <v>1</v>
      </c>
      <c r="E291" s="8">
        <v>3.5186679667567944</v>
      </c>
      <c r="F291" s="8">
        <v>-2.5186679667567944</v>
      </c>
    </row>
    <row r="292" spans="3:6" x14ac:dyDescent="0.25">
      <c r="C292" s="9" t="s">
        <v>382</v>
      </c>
      <c r="D292" s="8">
        <v>3</v>
      </c>
      <c r="E292" s="8">
        <v>3.6989747758931513</v>
      </c>
      <c r="F292" s="8">
        <v>-0.69897477589315127</v>
      </c>
    </row>
    <row r="293" spans="3:6" x14ac:dyDescent="0.25">
      <c r="C293" s="9" t="s">
        <v>383</v>
      </c>
      <c r="D293" s="8">
        <v>2</v>
      </c>
      <c r="E293" s="8">
        <v>3.8733610967859651</v>
      </c>
      <c r="F293" s="8">
        <v>-1.8733610967859651</v>
      </c>
    </row>
    <row r="294" spans="3:6" x14ac:dyDescent="0.25">
      <c r="C294" s="9" t="s">
        <v>384</v>
      </c>
      <c r="D294" s="8">
        <v>4</v>
      </c>
      <c r="E294" s="8">
        <v>4.37438916833307</v>
      </c>
      <c r="F294" s="8">
        <v>-0.37438916833307001</v>
      </c>
    </row>
    <row r="295" spans="3:6" x14ac:dyDescent="0.25">
      <c r="C295" s="9" t="s">
        <v>385</v>
      </c>
      <c r="D295" s="8">
        <v>4</v>
      </c>
      <c r="E295" s="8">
        <v>4.0938380971234274</v>
      </c>
      <c r="F295" s="8">
        <v>-9.3838097123427389E-2</v>
      </c>
    </row>
    <row r="296" spans="3:6" x14ac:dyDescent="0.25">
      <c r="C296" s="9" t="s">
        <v>386</v>
      </c>
      <c r="D296" s="8">
        <v>4</v>
      </c>
      <c r="E296" s="8">
        <v>3.3168402414402154</v>
      </c>
      <c r="F296" s="8">
        <v>0.68315975855978461</v>
      </c>
    </row>
    <row r="297" spans="3:6" x14ac:dyDescent="0.25">
      <c r="C297" s="9" t="s">
        <v>387</v>
      </c>
      <c r="D297" s="8">
        <v>2</v>
      </c>
      <c r="E297" s="8">
        <v>3.7358784036259363</v>
      </c>
      <c r="F297" s="8">
        <v>-1.7358784036259363</v>
      </c>
    </row>
    <row r="298" spans="3:6" x14ac:dyDescent="0.25">
      <c r="C298" s="9" t="s">
        <v>421</v>
      </c>
      <c r="D298" s="8">
        <v>5</v>
      </c>
      <c r="E298" s="8">
        <v>4.1784213891609401</v>
      </c>
      <c r="F298" s="8">
        <v>0.82157861083905992</v>
      </c>
    </row>
    <row r="299" spans="3:6" x14ac:dyDescent="0.25">
      <c r="C299" s="9" t="s">
        <v>388</v>
      </c>
      <c r="D299" s="8">
        <v>5</v>
      </c>
      <c r="E299" s="8">
        <v>3.9837366266450762</v>
      </c>
      <c r="F299" s="8">
        <v>1.0162633733549238</v>
      </c>
    </row>
    <row r="300" spans="3:6" x14ac:dyDescent="0.25">
      <c r="C300" s="9" t="s">
        <v>389</v>
      </c>
      <c r="D300" s="8">
        <v>5</v>
      </c>
      <c r="E300" s="8">
        <v>4.491352120046777</v>
      </c>
      <c r="F300" s="8">
        <v>0.50864787995322303</v>
      </c>
    </row>
    <row r="301" spans="3:6" x14ac:dyDescent="0.25">
      <c r="C301" s="9" t="s">
        <v>428</v>
      </c>
      <c r="D301" s="8">
        <v>3</v>
      </c>
      <c r="E301" s="8">
        <v>3.7457373675841601</v>
      </c>
      <c r="F301" s="8">
        <v>-0.74573736758416009</v>
      </c>
    </row>
    <row r="302" spans="3:6" x14ac:dyDescent="0.25">
      <c r="C302" s="9" t="s">
        <v>390</v>
      </c>
      <c r="D302" s="8">
        <v>4</v>
      </c>
      <c r="E302" s="8">
        <v>4.3917430746609059</v>
      </c>
      <c r="F302" s="8">
        <v>-0.39174307466090585</v>
      </c>
    </row>
    <row r="303" spans="3:6" x14ac:dyDescent="0.25">
      <c r="C303" s="9" t="s">
        <v>445</v>
      </c>
      <c r="D303" s="8">
        <v>5</v>
      </c>
      <c r="E303" s="8">
        <v>3.968445511555172</v>
      </c>
      <c r="F303" s="8">
        <v>1.031554488444828</v>
      </c>
    </row>
    <row r="304" spans="3:6" x14ac:dyDescent="0.25">
      <c r="C304" s="9" t="s">
        <v>391</v>
      </c>
      <c r="D304" s="8">
        <v>5</v>
      </c>
      <c r="E304" s="8">
        <v>4.2281348482276746</v>
      </c>
      <c r="F304" s="8">
        <v>0.7718651517723254</v>
      </c>
    </row>
    <row r="305" spans="3:6" x14ac:dyDescent="0.25">
      <c r="C305" s="9" t="s">
        <v>392</v>
      </c>
      <c r="D305" s="8">
        <v>5</v>
      </c>
      <c r="E305" s="8">
        <v>4.2845624331500014</v>
      </c>
      <c r="F305" s="8">
        <v>0.7154375668499986</v>
      </c>
    </row>
    <row r="306" spans="3:6" x14ac:dyDescent="0.25">
      <c r="C306" s="9" t="s">
        <v>393</v>
      </c>
      <c r="D306" s="8">
        <v>1</v>
      </c>
      <c r="E306" s="8">
        <v>3.3093420031597636</v>
      </c>
      <c r="F306" s="8">
        <v>-2.3093420031597636</v>
      </c>
    </row>
    <row r="307" spans="3:6" x14ac:dyDescent="0.25">
      <c r="C307" s="9" t="s">
        <v>394</v>
      </c>
      <c r="D307" s="8">
        <v>4</v>
      </c>
      <c r="E307" s="8">
        <v>4.3431925171797214</v>
      </c>
      <c r="F307" s="8">
        <v>-0.34319251717972143</v>
      </c>
    </row>
    <row r="308" spans="3:6" x14ac:dyDescent="0.25">
      <c r="C308" s="9" t="s">
        <v>430</v>
      </c>
      <c r="D308" s="8">
        <v>5</v>
      </c>
      <c r="E308" s="8">
        <v>4.1226464181915938</v>
      </c>
      <c r="F308" s="8">
        <v>0.87735358180840617</v>
      </c>
    </row>
    <row r="309" spans="3:6" x14ac:dyDescent="0.25">
      <c r="C309" s="9" t="s">
        <v>395</v>
      </c>
      <c r="D309" s="8">
        <v>5</v>
      </c>
      <c r="E309" s="8">
        <v>4.0983860827862353</v>
      </c>
      <c r="F309" s="8">
        <v>0.90161391721376472</v>
      </c>
    </row>
    <row r="310" spans="3:6" x14ac:dyDescent="0.25">
      <c r="C310" s="9" t="s">
        <v>396</v>
      </c>
      <c r="D310" s="8">
        <v>5</v>
      </c>
      <c r="E310" s="8">
        <v>4.0846153136014749</v>
      </c>
      <c r="F310" s="8">
        <v>0.9153846863985251</v>
      </c>
    </row>
    <row r="311" spans="3:6" x14ac:dyDescent="0.25">
      <c r="C311" s="9" t="s">
        <v>397</v>
      </c>
      <c r="D311" s="8">
        <v>5</v>
      </c>
      <c r="E311" s="8">
        <v>4.3231301779862994</v>
      </c>
      <c r="F311" s="8">
        <v>0.67686982201370061</v>
      </c>
    </row>
    <row r="312" spans="3:6" x14ac:dyDescent="0.25">
      <c r="C312" s="9" t="s">
        <v>398</v>
      </c>
      <c r="D312" s="8">
        <v>4</v>
      </c>
      <c r="E312" s="8">
        <v>4.1832576348648693</v>
      </c>
      <c r="F312" s="8">
        <v>-0.18325763486486935</v>
      </c>
    </row>
    <row r="313" spans="3:6" x14ac:dyDescent="0.25">
      <c r="C313" s="9" t="s">
        <v>399</v>
      </c>
      <c r="D313" s="8">
        <v>3</v>
      </c>
      <c r="E313" s="8">
        <v>3.7067530252518082</v>
      </c>
      <c r="F313" s="8">
        <v>-0.70675302525180816</v>
      </c>
    </row>
    <row r="314" spans="3:6" x14ac:dyDescent="0.25">
      <c r="C314" s="9" t="s">
        <v>400</v>
      </c>
      <c r="D314" s="8">
        <v>4</v>
      </c>
      <c r="E314" s="8">
        <v>3.8321903403104067</v>
      </c>
      <c r="F314" s="8">
        <v>0.16780965968959327</v>
      </c>
    </row>
    <row r="315" spans="3:6" x14ac:dyDescent="0.25">
      <c r="C315" s="9" t="s">
        <v>401</v>
      </c>
      <c r="D315" s="8">
        <v>5</v>
      </c>
      <c r="E315" s="8">
        <v>3.8344459035467855</v>
      </c>
      <c r="F315" s="8">
        <v>1.1655540964532145</v>
      </c>
    </row>
    <row r="316" spans="3:6" x14ac:dyDescent="0.25">
      <c r="C316" s="9" t="s">
        <v>466</v>
      </c>
      <c r="D316" s="8">
        <v>5</v>
      </c>
      <c r="E316" s="8">
        <v>4.1819470036419171</v>
      </c>
      <c r="F316" s="8">
        <v>0.81805299635808293</v>
      </c>
    </row>
    <row r="317" spans="3:6" x14ac:dyDescent="0.25">
      <c r="C317" s="9" t="s">
        <v>461</v>
      </c>
      <c r="D317" s="8">
        <v>5</v>
      </c>
      <c r="E317" s="8">
        <v>4.1788657124640141</v>
      </c>
      <c r="F317" s="8">
        <v>0.82113428753598594</v>
      </c>
    </row>
    <row r="318" spans="3:6" x14ac:dyDescent="0.25">
      <c r="C318" s="9" t="s">
        <v>402</v>
      </c>
      <c r="D318" s="8">
        <v>2</v>
      </c>
      <c r="E318" s="8">
        <v>4.620173707029636</v>
      </c>
      <c r="F318" s="8">
        <v>-2.620173707029636</v>
      </c>
    </row>
    <row r="319" spans="3:6" x14ac:dyDescent="0.25">
      <c r="C319" s="9" t="s">
        <v>403</v>
      </c>
      <c r="D319" s="8">
        <v>5</v>
      </c>
      <c r="E319" s="8">
        <v>4.2306149780720226</v>
      </c>
      <c r="F319" s="8">
        <v>0.76938502192797742</v>
      </c>
    </row>
    <row r="320" spans="3:6" x14ac:dyDescent="0.25">
      <c r="C320" s="9" t="s">
        <v>404</v>
      </c>
      <c r="D320" s="8">
        <v>4</v>
      </c>
      <c r="E320" s="8">
        <v>3.8876000722447692</v>
      </c>
      <c r="F320" s="8">
        <v>0.11239992775523078</v>
      </c>
    </row>
    <row r="321" spans="3:6" x14ac:dyDescent="0.25">
      <c r="C321" s="9" t="s">
        <v>405</v>
      </c>
      <c r="D321" s="8">
        <v>3</v>
      </c>
      <c r="E321" s="8">
        <v>3.5515275770939856</v>
      </c>
      <c r="F321" s="8">
        <v>-0.55152757709398559</v>
      </c>
    </row>
    <row r="322" spans="3:6" x14ac:dyDescent="0.25">
      <c r="C322" s="9" t="s">
        <v>477</v>
      </c>
      <c r="D322" s="8">
        <v>3</v>
      </c>
      <c r="E322" s="8">
        <v>4.7354239551236894</v>
      </c>
      <c r="F322" s="8">
        <v>-1.7354239551236894</v>
      </c>
    </row>
    <row r="323" spans="3:6" x14ac:dyDescent="0.25">
      <c r="C323" s="9" t="s">
        <v>478</v>
      </c>
      <c r="D323" s="8">
        <v>5</v>
      </c>
      <c r="E323" s="8">
        <v>3.9019466338254234</v>
      </c>
      <c r="F323" s="8">
        <v>1.0980533661745766</v>
      </c>
    </row>
    <row r="324" spans="3:6" x14ac:dyDescent="0.25">
      <c r="C324" s="9" t="s">
        <v>479</v>
      </c>
      <c r="D324" s="8">
        <v>5</v>
      </c>
      <c r="E324" s="8">
        <v>3.9891118011267577</v>
      </c>
      <c r="F324" s="8">
        <v>1.0108881988732423</v>
      </c>
    </row>
    <row r="325" spans="3:6" x14ac:dyDescent="0.25">
      <c r="C325" s="9" t="s">
        <v>480</v>
      </c>
      <c r="D325" s="8">
        <v>4</v>
      </c>
      <c r="E325" s="8">
        <v>4.0904803002599639</v>
      </c>
      <c r="F325" s="8">
        <v>-9.0480300259963897E-2</v>
      </c>
    </row>
    <row r="326" spans="3:6" x14ac:dyDescent="0.25">
      <c r="C326" s="9" t="s">
        <v>481</v>
      </c>
      <c r="D326" s="8">
        <v>4</v>
      </c>
      <c r="E326" s="8">
        <v>4.1490571777653162</v>
      </c>
      <c r="F326" s="8">
        <v>-0.14905717776531624</v>
      </c>
    </row>
    <row r="327" spans="3:6" x14ac:dyDescent="0.25">
      <c r="C327" s="9" t="s">
        <v>482</v>
      </c>
      <c r="D327" s="8">
        <v>4</v>
      </c>
      <c r="E327" s="8">
        <v>3.8519751905435022</v>
      </c>
      <c r="F327" s="8">
        <v>0.14802480945649776</v>
      </c>
    </row>
    <row r="328" spans="3:6" x14ac:dyDescent="0.25">
      <c r="C328" s="9" t="s">
        <v>483</v>
      </c>
      <c r="D328" s="8">
        <v>5</v>
      </c>
      <c r="E328" s="8">
        <v>4.4582826468399697</v>
      </c>
      <c r="F328" s="8">
        <v>0.54171735316003033</v>
      </c>
    </row>
    <row r="329" spans="3:6" x14ac:dyDescent="0.25">
      <c r="C329" s="9" t="s">
        <v>484</v>
      </c>
      <c r="D329" s="8">
        <v>3</v>
      </c>
      <c r="E329" s="8">
        <v>4.5624209347965783</v>
      </c>
      <c r="F329" s="8">
        <v>-1.5624209347965783</v>
      </c>
    </row>
    <row r="330" spans="3:6" x14ac:dyDescent="0.25">
      <c r="C330" s="9" t="s">
        <v>485</v>
      </c>
      <c r="D330" s="8">
        <v>5</v>
      </c>
      <c r="E330" s="8">
        <v>4.2549795497310141</v>
      </c>
      <c r="F330" s="8">
        <v>0.74502045026898589</v>
      </c>
    </row>
    <row r="331" spans="3:6" x14ac:dyDescent="0.25">
      <c r="C331" s="9" t="s">
        <v>486</v>
      </c>
      <c r="D331" s="8">
        <v>3</v>
      </c>
      <c r="E331" s="8">
        <v>4.1635400775293041</v>
      </c>
      <c r="F331" s="8">
        <v>-1.1635400775293041</v>
      </c>
    </row>
    <row r="332" spans="3:6" x14ac:dyDescent="0.25">
      <c r="C332" s="9" t="s">
        <v>487</v>
      </c>
      <c r="D332" s="8">
        <v>4</v>
      </c>
      <c r="E332" s="8">
        <v>3.7597372610342155</v>
      </c>
      <c r="F332" s="8">
        <v>0.24026273896578454</v>
      </c>
    </row>
    <row r="333" spans="3:6" x14ac:dyDescent="0.25">
      <c r="C333" s="9" t="s">
        <v>488</v>
      </c>
      <c r="D333" s="8">
        <v>3</v>
      </c>
      <c r="E333" s="8">
        <v>3.7382667516971049</v>
      </c>
      <c r="F333" s="8">
        <v>-0.73826675169710487</v>
      </c>
    </row>
    <row r="334" spans="3:6" x14ac:dyDescent="0.25">
      <c r="C334" s="9" t="s">
        <v>489</v>
      </c>
      <c r="D334" s="8">
        <v>4</v>
      </c>
      <c r="E334" s="8">
        <v>4.360008442222826</v>
      </c>
      <c r="F334" s="8">
        <v>-0.36000844222282602</v>
      </c>
    </row>
    <row r="335" spans="3:6" x14ac:dyDescent="0.25">
      <c r="C335" s="9" t="s">
        <v>490</v>
      </c>
      <c r="D335" s="8">
        <v>5</v>
      </c>
      <c r="E335" s="8">
        <v>4.3777440488068695</v>
      </c>
      <c r="F335" s="8">
        <v>0.62225595119313049</v>
      </c>
    </row>
    <row r="336" spans="3:6" x14ac:dyDescent="0.25">
      <c r="C336" s="9" t="s">
        <v>491</v>
      </c>
      <c r="D336" s="8">
        <v>3</v>
      </c>
      <c r="E336" s="8">
        <v>3.863461000370656</v>
      </c>
      <c r="F336" s="8">
        <v>-0.86346100037065598</v>
      </c>
    </row>
    <row r="337" spans="3:6" x14ac:dyDescent="0.25">
      <c r="C337" s="9" t="s">
        <v>492</v>
      </c>
      <c r="D337" s="8">
        <v>5</v>
      </c>
      <c r="E337" s="8">
        <v>4.2705840841902667</v>
      </c>
      <c r="F337" s="8">
        <v>0.72941591580973331</v>
      </c>
    </row>
    <row r="338" spans="3:6" x14ac:dyDescent="0.25">
      <c r="C338" s="9" t="s">
        <v>493</v>
      </c>
      <c r="D338" s="8">
        <v>5</v>
      </c>
      <c r="E338" s="8">
        <v>3.9171653376009155</v>
      </c>
      <c r="F338" s="8">
        <v>1.0828346623990845</v>
      </c>
    </row>
    <row r="339" spans="3:6" x14ac:dyDescent="0.25">
      <c r="C339" s="9" t="s">
        <v>494</v>
      </c>
      <c r="D339" s="8">
        <v>4</v>
      </c>
      <c r="E339" s="8">
        <v>4.2517132981365275</v>
      </c>
      <c r="F339" s="8">
        <v>-0.25171329813652754</v>
      </c>
    </row>
    <row r="340" spans="3:6" x14ac:dyDescent="0.25">
      <c r="C340" s="9" t="s">
        <v>495</v>
      </c>
      <c r="D340" s="8">
        <v>4</v>
      </c>
      <c r="E340" s="8">
        <v>4.1032791579312438</v>
      </c>
      <c r="F340" s="8">
        <v>-0.10327915793124376</v>
      </c>
    </row>
    <row r="341" spans="3:6" x14ac:dyDescent="0.25">
      <c r="C341" s="9" t="s">
        <v>496</v>
      </c>
      <c r="D341" s="8">
        <v>4</v>
      </c>
      <c r="E341" s="8">
        <v>4.7368447098949167</v>
      </c>
      <c r="F341" s="8">
        <v>-0.73684470989491668</v>
      </c>
    </row>
    <row r="342" spans="3:6" x14ac:dyDescent="0.25">
      <c r="C342" s="9" t="s">
        <v>497</v>
      </c>
      <c r="D342" s="8">
        <v>3</v>
      </c>
      <c r="E342" s="8">
        <v>4.0722171046105506</v>
      </c>
      <c r="F342" s="8">
        <v>-1.0722171046105506</v>
      </c>
    </row>
    <row r="343" spans="3:6" x14ac:dyDescent="0.25">
      <c r="C343" s="9" t="s">
        <v>498</v>
      </c>
      <c r="D343" s="8">
        <v>5</v>
      </c>
      <c r="E343" s="8">
        <v>3.8953274153113839</v>
      </c>
      <c r="F343" s="8">
        <v>1.1046725846886161</v>
      </c>
    </row>
    <row r="344" spans="3:6" x14ac:dyDescent="0.25">
      <c r="C344" s="9" t="s">
        <v>499</v>
      </c>
      <c r="D344" s="8">
        <v>5</v>
      </c>
      <c r="E344" s="8">
        <v>4.2524994894513704</v>
      </c>
      <c r="F344" s="8">
        <v>0.74750051054862965</v>
      </c>
    </row>
    <row r="345" spans="3:6" x14ac:dyDescent="0.25">
      <c r="C345" s="9" t="s">
        <v>500</v>
      </c>
      <c r="D345" s="8">
        <v>5</v>
      </c>
      <c r="E345" s="8">
        <v>4.2530544058174122</v>
      </c>
      <c r="F345" s="8">
        <v>0.74694559418258777</v>
      </c>
    </row>
    <row r="346" spans="3:6" x14ac:dyDescent="0.25">
      <c r="C346" s="9" t="s">
        <v>501</v>
      </c>
      <c r="D346" s="8">
        <v>4</v>
      </c>
      <c r="E346" s="8">
        <v>3.8527002298540514</v>
      </c>
      <c r="F346" s="8">
        <v>0.14729977014594864</v>
      </c>
    </row>
    <row r="347" spans="3:6" x14ac:dyDescent="0.25">
      <c r="C347" s="9" t="s">
        <v>502</v>
      </c>
      <c r="D347" s="8">
        <v>4</v>
      </c>
      <c r="E347" s="8">
        <v>3.7847959543612877</v>
      </c>
      <c r="F347" s="8">
        <v>0.21520404563871232</v>
      </c>
    </row>
    <row r="348" spans="3:6" x14ac:dyDescent="0.25">
      <c r="C348" s="9" t="s">
        <v>503</v>
      </c>
      <c r="D348" s="8">
        <v>4</v>
      </c>
      <c r="E348" s="8">
        <v>3.8745712574954156</v>
      </c>
      <c r="F348" s="8">
        <v>0.12542874250458436</v>
      </c>
    </row>
    <row r="349" spans="3:6" x14ac:dyDescent="0.25">
      <c r="C349" s="9" t="s">
        <v>504</v>
      </c>
      <c r="D349" s="8">
        <v>5</v>
      </c>
      <c r="E349" s="8">
        <v>4.2172306330761771</v>
      </c>
      <c r="F349" s="8">
        <v>0.78276936692382293</v>
      </c>
    </row>
    <row r="350" spans="3:6" x14ac:dyDescent="0.25">
      <c r="C350" s="9" t="s">
        <v>505</v>
      </c>
      <c r="D350" s="8">
        <v>4</v>
      </c>
      <c r="E350" s="8">
        <v>3.5730433507683772</v>
      </c>
      <c r="F350" s="8">
        <v>0.4269566492316228</v>
      </c>
    </row>
    <row r="351" spans="3:6" x14ac:dyDescent="0.25">
      <c r="C351" s="9" t="s">
        <v>506</v>
      </c>
      <c r="D351" s="8">
        <v>2</v>
      </c>
      <c r="E351" s="8">
        <v>3.8366580612077694</v>
      </c>
      <c r="F351" s="8">
        <v>-1.8366580612077694</v>
      </c>
    </row>
    <row r="352" spans="3:6" x14ac:dyDescent="0.25">
      <c r="C352" s="9" t="s">
        <v>507</v>
      </c>
      <c r="D352" s="8">
        <v>3</v>
      </c>
      <c r="E352" s="8">
        <v>3.7262580539711925</v>
      </c>
      <c r="F352" s="8">
        <v>-0.72625805397119247</v>
      </c>
    </row>
    <row r="353" spans="3:6" x14ac:dyDescent="0.25">
      <c r="C353" s="9" t="s">
        <v>508</v>
      </c>
      <c r="D353" s="8">
        <v>4</v>
      </c>
      <c r="E353" s="8">
        <v>4.4937371060223557</v>
      </c>
      <c r="F353" s="8">
        <v>-0.49373710602235565</v>
      </c>
    </row>
    <row r="354" spans="3:6" x14ac:dyDescent="0.25">
      <c r="C354" s="9" t="s">
        <v>509</v>
      </c>
      <c r="D354" s="8">
        <v>4</v>
      </c>
      <c r="E354" s="8">
        <v>4.2778578414448969</v>
      </c>
      <c r="F354" s="8">
        <v>-0.27785784144489689</v>
      </c>
    </row>
    <row r="355" spans="3:6" x14ac:dyDescent="0.25">
      <c r="C355" s="9" t="s">
        <v>510</v>
      </c>
      <c r="D355" s="8">
        <v>4</v>
      </c>
      <c r="E355" s="8">
        <v>4.276396849545927</v>
      </c>
      <c r="F355" s="8">
        <v>-0.27639684954592703</v>
      </c>
    </row>
    <row r="356" spans="3:6" x14ac:dyDescent="0.25">
      <c r="C356" s="9" t="s">
        <v>511</v>
      </c>
      <c r="D356" s="8">
        <v>5</v>
      </c>
      <c r="E356" s="8">
        <v>4.3578803519678662</v>
      </c>
      <c r="F356" s="8">
        <v>0.64211964803213384</v>
      </c>
    </row>
    <row r="357" spans="3:6" x14ac:dyDescent="0.25">
      <c r="C357" s="9" t="s">
        <v>512</v>
      </c>
      <c r="D357" s="8">
        <v>5</v>
      </c>
      <c r="E357" s="8">
        <v>4.5036702754195765</v>
      </c>
      <c r="F357" s="8">
        <v>0.49632972458042346</v>
      </c>
    </row>
    <row r="358" spans="3:6" x14ac:dyDescent="0.25">
      <c r="C358" s="9" t="s">
        <v>513</v>
      </c>
      <c r="D358" s="8">
        <v>4</v>
      </c>
      <c r="E358" s="8">
        <v>4.141960806872178</v>
      </c>
      <c r="F358" s="8">
        <v>-0.14196080687217805</v>
      </c>
    </row>
    <row r="359" spans="3:6" x14ac:dyDescent="0.25">
      <c r="C359" s="9" t="s">
        <v>514</v>
      </c>
      <c r="D359" s="8">
        <v>2</v>
      </c>
      <c r="E359" s="8">
        <v>3.8448376871022121</v>
      </c>
      <c r="F359" s="8">
        <v>-1.8448376871022121</v>
      </c>
    </row>
    <row r="360" spans="3:6" x14ac:dyDescent="0.25">
      <c r="C360" s="9" t="s">
        <v>515</v>
      </c>
      <c r="D360" s="8">
        <v>4</v>
      </c>
      <c r="E360" s="8">
        <v>3.7436330795401531</v>
      </c>
      <c r="F360" s="8">
        <v>0.25636692045984688</v>
      </c>
    </row>
    <row r="361" spans="3:6" x14ac:dyDescent="0.25">
      <c r="C361" s="9" t="s">
        <v>516</v>
      </c>
      <c r="D361" s="8">
        <v>4</v>
      </c>
      <c r="E361" s="8">
        <v>4.0345281422108856</v>
      </c>
      <c r="F361" s="8">
        <v>-3.4528142210885626E-2</v>
      </c>
    </row>
    <row r="362" spans="3:6" x14ac:dyDescent="0.25">
      <c r="C362" s="9" t="s">
        <v>517</v>
      </c>
      <c r="D362" s="8">
        <v>5</v>
      </c>
      <c r="E362" s="8">
        <v>4.2291362271728836</v>
      </c>
      <c r="F362" s="8">
        <v>0.77086377282711638</v>
      </c>
    </row>
    <row r="363" spans="3:6" x14ac:dyDescent="0.25">
      <c r="C363" s="9" t="s">
        <v>518</v>
      </c>
      <c r="D363" s="8">
        <v>5</v>
      </c>
      <c r="E363" s="8">
        <v>4.8141261634671233</v>
      </c>
      <c r="F363" s="8">
        <v>0.1858738365328767</v>
      </c>
    </row>
    <row r="364" spans="3:6" x14ac:dyDescent="0.25">
      <c r="C364" s="9" t="s">
        <v>519</v>
      </c>
      <c r="D364" s="8">
        <v>4</v>
      </c>
      <c r="E364" s="8">
        <v>4.4018071933131155</v>
      </c>
      <c r="F364" s="8">
        <v>-0.40180719331311554</v>
      </c>
    </row>
    <row r="365" spans="3:6" x14ac:dyDescent="0.25">
      <c r="C365" s="9" t="s">
        <v>520</v>
      </c>
      <c r="D365" s="8">
        <v>5</v>
      </c>
      <c r="E365" s="8">
        <v>3.9327801658176189</v>
      </c>
      <c r="F365" s="8">
        <v>1.0672198341823811</v>
      </c>
    </row>
    <row r="366" spans="3:6" x14ac:dyDescent="0.25">
      <c r="C366" s="9" t="s">
        <v>521</v>
      </c>
      <c r="D366" s="8">
        <v>5</v>
      </c>
      <c r="E366" s="8">
        <v>4.3939200834832413</v>
      </c>
      <c r="F366" s="8">
        <v>0.60607991651675874</v>
      </c>
    </row>
    <row r="367" spans="3:6" x14ac:dyDescent="0.25">
      <c r="C367" s="9" t="s">
        <v>522</v>
      </c>
      <c r="D367" s="8">
        <v>5</v>
      </c>
      <c r="E367" s="8">
        <v>4.1631457476714218</v>
      </c>
      <c r="F367" s="8">
        <v>0.83685425232857824</v>
      </c>
    </row>
    <row r="368" spans="3:6" x14ac:dyDescent="0.25">
      <c r="C368" s="9" t="s">
        <v>523</v>
      </c>
      <c r="D368" s="8">
        <v>5</v>
      </c>
      <c r="E368" s="8">
        <v>4.5748719423494499</v>
      </c>
      <c r="F368" s="8">
        <v>0.42512805765055006</v>
      </c>
    </row>
    <row r="369" spans="3:6" x14ac:dyDescent="0.25">
      <c r="C369" s="9" t="s">
        <v>524</v>
      </c>
      <c r="D369" s="8">
        <v>5</v>
      </c>
      <c r="E369" s="8">
        <v>4.6724832810971435</v>
      </c>
      <c r="F369" s="8">
        <v>0.3275167189028565</v>
      </c>
    </row>
    <row r="370" spans="3:6" x14ac:dyDescent="0.25">
      <c r="C370" s="9" t="s">
        <v>525</v>
      </c>
      <c r="D370" s="8">
        <v>5</v>
      </c>
      <c r="E370" s="8">
        <v>4.657869168235595</v>
      </c>
      <c r="F370" s="8">
        <v>0.34213083176440495</v>
      </c>
    </row>
    <row r="371" spans="3:6" x14ac:dyDescent="0.25">
      <c r="C371" s="9" t="s">
        <v>526</v>
      </c>
      <c r="D371" s="8">
        <v>3</v>
      </c>
      <c r="E371" s="8">
        <v>3.9736416665058694</v>
      </c>
      <c r="F371" s="8">
        <v>-0.97364166650586936</v>
      </c>
    </row>
    <row r="372" spans="3:6" x14ac:dyDescent="0.25">
      <c r="C372" s="9" t="s">
        <v>527</v>
      </c>
      <c r="D372" s="8">
        <v>3</v>
      </c>
      <c r="E372" s="8">
        <v>3.643332639232546</v>
      </c>
      <c r="F372" s="8">
        <v>-0.64333263923254602</v>
      </c>
    </row>
    <row r="373" spans="3:6" x14ac:dyDescent="0.25">
      <c r="C373" s="9" t="s">
        <v>528</v>
      </c>
      <c r="D373" s="8">
        <v>5</v>
      </c>
      <c r="E373" s="8">
        <v>4.0287168942220157</v>
      </c>
      <c r="F373" s="8">
        <v>0.97128310577798427</v>
      </c>
    </row>
    <row r="374" spans="3:6" x14ac:dyDescent="0.25">
      <c r="C374" s="9" t="s">
        <v>529</v>
      </c>
      <c r="D374" s="8">
        <v>5</v>
      </c>
      <c r="E374" s="8">
        <v>4.7109568475549297</v>
      </c>
      <c r="F374" s="8">
        <v>0.28904315244507028</v>
      </c>
    </row>
    <row r="375" spans="3:6" x14ac:dyDescent="0.25">
      <c r="C375" s="9" t="s">
        <v>530</v>
      </c>
      <c r="D375" s="8">
        <v>5</v>
      </c>
      <c r="E375" s="8">
        <v>3.6728044690605479</v>
      </c>
      <c r="F375" s="8">
        <v>1.3271955309394521</v>
      </c>
    </row>
    <row r="376" spans="3:6" x14ac:dyDescent="0.25">
      <c r="C376" s="9" t="s">
        <v>531</v>
      </c>
      <c r="D376" s="8">
        <v>5</v>
      </c>
      <c r="E376" s="8">
        <v>4.0868740976876694</v>
      </c>
      <c r="F376" s="8">
        <v>0.9131259023123306</v>
      </c>
    </row>
    <row r="377" spans="3:6" x14ac:dyDescent="0.25">
      <c r="C377" s="9" t="s">
        <v>532</v>
      </c>
      <c r="D377" s="8">
        <v>2</v>
      </c>
      <c r="E377" s="8">
        <v>3.6692634127052157</v>
      </c>
      <c r="F377" s="8">
        <v>-1.6692634127052157</v>
      </c>
    </row>
    <row r="378" spans="3:6" x14ac:dyDescent="0.25">
      <c r="C378" s="9" t="s">
        <v>533</v>
      </c>
      <c r="D378" s="8">
        <v>2</v>
      </c>
      <c r="E378" s="8">
        <v>3.7123876952859804</v>
      </c>
      <c r="F378" s="8">
        <v>-1.7123876952859804</v>
      </c>
    </row>
    <row r="379" spans="3:6" x14ac:dyDescent="0.25">
      <c r="C379" s="9" t="s">
        <v>534</v>
      </c>
      <c r="D379" s="8">
        <v>4</v>
      </c>
      <c r="E379" s="8">
        <v>3.9757020314246483</v>
      </c>
      <c r="F379" s="8">
        <v>2.4297968575351714E-2</v>
      </c>
    </row>
    <row r="380" spans="3:6" x14ac:dyDescent="0.25">
      <c r="C380" s="9" t="s">
        <v>535</v>
      </c>
      <c r="D380" s="8">
        <v>5</v>
      </c>
      <c r="E380" s="8">
        <v>4.7152397607194763</v>
      </c>
      <c r="F380" s="8">
        <v>0.28476023928052374</v>
      </c>
    </row>
    <row r="381" spans="3:6" x14ac:dyDescent="0.25">
      <c r="C381" s="9" t="s">
        <v>536</v>
      </c>
      <c r="D381" s="8">
        <v>1</v>
      </c>
      <c r="E381" s="8">
        <v>3.2965482850048162</v>
      </c>
      <c r="F381" s="8">
        <v>-2.2965482850048162</v>
      </c>
    </row>
    <row r="382" spans="3:6" x14ac:dyDescent="0.25">
      <c r="C382" s="9" t="s">
        <v>537</v>
      </c>
      <c r="D382" s="8">
        <v>4</v>
      </c>
      <c r="E382" s="8">
        <v>4.5947772025145408</v>
      </c>
      <c r="F382" s="8">
        <v>-0.5947772025145408</v>
      </c>
    </row>
    <row r="383" spans="3:6" x14ac:dyDescent="0.25">
      <c r="C383" s="9" t="s">
        <v>538</v>
      </c>
      <c r="D383" s="8">
        <v>5</v>
      </c>
      <c r="E383" s="8">
        <v>4.5621812250258067</v>
      </c>
      <c r="F383" s="8">
        <v>0.4378187749741933</v>
      </c>
    </row>
    <row r="384" spans="3:6" x14ac:dyDescent="0.25">
      <c r="C384" s="9" t="s">
        <v>539</v>
      </c>
      <c r="D384" s="8">
        <v>4</v>
      </c>
      <c r="E384" s="8">
        <v>4.3578201212601808</v>
      </c>
      <c r="F384" s="8">
        <v>-0.35782012126018081</v>
      </c>
    </row>
    <row r="385" spans="3:6" x14ac:dyDescent="0.25">
      <c r="C385" s="9" t="s">
        <v>540</v>
      </c>
      <c r="D385" s="8">
        <v>4</v>
      </c>
      <c r="E385" s="8">
        <v>4.6918062731987584</v>
      </c>
      <c r="F385" s="8">
        <v>-0.69180627319875843</v>
      </c>
    </row>
    <row r="386" spans="3:6" x14ac:dyDescent="0.25">
      <c r="C386" s="9" t="s">
        <v>541</v>
      </c>
      <c r="D386" s="8">
        <v>5</v>
      </c>
      <c r="E386" s="8">
        <v>4.1083756954198485</v>
      </c>
      <c r="F386" s="8">
        <v>0.89162430458015152</v>
      </c>
    </row>
    <row r="387" spans="3:6" x14ac:dyDescent="0.25">
      <c r="C387" s="9" t="s">
        <v>542</v>
      </c>
      <c r="D387" s="8">
        <v>2</v>
      </c>
      <c r="E387" s="8">
        <v>4.2761752104821689</v>
      </c>
      <c r="F387" s="8">
        <v>-2.2761752104821689</v>
      </c>
    </row>
    <row r="388" spans="3:6" x14ac:dyDescent="0.25">
      <c r="C388" s="9" t="s">
        <v>543</v>
      </c>
      <c r="D388" s="8">
        <v>5</v>
      </c>
      <c r="E388" s="8">
        <v>4.4558106706673604</v>
      </c>
      <c r="F388" s="8">
        <v>0.54418932933263964</v>
      </c>
    </row>
    <row r="389" spans="3:6" x14ac:dyDescent="0.25">
      <c r="C389" s="9" t="s">
        <v>544</v>
      </c>
      <c r="D389" s="8">
        <v>2</v>
      </c>
      <c r="E389" s="8">
        <v>4.4703034241298427</v>
      </c>
      <c r="F389" s="8">
        <v>-2.4703034241298427</v>
      </c>
    </row>
    <row r="390" spans="3:6" x14ac:dyDescent="0.25">
      <c r="C390" s="9" t="s">
        <v>545</v>
      </c>
      <c r="D390" s="8">
        <v>2</v>
      </c>
      <c r="E390" s="8">
        <v>3.4498051935072778</v>
      </c>
      <c r="F390" s="8">
        <v>-1.4498051935072778</v>
      </c>
    </row>
    <row r="391" spans="3:6" x14ac:dyDescent="0.25">
      <c r="C391" s="9" t="s">
        <v>546</v>
      </c>
      <c r="D391" s="8">
        <v>5</v>
      </c>
      <c r="E391" s="8">
        <v>3.9224464644167312</v>
      </c>
      <c r="F391" s="8">
        <v>1.0775535355832688</v>
      </c>
    </row>
    <row r="392" spans="3:6" x14ac:dyDescent="0.25">
      <c r="C392" s="9" t="s">
        <v>547</v>
      </c>
      <c r="D392" s="8">
        <v>4</v>
      </c>
      <c r="E392" s="8">
        <v>4.2453711697225964</v>
      </c>
      <c r="F392" s="8">
        <v>-0.24537116972259643</v>
      </c>
    </row>
    <row r="393" spans="3:6" x14ac:dyDescent="0.25">
      <c r="C393" s="9" t="s">
        <v>548</v>
      </c>
      <c r="D393" s="8">
        <v>5</v>
      </c>
      <c r="E393" s="8">
        <v>4.5012109477836972</v>
      </c>
      <c r="F393" s="8">
        <v>0.49878905221630276</v>
      </c>
    </row>
    <row r="394" spans="3:6" x14ac:dyDescent="0.25">
      <c r="C394" s="9" t="s">
        <v>550</v>
      </c>
      <c r="D394" s="8">
        <v>4</v>
      </c>
      <c r="E394" s="8">
        <v>4.2288005755847378</v>
      </c>
      <c r="F394" s="8">
        <v>-0.22880057558473776</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Output1'!$B$10:$B$10" display="Inputs" xr:uid="{C17F14C6-B141-4E4F-BC01-0253B75539FE}"/>
    <hyperlink ref="D4" location="'LinReg_Output1'!$B$50:$B$50" display="Regression Summary" xr:uid="{EE2E4EC0-847F-48F9-9A30-39597C664B12}"/>
    <hyperlink ref="F4" location="'LinReg_Output1'!$B$59:$B$59" display="Predictor Screening" xr:uid="{B92BC3FC-1111-4564-BC31-A224BC93F64C}"/>
    <hyperlink ref="H4" location="'LinReg_Output1'!$B$82:$B$82" display="Coefficients" xr:uid="{B8FB91DB-29FD-4725-B025-D6E79CEACD80}"/>
    <hyperlink ref="J4" location="'LinReg_Stored2'!$B$10:$B$10" display="PMML Model" xr:uid="{B2150892-6E82-44D0-AB11-3FD458165E93}"/>
    <hyperlink ref="B5" location="'LinReg_TrainingScore2'!$B$10:$B$10" display="Training: Prediction Summary" xr:uid="{9867CE40-6D99-41CE-96D5-CFB31E8DBD77}"/>
    <hyperlink ref="D5" location="'LinReg_TrainingScore2'!$B$19:$B$19" display="Training: Prediction Details" xr:uid="{33CB7A1F-8874-49D8-AF2C-CB119018459D}"/>
    <hyperlink ref="F5" location="'LinReg_ValidationScore2'!$B$10:$B$10" display="Validation: Prediction Summary" xr:uid="{ED4A8CEB-6ED6-4BB3-84DA-254B8DB1593E}"/>
    <hyperlink ref="H5" location="'LinReg_ValidationScore2'!$B$19:$B$19" display="Validation: Prediction Details" xr:uid="{27558B1E-BEB6-4EA1-9729-1B53C252F0F1}"/>
  </hyperlinks>
  <pageMargins left="0.7" right="0.7" top="0.75" bottom="0.75" header="0.3" footer="0.3"/>
  <tableParts count="2">
    <tablePart r:id="rId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B0C7A-BF77-4704-85F8-1DE1C6895BB9}">
  <sheetPr codeName="Sheet19">
    <tabColor rgb="FF92D050"/>
  </sheetPr>
  <dimension ref="B1:Q114"/>
  <sheetViews>
    <sheetView showGridLines="0" workbookViewId="0">
      <selection activeCell="G412" sqref="G412"/>
    </sheetView>
  </sheetViews>
  <sheetFormatPr defaultRowHeight="15" x14ac:dyDescent="0.25"/>
  <cols>
    <col min="3" max="3" width="11.5703125" customWidth="1"/>
    <col min="5" max="5" width="18.140625" customWidth="1"/>
    <col min="6" max="6" width="10.7109375" customWidth="1"/>
    <col min="14" max="14" width="15.5703125" bestFit="1" customWidth="1"/>
  </cols>
  <sheetData>
    <row r="1" spans="2:17" ht="18.75" x14ac:dyDescent="0.3">
      <c r="B1" s="6" t="s">
        <v>725</v>
      </c>
      <c r="N1" t="s">
        <v>928</v>
      </c>
    </row>
    <row r="3" spans="2:17" ht="15.75" x14ac:dyDescent="0.25">
      <c r="B3" s="13" t="s">
        <v>147</v>
      </c>
      <c r="C3" s="14"/>
      <c r="D3" s="14"/>
      <c r="E3" s="14"/>
      <c r="F3" s="14"/>
      <c r="G3" s="14"/>
      <c r="H3" s="14"/>
      <c r="I3" s="14"/>
      <c r="J3" s="14"/>
      <c r="K3" s="15"/>
      <c r="N3" s="13" t="s">
        <v>148</v>
      </c>
      <c r="O3" s="14"/>
      <c r="P3" s="14"/>
      <c r="Q3" s="15"/>
    </row>
    <row r="4" spans="2:17" x14ac:dyDescent="0.25">
      <c r="B4" s="25" t="s">
        <v>153</v>
      </c>
      <c r="C4" s="21"/>
      <c r="D4" s="25" t="s">
        <v>720</v>
      </c>
      <c r="E4" s="21"/>
      <c r="F4" s="25" t="s">
        <v>721</v>
      </c>
      <c r="G4" s="21"/>
      <c r="H4" s="25" t="s">
        <v>722</v>
      </c>
      <c r="I4" s="21"/>
      <c r="J4" s="25" t="s">
        <v>645</v>
      </c>
      <c r="K4" s="21"/>
      <c r="N4" s="11" t="s">
        <v>149</v>
      </c>
      <c r="O4" s="11" t="s">
        <v>150</v>
      </c>
      <c r="P4" s="11" t="s">
        <v>151</v>
      </c>
      <c r="Q4" s="11" t="s">
        <v>152</v>
      </c>
    </row>
    <row r="5" spans="2:17" x14ac:dyDescent="0.25">
      <c r="B5" s="25" t="s">
        <v>723</v>
      </c>
      <c r="C5" s="21"/>
      <c r="D5" s="25" t="s">
        <v>830</v>
      </c>
      <c r="E5" s="21"/>
      <c r="F5" s="25" t="s">
        <v>724</v>
      </c>
      <c r="G5" s="21"/>
      <c r="H5" s="25" t="s">
        <v>831</v>
      </c>
      <c r="I5" s="21"/>
      <c r="J5" s="19"/>
      <c r="K5" s="21"/>
      <c r="N5" s="10">
        <v>13</v>
      </c>
      <c r="O5" s="10">
        <v>17</v>
      </c>
      <c r="P5" s="10">
        <v>16</v>
      </c>
      <c r="Q5" s="10">
        <v>46</v>
      </c>
    </row>
    <row r="10" spans="2:17" ht="18.75" x14ac:dyDescent="0.3">
      <c r="B10" s="7" t="s">
        <v>724</v>
      </c>
    </row>
    <row r="12" spans="2:17" x14ac:dyDescent="0.25">
      <c r="C12" t="s">
        <v>726</v>
      </c>
      <c r="D12" t="s">
        <v>727</v>
      </c>
    </row>
    <row r="13" spans="2:17" x14ac:dyDescent="0.25">
      <c r="C13" t="s">
        <v>728</v>
      </c>
      <c r="D13">
        <v>87.641489949115225</v>
      </c>
    </row>
    <row r="14" spans="2:17" x14ac:dyDescent="0.25">
      <c r="C14" t="s">
        <v>729</v>
      </c>
      <c r="D14">
        <v>0.94238161235607765</v>
      </c>
    </row>
    <row r="15" spans="2:17" x14ac:dyDescent="0.25">
      <c r="C15" t="s">
        <v>730</v>
      </c>
      <c r="D15">
        <v>0.97076341729387272</v>
      </c>
    </row>
    <row r="16" spans="2:17" x14ac:dyDescent="0.25">
      <c r="C16" t="s">
        <v>731</v>
      </c>
      <c r="D16">
        <v>0.76709394388733709</v>
      </c>
    </row>
    <row r="17" spans="2:6" x14ac:dyDescent="0.25">
      <c r="C17" t="s">
        <v>732</v>
      </c>
      <c r="D17">
        <v>9.8777248422409314E-2</v>
      </c>
    </row>
    <row r="19" spans="2:6" ht="18.75" x14ac:dyDescent="0.3">
      <c r="B19" s="7" t="s">
        <v>831</v>
      </c>
    </row>
    <row r="21" spans="2:6" x14ac:dyDescent="0.25">
      <c r="C21" s="9" t="s">
        <v>176</v>
      </c>
      <c r="D21" s="5" t="s">
        <v>4</v>
      </c>
      <c r="E21" s="5" t="s">
        <v>832</v>
      </c>
      <c r="F21" s="5" t="s">
        <v>833</v>
      </c>
    </row>
    <row r="22" spans="2:6" x14ac:dyDescent="0.25">
      <c r="C22" s="9" t="s">
        <v>549</v>
      </c>
      <c r="D22" s="8">
        <v>3</v>
      </c>
      <c r="E22" s="8">
        <v>4.0485450515053776</v>
      </c>
      <c r="F22" s="8">
        <v>-1.0485450515053776</v>
      </c>
    </row>
    <row r="23" spans="2:6" x14ac:dyDescent="0.25">
      <c r="C23" s="9" t="s">
        <v>551</v>
      </c>
      <c r="D23" s="8">
        <v>2</v>
      </c>
      <c r="E23" s="8">
        <v>3.5810374442542141</v>
      </c>
      <c r="F23" s="8">
        <v>-1.5810374442542141</v>
      </c>
    </row>
    <row r="24" spans="2:6" x14ac:dyDescent="0.25">
      <c r="C24" s="9" t="s">
        <v>552</v>
      </c>
      <c r="D24" s="8">
        <v>2</v>
      </c>
      <c r="E24" s="8">
        <v>4.1466155644829872</v>
      </c>
      <c r="F24" s="8">
        <v>-2.1466155644829872</v>
      </c>
    </row>
    <row r="25" spans="2:6" x14ac:dyDescent="0.25">
      <c r="C25" s="9" t="s">
        <v>553</v>
      </c>
      <c r="D25" s="8">
        <v>4</v>
      </c>
      <c r="E25" s="8">
        <v>4.366146586087174</v>
      </c>
      <c r="F25" s="8">
        <v>-0.36614658608717399</v>
      </c>
    </row>
    <row r="26" spans="2:6" x14ac:dyDescent="0.25">
      <c r="C26" s="9" t="s">
        <v>554</v>
      </c>
      <c r="D26" s="8">
        <v>3</v>
      </c>
      <c r="E26" s="8">
        <v>4.7223425505478538</v>
      </c>
      <c r="F26" s="8">
        <v>-1.7223425505478538</v>
      </c>
    </row>
    <row r="27" spans="2:6" x14ac:dyDescent="0.25">
      <c r="C27" s="9" t="s">
        <v>555</v>
      </c>
      <c r="D27" s="8">
        <v>3</v>
      </c>
      <c r="E27" s="8">
        <v>4.3130724076022062</v>
      </c>
      <c r="F27" s="8">
        <v>-1.3130724076022062</v>
      </c>
    </row>
    <row r="28" spans="2:6" x14ac:dyDescent="0.25">
      <c r="C28" s="9" t="s">
        <v>556</v>
      </c>
      <c r="D28" s="8">
        <v>4</v>
      </c>
      <c r="E28" s="8">
        <v>4.1833853396223759</v>
      </c>
      <c r="F28" s="8">
        <v>-0.18338533962237591</v>
      </c>
    </row>
    <row r="29" spans="2:6" x14ac:dyDescent="0.25">
      <c r="C29" s="9" t="s">
        <v>557</v>
      </c>
      <c r="D29" s="8">
        <v>4</v>
      </c>
      <c r="E29" s="8">
        <v>4.3662455784537508</v>
      </c>
      <c r="F29" s="8">
        <v>-0.36624557845375083</v>
      </c>
    </row>
    <row r="30" spans="2:6" x14ac:dyDescent="0.25">
      <c r="C30" s="9" t="s">
        <v>558</v>
      </c>
      <c r="D30" s="8">
        <v>3</v>
      </c>
      <c r="E30" s="8">
        <v>4.0594639800154084</v>
      </c>
      <c r="F30" s="8">
        <v>-1.0594639800154084</v>
      </c>
    </row>
    <row r="31" spans="2:6" x14ac:dyDescent="0.25">
      <c r="C31" s="9" t="s">
        <v>559</v>
      </c>
      <c r="D31" s="8">
        <v>4</v>
      </c>
      <c r="E31" s="8">
        <v>4.0425482190933284</v>
      </c>
      <c r="F31" s="8">
        <v>-4.2548219093328399E-2</v>
      </c>
    </row>
    <row r="32" spans="2:6" x14ac:dyDescent="0.25">
      <c r="C32" s="9" t="s">
        <v>560</v>
      </c>
      <c r="D32" s="8">
        <v>5</v>
      </c>
      <c r="E32" s="8">
        <v>4.143930718731446</v>
      </c>
      <c r="F32" s="8">
        <v>0.85606928126855397</v>
      </c>
    </row>
    <row r="33" spans="3:6" x14ac:dyDescent="0.25">
      <c r="C33" s="9" t="s">
        <v>561</v>
      </c>
      <c r="D33" s="8">
        <v>1</v>
      </c>
      <c r="E33" s="8">
        <v>4.2192933445150835</v>
      </c>
      <c r="F33" s="8">
        <v>-3.2192933445150835</v>
      </c>
    </row>
    <row r="34" spans="3:6" x14ac:dyDescent="0.25">
      <c r="C34" s="9" t="s">
        <v>562</v>
      </c>
      <c r="D34" s="8">
        <v>5</v>
      </c>
      <c r="E34" s="8">
        <v>4.110063084251415</v>
      </c>
      <c r="F34" s="8">
        <v>0.88993691574858502</v>
      </c>
    </row>
    <row r="35" spans="3:6" x14ac:dyDescent="0.25">
      <c r="C35" s="9" t="s">
        <v>563</v>
      </c>
      <c r="D35" s="8">
        <v>5</v>
      </c>
      <c r="E35" s="8">
        <v>4.7092643736247268</v>
      </c>
      <c r="F35" s="8">
        <v>0.29073562637527317</v>
      </c>
    </row>
    <row r="36" spans="3:6" x14ac:dyDescent="0.25">
      <c r="C36" s="9" t="s">
        <v>564</v>
      </c>
      <c r="D36" s="8">
        <v>5</v>
      </c>
      <c r="E36" s="8">
        <v>4.3838302428700251</v>
      </c>
      <c r="F36" s="8">
        <v>0.6161697571299749</v>
      </c>
    </row>
    <row r="37" spans="3:6" x14ac:dyDescent="0.25">
      <c r="C37" s="9" t="s">
        <v>565</v>
      </c>
      <c r="D37" s="8">
        <v>4</v>
      </c>
      <c r="E37" s="8">
        <v>4.2199950989113475</v>
      </c>
      <c r="F37" s="8">
        <v>-0.2199950989113475</v>
      </c>
    </row>
    <row r="38" spans="3:6" x14ac:dyDescent="0.25">
      <c r="C38" s="9" t="s">
        <v>566</v>
      </c>
      <c r="D38" s="8">
        <v>4</v>
      </c>
      <c r="E38" s="8">
        <v>4.0897772613504246</v>
      </c>
      <c r="F38" s="8">
        <v>-8.9777261350424631E-2</v>
      </c>
    </row>
    <row r="39" spans="3:6" x14ac:dyDescent="0.25">
      <c r="C39" s="9" t="s">
        <v>567</v>
      </c>
      <c r="D39" s="8">
        <v>5</v>
      </c>
      <c r="E39" s="8">
        <v>4.2197237689408915</v>
      </c>
      <c r="F39" s="8">
        <v>0.78027623105910848</v>
      </c>
    </row>
    <row r="40" spans="3:6" x14ac:dyDescent="0.25">
      <c r="C40" s="9" t="s">
        <v>568</v>
      </c>
      <c r="D40" s="8">
        <v>4</v>
      </c>
      <c r="E40" s="8">
        <v>3.4475480683552111</v>
      </c>
      <c r="F40" s="8">
        <v>0.5524519316447889</v>
      </c>
    </row>
    <row r="41" spans="3:6" x14ac:dyDescent="0.25">
      <c r="C41" s="9" t="s">
        <v>569</v>
      </c>
      <c r="D41" s="8">
        <v>5</v>
      </c>
      <c r="E41" s="8">
        <v>4.6020130547596008</v>
      </c>
      <c r="F41" s="8">
        <v>0.39798694524039924</v>
      </c>
    </row>
    <row r="42" spans="3:6" x14ac:dyDescent="0.25">
      <c r="C42" s="9" t="s">
        <v>570</v>
      </c>
      <c r="D42" s="8">
        <v>1</v>
      </c>
      <c r="E42" s="8">
        <v>4.0010774305716836</v>
      </c>
      <c r="F42" s="8">
        <v>-3.0010774305716836</v>
      </c>
    </row>
    <row r="43" spans="3:6" x14ac:dyDescent="0.25">
      <c r="C43" s="9" t="s">
        <v>571</v>
      </c>
      <c r="D43" s="8">
        <v>4</v>
      </c>
      <c r="E43" s="8">
        <v>3.9493742579191502</v>
      </c>
      <c r="F43" s="8">
        <v>5.06257420808498E-2</v>
      </c>
    </row>
    <row r="44" spans="3:6" x14ac:dyDescent="0.25">
      <c r="C44" s="9" t="s">
        <v>572</v>
      </c>
      <c r="D44" s="8">
        <v>5</v>
      </c>
      <c r="E44" s="8">
        <v>3.852877647376435</v>
      </c>
      <c r="F44" s="8">
        <v>1.147122352623565</v>
      </c>
    </row>
    <row r="45" spans="3:6" x14ac:dyDescent="0.25">
      <c r="C45" s="9" t="s">
        <v>573</v>
      </c>
      <c r="D45" s="8">
        <v>4</v>
      </c>
      <c r="E45" s="8">
        <v>4.0345376661337129</v>
      </c>
      <c r="F45" s="8">
        <v>-3.4537666133712897E-2</v>
      </c>
    </row>
    <row r="46" spans="3:6" x14ac:dyDescent="0.25">
      <c r="C46" s="9" t="s">
        <v>574</v>
      </c>
      <c r="D46" s="8">
        <v>4</v>
      </c>
      <c r="E46" s="8">
        <v>3.6753107418909434</v>
      </c>
      <c r="F46" s="8">
        <v>0.32468925810905658</v>
      </c>
    </row>
    <row r="47" spans="3:6" x14ac:dyDescent="0.25">
      <c r="C47" s="9" t="s">
        <v>575</v>
      </c>
      <c r="D47" s="8">
        <v>5</v>
      </c>
      <c r="E47" s="8">
        <v>4.2471312973115651</v>
      </c>
      <c r="F47" s="8">
        <v>0.75286870268843487</v>
      </c>
    </row>
    <row r="48" spans="3:6" x14ac:dyDescent="0.25">
      <c r="C48" s="9" t="s">
        <v>576</v>
      </c>
      <c r="D48" s="8">
        <v>5</v>
      </c>
      <c r="E48" s="8">
        <v>4.0338836134548641</v>
      </c>
      <c r="F48" s="8">
        <v>0.96611638654513587</v>
      </c>
    </row>
    <row r="49" spans="3:6" x14ac:dyDescent="0.25">
      <c r="C49" s="9" t="s">
        <v>577</v>
      </c>
      <c r="D49" s="8">
        <v>3</v>
      </c>
      <c r="E49" s="8">
        <v>4.2519153879133968</v>
      </c>
      <c r="F49" s="8">
        <v>-1.2519153879133968</v>
      </c>
    </row>
    <row r="50" spans="3:6" x14ac:dyDescent="0.25">
      <c r="C50" s="9" t="s">
        <v>578</v>
      </c>
      <c r="D50" s="8">
        <v>5</v>
      </c>
      <c r="E50" s="8">
        <v>3.6256685160433975</v>
      </c>
      <c r="F50" s="8">
        <v>1.3743314839566025</v>
      </c>
    </row>
    <row r="51" spans="3:6" x14ac:dyDescent="0.25">
      <c r="C51" s="9" t="s">
        <v>579</v>
      </c>
      <c r="D51" s="8">
        <v>3</v>
      </c>
      <c r="E51" s="8">
        <v>3.3722392900003095</v>
      </c>
      <c r="F51" s="8">
        <v>-0.37223929000030953</v>
      </c>
    </row>
    <row r="52" spans="3:6" x14ac:dyDescent="0.25">
      <c r="C52" s="9" t="s">
        <v>580</v>
      </c>
      <c r="D52" s="8">
        <v>5</v>
      </c>
      <c r="E52" s="8">
        <v>3.8868876911304322</v>
      </c>
      <c r="F52" s="8">
        <v>1.1131123088695678</v>
      </c>
    </row>
    <row r="53" spans="3:6" x14ac:dyDescent="0.25">
      <c r="C53" s="9" t="s">
        <v>581</v>
      </c>
      <c r="D53" s="8">
        <v>5</v>
      </c>
      <c r="E53" s="8">
        <v>4.9263376053722139</v>
      </c>
      <c r="F53" s="8">
        <v>7.3662394627786121E-2</v>
      </c>
    </row>
    <row r="54" spans="3:6" x14ac:dyDescent="0.25">
      <c r="C54" s="9" t="s">
        <v>582</v>
      </c>
      <c r="D54" s="8">
        <v>5</v>
      </c>
      <c r="E54" s="8">
        <v>4.0273988639385543</v>
      </c>
      <c r="F54" s="8">
        <v>0.97260113606144571</v>
      </c>
    </row>
    <row r="55" spans="3:6" x14ac:dyDescent="0.25">
      <c r="C55" s="9" t="s">
        <v>583</v>
      </c>
      <c r="D55" s="8">
        <v>4</v>
      </c>
      <c r="E55" s="8">
        <v>3.8347415067655302</v>
      </c>
      <c r="F55" s="8">
        <v>0.16525849323446984</v>
      </c>
    </row>
    <row r="56" spans="3:6" x14ac:dyDescent="0.25">
      <c r="C56" s="9" t="s">
        <v>584</v>
      </c>
      <c r="D56" s="8">
        <v>4</v>
      </c>
      <c r="E56" s="8">
        <v>4.3472182292455113</v>
      </c>
      <c r="F56" s="8">
        <v>-0.34721822924551127</v>
      </c>
    </row>
    <row r="57" spans="3:6" x14ac:dyDescent="0.25">
      <c r="C57" s="9" t="s">
        <v>585</v>
      </c>
      <c r="D57" s="8">
        <v>5</v>
      </c>
      <c r="E57" s="8">
        <v>4.4436203042933036</v>
      </c>
      <c r="F57" s="8">
        <v>0.55637969570669643</v>
      </c>
    </row>
    <row r="58" spans="3:6" x14ac:dyDescent="0.25">
      <c r="C58" s="9" t="s">
        <v>586</v>
      </c>
      <c r="D58" s="8">
        <v>5</v>
      </c>
      <c r="E58" s="8">
        <v>4.5853138377729401</v>
      </c>
      <c r="F58" s="8">
        <v>0.4146861622270599</v>
      </c>
    </row>
    <row r="59" spans="3:6" x14ac:dyDescent="0.25">
      <c r="C59" s="9" t="s">
        <v>587</v>
      </c>
      <c r="D59" s="8">
        <v>3</v>
      </c>
      <c r="E59" s="8">
        <v>3.8220126815993711</v>
      </c>
      <c r="F59" s="8">
        <v>-0.82201268159937113</v>
      </c>
    </row>
    <row r="60" spans="3:6" x14ac:dyDescent="0.25">
      <c r="C60" s="9" t="s">
        <v>588</v>
      </c>
      <c r="D60" s="8">
        <v>5</v>
      </c>
      <c r="E60" s="8">
        <v>4.2519470540406283</v>
      </c>
      <c r="F60" s="8">
        <v>0.74805294595937166</v>
      </c>
    </row>
    <row r="61" spans="3:6" x14ac:dyDescent="0.25">
      <c r="C61" s="9" t="s">
        <v>589</v>
      </c>
      <c r="D61" s="8">
        <v>4</v>
      </c>
      <c r="E61" s="8">
        <v>4.335591986761191</v>
      </c>
      <c r="F61" s="8">
        <v>-0.33559198676119095</v>
      </c>
    </row>
    <row r="62" spans="3:6" x14ac:dyDescent="0.25">
      <c r="C62" s="9" t="s">
        <v>590</v>
      </c>
      <c r="D62" s="8">
        <v>4</v>
      </c>
      <c r="E62" s="8">
        <v>3.9048432237422293</v>
      </c>
      <c r="F62" s="8">
        <v>9.5156776257770748E-2</v>
      </c>
    </row>
    <row r="63" spans="3:6" x14ac:dyDescent="0.25">
      <c r="C63" s="9" t="s">
        <v>591</v>
      </c>
      <c r="D63" s="8">
        <v>5</v>
      </c>
      <c r="E63" s="8">
        <v>4.8621542219963407</v>
      </c>
      <c r="F63" s="8">
        <v>0.13784577800365927</v>
      </c>
    </row>
    <row r="64" spans="3:6" x14ac:dyDescent="0.25">
      <c r="C64" s="9" t="s">
        <v>592</v>
      </c>
      <c r="D64" s="8">
        <v>5</v>
      </c>
      <c r="E64" s="8">
        <v>4.350634134616322</v>
      </c>
      <c r="F64" s="8">
        <v>0.64936586538367802</v>
      </c>
    </row>
    <row r="65" spans="3:6" x14ac:dyDescent="0.25">
      <c r="C65" s="9" t="s">
        <v>593</v>
      </c>
      <c r="D65" s="8">
        <v>5</v>
      </c>
      <c r="E65" s="8">
        <v>4.4350868560314343</v>
      </c>
      <c r="F65" s="8">
        <v>0.56491314396856573</v>
      </c>
    </row>
    <row r="66" spans="3:6" x14ac:dyDescent="0.25">
      <c r="C66" s="9" t="s">
        <v>594</v>
      </c>
      <c r="D66" s="8">
        <v>5</v>
      </c>
      <c r="E66" s="8">
        <v>5.0439416734047127</v>
      </c>
      <c r="F66" s="8">
        <v>-4.3941673404712667E-2</v>
      </c>
    </row>
    <row r="67" spans="3:6" x14ac:dyDescent="0.25">
      <c r="C67" s="9" t="s">
        <v>595</v>
      </c>
      <c r="D67" s="8">
        <v>5</v>
      </c>
      <c r="E67" s="8">
        <v>4.7033702489206171</v>
      </c>
      <c r="F67" s="8">
        <v>0.29662975107938294</v>
      </c>
    </row>
    <row r="68" spans="3:6" x14ac:dyDescent="0.25">
      <c r="C68" s="9" t="s">
        <v>596</v>
      </c>
      <c r="D68" s="8">
        <v>5</v>
      </c>
      <c r="E68" s="8">
        <v>4.1206812331588187</v>
      </c>
      <c r="F68" s="8">
        <v>0.87931876684118127</v>
      </c>
    </row>
    <row r="69" spans="3:6" x14ac:dyDescent="0.25">
      <c r="C69" s="9" t="s">
        <v>597</v>
      </c>
      <c r="D69" s="8">
        <v>5</v>
      </c>
      <c r="E69" s="8">
        <v>4.7117067678504068</v>
      </c>
      <c r="F69" s="8">
        <v>0.28829323214959324</v>
      </c>
    </row>
    <row r="70" spans="3:6" x14ac:dyDescent="0.25">
      <c r="C70" s="9" t="s">
        <v>598</v>
      </c>
      <c r="D70" s="8">
        <v>5</v>
      </c>
      <c r="E70" s="8">
        <v>3.4653669854661571</v>
      </c>
      <c r="F70" s="8">
        <v>1.5346330145338429</v>
      </c>
    </row>
    <row r="71" spans="3:6" x14ac:dyDescent="0.25">
      <c r="C71" s="9" t="s">
        <v>599</v>
      </c>
      <c r="D71" s="8">
        <v>4</v>
      </c>
      <c r="E71" s="8">
        <v>3.4429912495280477</v>
      </c>
      <c r="F71" s="8">
        <v>0.55700875047195231</v>
      </c>
    </row>
    <row r="72" spans="3:6" x14ac:dyDescent="0.25">
      <c r="C72" s="9" t="s">
        <v>600</v>
      </c>
      <c r="D72" s="8">
        <v>4</v>
      </c>
      <c r="E72" s="8">
        <v>4.0548668874732865</v>
      </c>
      <c r="F72" s="8">
        <v>-5.4866887473286496E-2</v>
      </c>
    </row>
    <row r="73" spans="3:6" x14ac:dyDescent="0.25">
      <c r="C73" s="9" t="s">
        <v>601</v>
      </c>
      <c r="D73" s="8">
        <v>4</v>
      </c>
      <c r="E73" s="8">
        <v>4.5334939943082961</v>
      </c>
      <c r="F73" s="8">
        <v>-0.53349399430829614</v>
      </c>
    </row>
    <row r="74" spans="3:6" x14ac:dyDescent="0.25">
      <c r="C74" s="9" t="s">
        <v>602</v>
      </c>
      <c r="D74" s="8">
        <v>5</v>
      </c>
      <c r="E74" s="8">
        <v>4.5746067583643386</v>
      </c>
      <c r="F74" s="8">
        <v>0.42539324163566139</v>
      </c>
    </row>
    <row r="75" spans="3:6" x14ac:dyDescent="0.25">
      <c r="C75" s="9" t="s">
        <v>603</v>
      </c>
      <c r="D75" s="8">
        <v>3</v>
      </c>
      <c r="E75" s="8">
        <v>3.7886695284532688</v>
      </c>
      <c r="F75" s="8">
        <v>-0.78866952845326876</v>
      </c>
    </row>
    <row r="76" spans="3:6" x14ac:dyDescent="0.25">
      <c r="C76" s="9" t="s">
        <v>604</v>
      </c>
      <c r="D76" s="8">
        <v>5</v>
      </c>
      <c r="E76" s="8">
        <v>3.8470115009221604</v>
      </c>
      <c r="F76" s="8">
        <v>1.1529884990778396</v>
      </c>
    </row>
    <row r="77" spans="3:6" x14ac:dyDescent="0.25">
      <c r="C77" s="9" t="s">
        <v>605</v>
      </c>
      <c r="D77" s="8">
        <v>3</v>
      </c>
      <c r="E77" s="8">
        <v>3.6293791585599919</v>
      </c>
      <c r="F77" s="8">
        <v>-0.62937915855999194</v>
      </c>
    </row>
    <row r="78" spans="3:6" x14ac:dyDescent="0.25">
      <c r="C78" s="9" t="s">
        <v>606</v>
      </c>
      <c r="D78" s="8">
        <v>4</v>
      </c>
      <c r="E78" s="8">
        <v>4.3041520803848323</v>
      </c>
      <c r="F78" s="8">
        <v>-0.30415208038483232</v>
      </c>
    </row>
    <row r="79" spans="3:6" x14ac:dyDescent="0.25">
      <c r="C79" s="9" t="s">
        <v>607</v>
      </c>
      <c r="D79" s="8">
        <v>4</v>
      </c>
      <c r="E79" s="8">
        <v>3.8900022857521295</v>
      </c>
      <c r="F79" s="8">
        <v>0.10999771424787053</v>
      </c>
    </row>
    <row r="80" spans="3:6" x14ac:dyDescent="0.25">
      <c r="C80" s="9" t="s">
        <v>608</v>
      </c>
      <c r="D80" s="8">
        <v>5</v>
      </c>
      <c r="E80" s="8">
        <v>4.9251026351978142</v>
      </c>
      <c r="F80" s="8">
        <v>7.4897364802185784E-2</v>
      </c>
    </row>
    <row r="81" spans="3:6" x14ac:dyDescent="0.25">
      <c r="C81" s="9" t="s">
        <v>609</v>
      </c>
      <c r="D81" s="8">
        <v>5</v>
      </c>
      <c r="E81" s="8">
        <v>4.5219158630150513</v>
      </c>
      <c r="F81" s="8">
        <v>0.47808413698494867</v>
      </c>
    </row>
    <row r="82" spans="3:6" x14ac:dyDescent="0.25">
      <c r="C82" s="9" t="s">
        <v>610</v>
      </c>
      <c r="D82" s="8">
        <v>4</v>
      </c>
      <c r="E82" s="8">
        <v>4.5804808905542238</v>
      </c>
      <c r="F82" s="8">
        <v>-0.58048089055422381</v>
      </c>
    </row>
    <row r="83" spans="3:6" x14ac:dyDescent="0.25">
      <c r="C83" s="9" t="s">
        <v>611</v>
      </c>
      <c r="D83" s="8">
        <v>5</v>
      </c>
      <c r="E83" s="8">
        <v>3.7493582185149519</v>
      </c>
      <c r="F83" s="8">
        <v>1.2506417814850481</v>
      </c>
    </row>
    <row r="84" spans="3:6" x14ac:dyDescent="0.25">
      <c r="C84" s="9" t="s">
        <v>612</v>
      </c>
      <c r="D84" s="8">
        <v>3</v>
      </c>
      <c r="E84" s="8">
        <v>4.3835839460409476</v>
      </c>
      <c r="F84" s="8">
        <v>-1.3835839460409476</v>
      </c>
    </row>
    <row r="85" spans="3:6" x14ac:dyDescent="0.25">
      <c r="C85" s="9" t="s">
        <v>613</v>
      </c>
      <c r="D85" s="8">
        <v>3</v>
      </c>
      <c r="E85" s="8">
        <v>3.8706913225401611</v>
      </c>
      <c r="F85" s="8">
        <v>-0.87069132254016113</v>
      </c>
    </row>
    <row r="86" spans="3:6" x14ac:dyDescent="0.25">
      <c r="C86" s="9" t="s">
        <v>614</v>
      </c>
      <c r="D86" s="8">
        <v>5</v>
      </c>
      <c r="E86" s="8">
        <v>3.7833029825333182</v>
      </c>
      <c r="F86" s="8">
        <v>1.2166970174666818</v>
      </c>
    </row>
    <row r="87" spans="3:6" x14ac:dyDescent="0.25">
      <c r="C87" s="9" t="s">
        <v>615</v>
      </c>
      <c r="D87" s="8">
        <v>4</v>
      </c>
      <c r="E87" s="8">
        <v>4.011948114870763</v>
      </c>
      <c r="F87" s="8">
        <v>-1.1948114870762971E-2</v>
      </c>
    </row>
    <row r="88" spans="3:6" x14ac:dyDescent="0.25">
      <c r="C88" s="9" t="s">
        <v>616</v>
      </c>
      <c r="D88" s="8">
        <v>5</v>
      </c>
      <c r="E88" s="8">
        <v>3.8318851116845436</v>
      </c>
      <c r="F88" s="8">
        <v>1.1681148883154564</v>
      </c>
    </row>
    <row r="89" spans="3:6" x14ac:dyDescent="0.25">
      <c r="C89" s="9" t="s">
        <v>617</v>
      </c>
      <c r="D89" s="8">
        <v>4</v>
      </c>
      <c r="E89" s="8">
        <v>3.56167320891061</v>
      </c>
      <c r="F89" s="8">
        <v>0.43832679108938999</v>
      </c>
    </row>
    <row r="90" spans="3:6" x14ac:dyDescent="0.25">
      <c r="C90" s="9" t="s">
        <v>618</v>
      </c>
      <c r="D90" s="8">
        <v>2</v>
      </c>
      <c r="E90" s="8">
        <v>3.7092049336421575</v>
      </c>
      <c r="F90" s="8">
        <v>-1.7092049336421575</v>
      </c>
    </row>
    <row r="91" spans="3:6" x14ac:dyDescent="0.25">
      <c r="C91" s="9" t="s">
        <v>619</v>
      </c>
      <c r="D91" s="8">
        <v>5</v>
      </c>
      <c r="E91" s="8">
        <v>4.1517011350656334</v>
      </c>
      <c r="F91" s="8">
        <v>0.84829886493436657</v>
      </c>
    </row>
    <row r="92" spans="3:6" x14ac:dyDescent="0.25">
      <c r="C92" s="9" t="s">
        <v>620</v>
      </c>
      <c r="D92" s="8">
        <v>2</v>
      </c>
      <c r="E92" s="8">
        <v>3.7230711741300886</v>
      </c>
      <c r="F92" s="8">
        <v>-1.7230711741300886</v>
      </c>
    </row>
    <row r="93" spans="3:6" x14ac:dyDescent="0.25">
      <c r="C93" s="9" t="s">
        <v>621</v>
      </c>
      <c r="D93" s="8">
        <v>5</v>
      </c>
      <c r="E93" s="8">
        <v>4.0421172921980393</v>
      </c>
      <c r="F93" s="8">
        <v>0.95788270780196072</v>
      </c>
    </row>
    <row r="94" spans="3:6" x14ac:dyDescent="0.25">
      <c r="C94" s="9" t="s">
        <v>622</v>
      </c>
      <c r="D94" s="8">
        <v>4</v>
      </c>
      <c r="E94" s="8">
        <v>4.3532030652543403</v>
      </c>
      <c r="F94" s="8">
        <v>-0.35320306525434031</v>
      </c>
    </row>
    <row r="95" spans="3:6" x14ac:dyDescent="0.25">
      <c r="C95" s="9" t="s">
        <v>623</v>
      </c>
      <c r="D95" s="8">
        <v>5</v>
      </c>
      <c r="E95" s="8">
        <v>4.0474949636146338</v>
      </c>
      <c r="F95" s="8">
        <v>0.95250503638536621</v>
      </c>
    </row>
    <row r="96" spans="3:6" x14ac:dyDescent="0.25">
      <c r="C96" s="9" t="s">
        <v>624</v>
      </c>
      <c r="D96" s="8">
        <v>5</v>
      </c>
      <c r="E96" s="8">
        <v>4.7641036713830553</v>
      </c>
      <c r="F96" s="8">
        <v>0.23589632861694465</v>
      </c>
    </row>
    <row r="97" spans="3:6" x14ac:dyDescent="0.25">
      <c r="C97" s="9" t="s">
        <v>625</v>
      </c>
      <c r="D97" s="8">
        <v>5</v>
      </c>
      <c r="E97" s="8">
        <v>4.4018479815948997</v>
      </c>
      <c r="F97" s="8">
        <v>0.59815201840510035</v>
      </c>
    </row>
    <row r="98" spans="3:6" x14ac:dyDescent="0.25">
      <c r="C98" s="9" t="s">
        <v>626</v>
      </c>
      <c r="D98" s="8">
        <v>2</v>
      </c>
      <c r="E98" s="8">
        <v>3.8409855442832277</v>
      </c>
      <c r="F98" s="8">
        <v>-1.8409855442832277</v>
      </c>
    </row>
    <row r="99" spans="3:6" x14ac:dyDescent="0.25">
      <c r="C99" s="9" t="s">
        <v>627</v>
      </c>
      <c r="D99" s="8">
        <v>3</v>
      </c>
      <c r="E99" s="8">
        <v>4.1064395155982121</v>
      </c>
      <c r="F99" s="8">
        <v>-1.1064395155982121</v>
      </c>
    </row>
    <row r="100" spans="3:6" x14ac:dyDescent="0.25">
      <c r="C100" s="9" t="s">
        <v>628</v>
      </c>
      <c r="D100" s="8">
        <v>5</v>
      </c>
      <c r="E100" s="8">
        <v>4.08526010840583</v>
      </c>
      <c r="F100" s="8">
        <v>0.91473989159417002</v>
      </c>
    </row>
    <row r="101" spans="3:6" x14ac:dyDescent="0.25">
      <c r="C101" s="9" t="s">
        <v>629</v>
      </c>
      <c r="D101" s="8">
        <v>5</v>
      </c>
      <c r="E101" s="8">
        <v>3.9399797519824511</v>
      </c>
      <c r="F101" s="8">
        <v>1.0600202480175489</v>
      </c>
    </row>
    <row r="102" spans="3:6" x14ac:dyDescent="0.25">
      <c r="C102" s="9" t="s">
        <v>630</v>
      </c>
      <c r="D102" s="8">
        <v>3</v>
      </c>
      <c r="E102" s="8">
        <v>4.0809380409944414</v>
      </c>
      <c r="F102" s="8">
        <v>-1.0809380409944414</v>
      </c>
    </row>
    <row r="103" spans="3:6" x14ac:dyDescent="0.25">
      <c r="C103" s="9" t="s">
        <v>631</v>
      </c>
      <c r="D103" s="8">
        <v>3</v>
      </c>
      <c r="E103" s="8">
        <v>4.5654574411364131</v>
      </c>
      <c r="F103" s="8">
        <v>-1.5654574411364131</v>
      </c>
    </row>
    <row r="104" spans="3:6" x14ac:dyDescent="0.25">
      <c r="C104" s="9" t="s">
        <v>632</v>
      </c>
      <c r="D104" s="8">
        <v>3</v>
      </c>
      <c r="E104" s="8">
        <v>3.8733172273010461</v>
      </c>
      <c r="F104" s="8">
        <v>-0.87331722730104611</v>
      </c>
    </row>
    <row r="105" spans="3:6" x14ac:dyDescent="0.25">
      <c r="C105" s="9" t="s">
        <v>633</v>
      </c>
      <c r="D105" s="8">
        <v>5</v>
      </c>
      <c r="E105" s="8">
        <v>3.762697606114636</v>
      </c>
      <c r="F105" s="8">
        <v>1.237302393885364</v>
      </c>
    </row>
    <row r="106" spans="3:6" x14ac:dyDescent="0.25">
      <c r="C106" s="9" t="s">
        <v>634</v>
      </c>
      <c r="D106" s="8">
        <v>5</v>
      </c>
      <c r="E106" s="8">
        <v>4.5844913796933229</v>
      </c>
      <c r="F106" s="8">
        <v>0.41550862030667712</v>
      </c>
    </row>
    <row r="107" spans="3:6" x14ac:dyDescent="0.25">
      <c r="C107" s="9" t="s">
        <v>635</v>
      </c>
      <c r="D107" s="8">
        <v>5</v>
      </c>
      <c r="E107" s="8">
        <v>4.3724291685577201</v>
      </c>
      <c r="F107" s="8">
        <v>0.62757083144227988</v>
      </c>
    </row>
    <row r="108" spans="3:6" x14ac:dyDescent="0.25">
      <c r="C108" s="9" t="s">
        <v>636</v>
      </c>
      <c r="D108" s="8">
        <v>5</v>
      </c>
      <c r="E108" s="8">
        <v>4.0702636683495843</v>
      </c>
      <c r="F108" s="8">
        <v>0.92973633165041569</v>
      </c>
    </row>
    <row r="109" spans="3:6" x14ac:dyDescent="0.25">
      <c r="C109" s="9" t="s">
        <v>637</v>
      </c>
      <c r="D109" s="8">
        <v>5</v>
      </c>
      <c r="E109" s="8">
        <v>4.5807951595501679</v>
      </c>
      <c r="F109" s="8">
        <v>0.41920484044983208</v>
      </c>
    </row>
    <row r="110" spans="3:6" x14ac:dyDescent="0.25">
      <c r="C110" s="9" t="s">
        <v>638</v>
      </c>
      <c r="D110" s="8">
        <v>5</v>
      </c>
      <c r="E110" s="8">
        <v>4.6177827557859246</v>
      </c>
      <c r="F110" s="8">
        <v>0.38221724421407544</v>
      </c>
    </row>
    <row r="111" spans="3:6" x14ac:dyDescent="0.25">
      <c r="C111" s="9" t="s">
        <v>639</v>
      </c>
      <c r="D111" s="8">
        <v>5</v>
      </c>
      <c r="E111" s="8">
        <v>4.0139889351836713</v>
      </c>
      <c r="F111" s="8">
        <v>0.98601106481632872</v>
      </c>
    </row>
    <row r="112" spans="3:6" x14ac:dyDescent="0.25">
      <c r="C112" s="9" t="s">
        <v>640</v>
      </c>
      <c r="D112" s="8">
        <v>5</v>
      </c>
      <c r="E112" s="8">
        <v>4.4624882450948649</v>
      </c>
      <c r="F112" s="8">
        <v>0.53751175490513514</v>
      </c>
    </row>
    <row r="113" spans="3:6" x14ac:dyDescent="0.25">
      <c r="C113" s="9" t="s">
        <v>641</v>
      </c>
      <c r="D113" s="8">
        <v>5</v>
      </c>
      <c r="E113" s="8">
        <v>4.307023894054236</v>
      </c>
      <c r="F113" s="8">
        <v>0.69297610594576398</v>
      </c>
    </row>
    <row r="114" spans="3:6" x14ac:dyDescent="0.25">
      <c r="C114" s="9" t="s">
        <v>642</v>
      </c>
      <c r="D114" s="8">
        <v>4</v>
      </c>
      <c r="E114" s="8">
        <v>3.7941234043975269</v>
      </c>
      <c r="F114" s="8">
        <v>0.20587659560247307</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Output1'!$B$10:$B$10" display="Inputs" xr:uid="{3DBD6B5F-BFA9-4AA6-9C19-E0C8FE6D1160}"/>
    <hyperlink ref="D4" location="'LinReg_Output1'!$B$50:$B$50" display="Regression Summary" xr:uid="{DF7D1901-912F-4F0D-A091-2854750037E8}"/>
    <hyperlink ref="F4" location="'LinReg_Output1'!$B$59:$B$59" display="Predictor Screening" xr:uid="{CECF8F31-565B-459C-9E9E-E75A3CD78011}"/>
    <hyperlink ref="H4" location="'LinReg_Output1'!$B$82:$B$82" display="Coefficients" xr:uid="{29CC00F2-795B-4BCF-A1E3-FCF105BCB74D}"/>
    <hyperlink ref="J4" location="'LinReg_Stored2'!$B$10:$B$10" display="PMML Model" xr:uid="{668876F2-8BFA-4B80-8654-63481D2B0AE7}"/>
    <hyperlink ref="B5" location="'LinReg_TrainingScore2'!$B$10:$B$10" display="Training: Prediction Summary" xr:uid="{1FC97830-316C-4957-A0D6-35E87E13A5B5}"/>
    <hyperlink ref="D5" location="'LinReg_TrainingScore2'!$B$19:$B$19" display="Training: Prediction Details" xr:uid="{1C94C4C3-97A1-44A8-85AC-5B82620C400F}"/>
    <hyperlink ref="F5" location="'LinReg_ValidationScore2'!$B$10:$B$10" display="Validation: Prediction Summary" xr:uid="{593337F5-048A-4C86-810E-5EB4D7D2EA0C}"/>
    <hyperlink ref="H5" location="'LinReg_ValidationScore2'!$B$19:$B$19" display="Validation: Prediction Details" xr:uid="{D1C0D27B-1498-444E-8F5C-0A12F15B5B0F}"/>
  </hyperlinks>
  <pageMargins left="0.7" right="0.7" top="0.75" bottom="0.75" header="0.3" footer="0.3"/>
  <tableParts count="2">
    <tablePart r:id="rId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E2557-BCE3-44F8-AF35-7E1BFB5AF9C3}">
  <sheetPr codeName="Sheet20">
    <tabColor rgb="FF92D050"/>
  </sheetPr>
  <dimension ref="B1:Q78"/>
  <sheetViews>
    <sheetView showGridLines="0" workbookViewId="0">
      <selection activeCell="G412" sqref="G412"/>
    </sheetView>
  </sheetViews>
  <sheetFormatPr defaultRowHeight="15" x14ac:dyDescent="0.25"/>
  <cols>
    <col min="14" max="14" width="15.5703125" bestFit="1" customWidth="1"/>
  </cols>
  <sheetData>
    <row r="1" spans="2:17" ht="18.75" x14ac:dyDescent="0.3">
      <c r="B1" s="6" t="s">
        <v>644</v>
      </c>
      <c r="N1" t="s">
        <v>928</v>
      </c>
    </row>
    <row r="3" spans="2:17" ht="15.75" x14ac:dyDescent="0.25">
      <c r="B3" s="13" t="s">
        <v>147</v>
      </c>
      <c r="C3" s="14"/>
      <c r="D3" s="14"/>
      <c r="E3" s="14"/>
      <c r="F3" s="14"/>
      <c r="G3" s="14"/>
      <c r="H3" s="14"/>
      <c r="I3" s="14"/>
      <c r="J3" s="14"/>
      <c r="K3" s="15"/>
      <c r="N3" s="13" t="s">
        <v>148</v>
      </c>
      <c r="O3" s="14"/>
      <c r="P3" s="14"/>
      <c r="Q3" s="15"/>
    </row>
    <row r="4" spans="2:17" x14ac:dyDescent="0.25">
      <c r="B4" s="25" t="s">
        <v>153</v>
      </c>
      <c r="C4" s="21"/>
      <c r="D4" s="25" t="s">
        <v>720</v>
      </c>
      <c r="E4" s="21"/>
      <c r="F4" s="25" t="s">
        <v>721</v>
      </c>
      <c r="G4" s="21"/>
      <c r="H4" s="25" t="s">
        <v>722</v>
      </c>
      <c r="I4" s="21"/>
      <c r="J4" s="25" t="s">
        <v>645</v>
      </c>
      <c r="K4" s="21"/>
      <c r="N4" s="11" t="s">
        <v>149</v>
      </c>
      <c r="O4" s="11" t="s">
        <v>150</v>
      </c>
      <c r="P4" s="11" t="s">
        <v>151</v>
      </c>
      <c r="Q4" s="11" t="s">
        <v>152</v>
      </c>
    </row>
    <row r="5" spans="2:17" x14ac:dyDescent="0.25">
      <c r="B5" s="25" t="s">
        <v>723</v>
      </c>
      <c r="C5" s="21"/>
      <c r="D5" s="25" t="s">
        <v>830</v>
      </c>
      <c r="E5" s="21"/>
      <c r="F5" s="25" t="s">
        <v>724</v>
      </c>
      <c r="G5" s="21"/>
      <c r="H5" s="25" t="s">
        <v>831</v>
      </c>
      <c r="I5" s="21"/>
      <c r="J5" s="19"/>
      <c r="K5" s="21"/>
      <c r="N5" s="10">
        <v>13</v>
      </c>
      <c r="O5" s="10">
        <v>17</v>
      </c>
      <c r="P5" s="10">
        <v>16</v>
      </c>
      <c r="Q5" s="10">
        <v>46</v>
      </c>
    </row>
    <row r="10" spans="2:17" ht="18.75" x14ac:dyDescent="0.3">
      <c r="B10" s="7" t="s">
        <v>645</v>
      </c>
    </row>
    <row r="12" spans="2:17" x14ac:dyDescent="0.25">
      <c r="B12" t="s">
        <v>646</v>
      </c>
    </row>
    <row r="13" spans="2:17" x14ac:dyDescent="0.25">
      <c r="B13" t="s">
        <v>647</v>
      </c>
    </row>
    <row r="14" spans="2:17" x14ac:dyDescent="0.25">
      <c r="B14" t="s">
        <v>648</v>
      </c>
    </row>
    <row r="15" spans="2:17" x14ac:dyDescent="0.25">
      <c r="B15" t="s">
        <v>649</v>
      </c>
    </row>
    <row r="16" spans="2:17" x14ac:dyDescent="0.25">
      <c r="B16" t="s">
        <v>929</v>
      </c>
    </row>
    <row r="17" spans="2:2" x14ac:dyDescent="0.25">
      <c r="B17" t="s">
        <v>650</v>
      </c>
    </row>
    <row r="18" spans="2:2" x14ac:dyDescent="0.25">
      <c r="B18" t="s">
        <v>651</v>
      </c>
    </row>
    <row r="19" spans="2:2" x14ac:dyDescent="0.25">
      <c r="B19" t="s">
        <v>930</v>
      </c>
    </row>
    <row r="20" spans="2:2" x14ac:dyDescent="0.25">
      <c r="B20" t="s">
        <v>653</v>
      </c>
    </row>
    <row r="21" spans="2:2" x14ac:dyDescent="0.25">
      <c r="B21" t="s">
        <v>654</v>
      </c>
    </row>
    <row r="22" spans="2:2" x14ac:dyDescent="0.25">
      <c r="B22" t="s">
        <v>655</v>
      </c>
    </row>
    <row r="23" spans="2:2" x14ac:dyDescent="0.25">
      <c r="B23" t="s">
        <v>659</v>
      </c>
    </row>
    <row r="24" spans="2:2" x14ac:dyDescent="0.25">
      <c r="B24" t="s">
        <v>661</v>
      </c>
    </row>
    <row r="25" spans="2:2" x14ac:dyDescent="0.25">
      <c r="B25" t="s">
        <v>663</v>
      </c>
    </row>
    <row r="26" spans="2:2" x14ac:dyDescent="0.25">
      <c r="B26" t="s">
        <v>664</v>
      </c>
    </row>
    <row r="27" spans="2:2" x14ac:dyDescent="0.25">
      <c r="B27" t="s">
        <v>665</v>
      </c>
    </row>
    <row r="28" spans="2:2" x14ac:dyDescent="0.25">
      <c r="B28" t="s">
        <v>666</v>
      </c>
    </row>
    <row r="29" spans="2:2" x14ac:dyDescent="0.25">
      <c r="B29" t="s">
        <v>668</v>
      </c>
    </row>
    <row r="30" spans="2:2" x14ac:dyDescent="0.25">
      <c r="B30" t="s">
        <v>672</v>
      </c>
    </row>
    <row r="31" spans="2:2" x14ac:dyDescent="0.25">
      <c r="B31" t="s">
        <v>674</v>
      </c>
    </row>
    <row r="32" spans="2:2" x14ac:dyDescent="0.25">
      <c r="B32" t="s">
        <v>675</v>
      </c>
    </row>
    <row r="33" spans="2:2" x14ac:dyDescent="0.25">
      <c r="B33" t="s">
        <v>676</v>
      </c>
    </row>
    <row r="34" spans="2:2" x14ac:dyDescent="0.25">
      <c r="B34" t="s">
        <v>677</v>
      </c>
    </row>
    <row r="35" spans="2:2" x14ac:dyDescent="0.25">
      <c r="B35" t="s">
        <v>678</v>
      </c>
    </row>
    <row r="36" spans="2:2" x14ac:dyDescent="0.25">
      <c r="B36" t="s">
        <v>679</v>
      </c>
    </row>
    <row r="37" spans="2:2" x14ac:dyDescent="0.25">
      <c r="B37" t="s">
        <v>680</v>
      </c>
    </row>
    <row r="38" spans="2:2" x14ac:dyDescent="0.25">
      <c r="B38" t="s">
        <v>681</v>
      </c>
    </row>
    <row r="39" spans="2:2" x14ac:dyDescent="0.25">
      <c r="B39" t="s">
        <v>682</v>
      </c>
    </row>
    <row r="40" spans="2:2" x14ac:dyDescent="0.25">
      <c r="B40" t="s">
        <v>683</v>
      </c>
    </row>
    <row r="41" spans="2:2" x14ac:dyDescent="0.25">
      <c r="B41" t="s">
        <v>684</v>
      </c>
    </row>
    <row r="42" spans="2:2" x14ac:dyDescent="0.25">
      <c r="B42" t="s">
        <v>685</v>
      </c>
    </row>
    <row r="43" spans="2:2" x14ac:dyDescent="0.25">
      <c r="B43" t="s">
        <v>689</v>
      </c>
    </row>
    <row r="44" spans="2:2" x14ac:dyDescent="0.25">
      <c r="B44" t="s">
        <v>691</v>
      </c>
    </row>
    <row r="45" spans="2:2" x14ac:dyDescent="0.25">
      <c r="B45" t="s">
        <v>693</v>
      </c>
    </row>
    <row r="46" spans="2:2" x14ac:dyDescent="0.25">
      <c r="B46" t="s">
        <v>694</v>
      </c>
    </row>
    <row r="47" spans="2:2" x14ac:dyDescent="0.25">
      <c r="B47" t="s">
        <v>695</v>
      </c>
    </row>
    <row r="48" spans="2:2" x14ac:dyDescent="0.25">
      <c r="B48" t="s">
        <v>696</v>
      </c>
    </row>
    <row r="49" spans="2:2" x14ac:dyDescent="0.25">
      <c r="B49" t="s">
        <v>698</v>
      </c>
    </row>
    <row r="50" spans="2:2" x14ac:dyDescent="0.25">
      <c r="B50" t="s">
        <v>702</v>
      </c>
    </row>
    <row r="51" spans="2:2" x14ac:dyDescent="0.25">
      <c r="B51" t="s">
        <v>704</v>
      </c>
    </row>
    <row r="52" spans="2:2" x14ac:dyDescent="0.25">
      <c r="B52" t="s">
        <v>705</v>
      </c>
    </row>
    <row r="53" spans="2:2" x14ac:dyDescent="0.25">
      <c r="B53" t="s">
        <v>706</v>
      </c>
    </row>
    <row r="54" spans="2:2" x14ac:dyDescent="0.25">
      <c r="B54" t="s">
        <v>707</v>
      </c>
    </row>
    <row r="55" spans="2:2" x14ac:dyDescent="0.25">
      <c r="B55" t="s">
        <v>708</v>
      </c>
    </row>
    <row r="56" spans="2:2" x14ac:dyDescent="0.25">
      <c r="B56" t="s">
        <v>709</v>
      </c>
    </row>
    <row r="57" spans="2:2" x14ac:dyDescent="0.25">
      <c r="B57" t="s">
        <v>710</v>
      </c>
    </row>
    <row r="58" spans="2:2" x14ac:dyDescent="0.25">
      <c r="B58" t="s">
        <v>711</v>
      </c>
    </row>
    <row r="59" spans="2:2" x14ac:dyDescent="0.25">
      <c r="B59" t="s">
        <v>712</v>
      </c>
    </row>
    <row r="60" spans="2:2" x14ac:dyDescent="0.25">
      <c r="B60" t="s">
        <v>931</v>
      </c>
    </row>
    <row r="61" spans="2:2" x14ac:dyDescent="0.25">
      <c r="B61" t="s">
        <v>932</v>
      </c>
    </row>
    <row r="62" spans="2:2" x14ac:dyDescent="0.25">
      <c r="B62" t="s">
        <v>933</v>
      </c>
    </row>
    <row r="63" spans="2:2" x14ac:dyDescent="0.25">
      <c r="B63" t="s">
        <v>934</v>
      </c>
    </row>
    <row r="64" spans="2:2" x14ac:dyDescent="0.25">
      <c r="B64" t="s">
        <v>935</v>
      </c>
    </row>
    <row r="65" spans="2:2" x14ac:dyDescent="0.25">
      <c r="B65" t="s">
        <v>936</v>
      </c>
    </row>
    <row r="66" spans="2:2" x14ac:dyDescent="0.25">
      <c r="B66" t="s">
        <v>937</v>
      </c>
    </row>
    <row r="67" spans="2:2" x14ac:dyDescent="0.25">
      <c r="B67" t="s">
        <v>938</v>
      </c>
    </row>
    <row r="68" spans="2:2" x14ac:dyDescent="0.25">
      <c r="B68" t="s">
        <v>939</v>
      </c>
    </row>
    <row r="69" spans="2:2" x14ac:dyDescent="0.25">
      <c r="B69" t="s">
        <v>940</v>
      </c>
    </row>
    <row r="70" spans="2:2" x14ac:dyDescent="0.25">
      <c r="B70" t="s">
        <v>941</v>
      </c>
    </row>
    <row r="71" spans="2:2" x14ac:dyDescent="0.25">
      <c r="B71" t="s">
        <v>942</v>
      </c>
    </row>
    <row r="72" spans="2:2" x14ac:dyDescent="0.25">
      <c r="B72" t="s">
        <v>943</v>
      </c>
    </row>
    <row r="73" spans="2:2" x14ac:dyDescent="0.25">
      <c r="B73" t="s">
        <v>944</v>
      </c>
    </row>
    <row r="74" spans="2:2" x14ac:dyDescent="0.25">
      <c r="B74" t="s">
        <v>945</v>
      </c>
    </row>
    <row r="75" spans="2:2" x14ac:dyDescent="0.25">
      <c r="B75" t="s">
        <v>946</v>
      </c>
    </row>
    <row r="76" spans="2:2" x14ac:dyDescent="0.25">
      <c r="B76" t="s">
        <v>717</v>
      </c>
    </row>
    <row r="77" spans="2:2" x14ac:dyDescent="0.25">
      <c r="B77" t="s">
        <v>718</v>
      </c>
    </row>
    <row r="78" spans="2:2" x14ac:dyDescent="0.25">
      <c r="B78" t="s">
        <v>719</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Output1'!$B$10:$B$10" display="Inputs" xr:uid="{BBF959D2-FB65-42B3-92AA-FF15C240D2AB}"/>
    <hyperlink ref="D4" location="'LinReg_Output1'!$B$50:$B$50" display="Regression Summary" xr:uid="{C8A05F74-8677-47EF-A318-50FAFA5CF05C}"/>
    <hyperlink ref="F4" location="'LinReg_Output1'!$B$59:$B$59" display="Predictor Screening" xr:uid="{10A8B28F-E601-4C10-AFEC-54C91FFF499F}"/>
    <hyperlink ref="H4" location="'LinReg_Output1'!$B$82:$B$82" display="Coefficients" xr:uid="{D8492CEF-A1A3-4DF4-98E8-3ED7940AAE12}"/>
    <hyperlink ref="J4" location="'LinReg_Stored2'!$B$10:$B$10" display="PMML Model" xr:uid="{57EB8A32-E53A-472F-B2A1-048395600CF4}"/>
    <hyperlink ref="B5" location="'LinReg_TrainingScore2'!$B$10:$B$10" display="Training: Prediction Summary" xr:uid="{FD115758-4CCD-4480-BD21-AC5579D4C547}"/>
    <hyperlink ref="D5" location="'LinReg_TrainingScore2'!$B$19:$B$19" display="Training: Prediction Details" xr:uid="{6E246E1A-BCCB-4EAF-BA0D-6A6BC66D8157}"/>
    <hyperlink ref="F5" location="'LinReg_ValidationScore2'!$B$10:$B$10" display="Validation: Prediction Summary" xr:uid="{148703AB-51AA-40BF-926B-E01256CEACB0}"/>
    <hyperlink ref="H5" location="'LinReg_ValidationScore2'!$B$19:$B$19" display="Validation: Prediction Details" xr:uid="{07E8067B-D964-4454-BE33-1DB43A0ADA4A}"/>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F3696-3F22-4A17-A47D-26C406E1B183}">
  <sheetPr codeName="Sheet21">
    <tabColor theme="6" tint="0.39997558519241921"/>
  </sheetPr>
  <dimension ref="B1:CV122"/>
  <sheetViews>
    <sheetView showGridLines="0" topLeftCell="A88" workbookViewId="0">
      <selection activeCell="G412" sqref="G412"/>
    </sheetView>
  </sheetViews>
  <sheetFormatPr defaultRowHeight="15" x14ac:dyDescent="0.25"/>
  <cols>
    <col min="3" max="3" width="31" bestFit="1" customWidth="1"/>
    <col min="4" max="4" width="11.42578125" customWidth="1"/>
    <col min="5" max="5" width="10.85546875" customWidth="1"/>
    <col min="14" max="14" width="15.5703125" bestFit="1" customWidth="1"/>
  </cols>
  <sheetData>
    <row r="1" spans="2:100" ht="18.75" x14ac:dyDescent="0.3">
      <c r="B1" s="6" t="s">
        <v>734</v>
      </c>
      <c r="N1" t="s">
        <v>898</v>
      </c>
      <c r="CV1" s="12" t="s">
        <v>748</v>
      </c>
    </row>
    <row r="3" spans="2:100" ht="15.75" x14ac:dyDescent="0.25">
      <c r="B3" s="13" t="s">
        <v>147</v>
      </c>
      <c r="C3" s="14"/>
      <c r="D3" s="14"/>
      <c r="E3" s="14"/>
      <c r="F3" s="14"/>
      <c r="G3" s="14"/>
      <c r="H3" s="14"/>
      <c r="I3" s="14"/>
      <c r="J3" s="14"/>
      <c r="K3" s="15"/>
      <c r="N3" s="13" t="s">
        <v>148</v>
      </c>
      <c r="O3" s="14"/>
      <c r="P3" s="14"/>
      <c r="Q3" s="15"/>
    </row>
    <row r="4" spans="2:100" x14ac:dyDescent="0.25">
      <c r="B4" s="25" t="s">
        <v>770</v>
      </c>
      <c r="C4" s="21"/>
      <c r="D4" s="25" t="s">
        <v>153</v>
      </c>
      <c r="E4" s="21"/>
      <c r="F4" s="25" t="s">
        <v>720</v>
      </c>
      <c r="G4" s="21"/>
      <c r="H4" s="25" t="s">
        <v>721</v>
      </c>
      <c r="I4" s="21"/>
      <c r="J4" s="25" t="s">
        <v>722</v>
      </c>
      <c r="K4" s="21"/>
      <c r="N4" s="11" t="s">
        <v>149</v>
      </c>
      <c r="O4" s="11" t="s">
        <v>150</v>
      </c>
      <c r="P4" s="11" t="s">
        <v>151</v>
      </c>
      <c r="Q4" s="11" t="s">
        <v>152</v>
      </c>
    </row>
    <row r="5" spans="2:100" x14ac:dyDescent="0.25">
      <c r="B5" s="25" t="s">
        <v>645</v>
      </c>
      <c r="C5" s="21"/>
      <c r="D5" s="25" t="s">
        <v>723</v>
      </c>
      <c r="E5" s="21"/>
      <c r="F5" s="25" t="s">
        <v>724</v>
      </c>
      <c r="G5" s="21"/>
      <c r="H5" s="19"/>
      <c r="I5" s="21"/>
      <c r="J5" s="19"/>
      <c r="K5" s="21"/>
      <c r="N5" s="10">
        <v>13</v>
      </c>
      <c r="O5" s="10">
        <v>15</v>
      </c>
      <c r="P5" s="10">
        <v>7</v>
      </c>
      <c r="Q5" s="10">
        <v>35</v>
      </c>
    </row>
    <row r="10" spans="2:100" ht="18.75" x14ac:dyDescent="0.3">
      <c r="B10" s="7" t="s">
        <v>153</v>
      </c>
    </row>
    <row r="12" spans="2:100" ht="15.75" x14ac:dyDescent="0.25">
      <c r="C12" s="13" t="s">
        <v>154</v>
      </c>
      <c r="D12" s="14"/>
      <c r="E12" s="14"/>
      <c r="F12" s="14"/>
      <c r="G12" s="14"/>
      <c r="H12" s="14"/>
      <c r="I12" s="14"/>
      <c r="J12" s="14"/>
      <c r="K12" s="15"/>
    </row>
    <row r="13" spans="2:100" x14ac:dyDescent="0.25">
      <c r="C13" s="16" t="s">
        <v>155</v>
      </c>
      <c r="D13" s="17"/>
      <c r="E13" s="17"/>
      <c r="F13" s="18"/>
      <c r="G13" s="22" t="s">
        <v>878</v>
      </c>
      <c r="H13" s="23"/>
      <c r="I13" s="23"/>
      <c r="J13" s="23"/>
      <c r="K13" s="24"/>
    </row>
    <row r="14" spans="2:100" x14ac:dyDescent="0.25">
      <c r="C14" s="16" t="s">
        <v>157</v>
      </c>
      <c r="D14" s="17"/>
      <c r="E14" s="17"/>
      <c r="F14" s="18"/>
      <c r="G14" s="22" t="s">
        <v>819</v>
      </c>
      <c r="H14" s="23"/>
      <c r="I14" s="23"/>
      <c r="J14" s="23"/>
      <c r="K14" s="24"/>
    </row>
    <row r="15" spans="2:100" x14ac:dyDescent="0.25">
      <c r="C15" s="16" t="s">
        <v>735</v>
      </c>
      <c r="D15" s="17"/>
      <c r="E15" s="17"/>
      <c r="F15" s="18"/>
      <c r="G15" s="22" t="s">
        <v>820</v>
      </c>
      <c r="H15" s="23"/>
      <c r="I15" s="23"/>
      <c r="J15" s="23"/>
      <c r="K15" s="24"/>
    </row>
    <row r="16" spans="2:100" x14ac:dyDescent="0.25">
      <c r="C16" s="16" t="s">
        <v>736</v>
      </c>
      <c r="D16" s="17"/>
      <c r="E16" s="17"/>
      <c r="F16" s="18"/>
      <c r="G16" s="22">
        <v>373</v>
      </c>
      <c r="H16" s="23"/>
      <c r="I16" s="23"/>
      <c r="J16" s="23"/>
      <c r="K16" s="24"/>
    </row>
    <row r="17" spans="3:29" x14ac:dyDescent="0.25">
      <c r="C17" s="16" t="s">
        <v>737</v>
      </c>
      <c r="D17" s="17"/>
      <c r="E17" s="17"/>
      <c r="F17" s="18"/>
      <c r="G17" s="22" t="s">
        <v>821</v>
      </c>
      <c r="H17" s="23"/>
      <c r="I17" s="23"/>
      <c r="J17" s="23"/>
      <c r="K17" s="24"/>
    </row>
    <row r="18" spans="3:29" x14ac:dyDescent="0.25">
      <c r="C18" s="16" t="s">
        <v>738</v>
      </c>
      <c r="D18" s="17"/>
      <c r="E18" s="17"/>
      <c r="F18" s="18"/>
      <c r="G18" s="22">
        <v>93</v>
      </c>
      <c r="H18" s="23"/>
      <c r="I18" s="23"/>
      <c r="J18" s="23"/>
      <c r="K18" s="24"/>
    </row>
    <row r="20" spans="3:29" ht="15.75" x14ac:dyDescent="0.25">
      <c r="C20" s="13" t="s">
        <v>161</v>
      </c>
      <c r="D20" s="14"/>
      <c r="E20" s="14"/>
      <c r="F20" s="14"/>
      <c r="G20" s="14"/>
      <c r="H20" s="14"/>
      <c r="I20" s="14"/>
      <c r="J20" s="14"/>
      <c r="K20" s="14"/>
      <c r="L20" s="14"/>
      <c r="M20" s="14"/>
      <c r="N20" s="14"/>
      <c r="O20" s="14"/>
      <c r="P20" s="14"/>
      <c r="Q20" s="14"/>
      <c r="R20" s="14"/>
      <c r="S20" s="14"/>
      <c r="T20" s="14"/>
      <c r="U20" s="14"/>
      <c r="V20" s="14"/>
      <c r="W20" s="14"/>
      <c r="X20" s="14"/>
      <c r="Y20" s="14"/>
      <c r="Z20" s="14"/>
      <c r="AA20" s="14"/>
      <c r="AB20" s="14"/>
      <c r="AC20" s="15"/>
    </row>
    <row r="21" spans="3:29" x14ac:dyDescent="0.25">
      <c r="C21" s="16" t="s">
        <v>739</v>
      </c>
      <c r="D21" s="18"/>
      <c r="E21" s="22">
        <v>25</v>
      </c>
      <c r="F21" s="23"/>
      <c r="G21" s="23"/>
      <c r="H21" s="23"/>
      <c r="I21" s="23"/>
      <c r="J21" s="23"/>
      <c r="K21" s="23"/>
      <c r="L21" s="23"/>
      <c r="M21" s="23"/>
      <c r="N21" s="23"/>
      <c r="O21" s="23"/>
      <c r="P21" s="23"/>
      <c r="Q21" s="23"/>
      <c r="R21" s="23"/>
      <c r="S21" s="23"/>
      <c r="T21" s="23"/>
      <c r="U21" s="23"/>
      <c r="V21" s="23"/>
      <c r="W21" s="23"/>
      <c r="X21" s="23"/>
      <c r="Y21" s="23"/>
      <c r="Z21" s="23"/>
      <c r="AA21" s="23"/>
      <c r="AB21" s="23"/>
      <c r="AC21" s="24"/>
    </row>
    <row r="22" spans="3:29" x14ac:dyDescent="0.25">
      <c r="C22" s="16" t="s">
        <v>740</v>
      </c>
      <c r="D22" s="18"/>
      <c r="E22" s="10" t="s">
        <v>1</v>
      </c>
      <c r="F22" s="10" t="s">
        <v>2</v>
      </c>
      <c r="G22" s="10" t="s">
        <v>15</v>
      </c>
      <c r="H22" s="10" t="s">
        <v>17</v>
      </c>
      <c r="I22" s="10" t="s">
        <v>125</v>
      </c>
      <c r="J22" s="10" t="s">
        <v>126</v>
      </c>
      <c r="K22" s="10" t="s">
        <v>127</v>
      </c>
      <c r="L22" s="10" t="s">
        <v>128</v>
      </c>
      <c r="M22" s="10" t="s">
        <v>137</v>
      </c>
      <c r="N22" s="10" t="s">
        <v>138</v>
      </c>
      <c r="O22" s="10" t="s">
        <v>139</v>
      </c>
      <c r="P22" s="10" t="s">
        <v>129</v>
      </c>
      <c r="Q22" s="10" t="s">
        <v>140</v>
      </c>
      <c r="R22" s="10" t="s">
        <v>141</v>
      </c>
      <c r="S22" s="10" t="s">
        <v>142</v>
      </c>
      <c r="T22" s="10" t="s">
        <v>143</v>
      </c>
      <c r="U22" s="10" t="s">
        <v>145</v>
      </c>
      <c r="V22" s="10" t="s">
        <v>144</v>
      </c>
      <c r="W22" s="10" t="s">
        <v>130</v>
      </c>
      <c r="X22" s="10" t="s">
        <v>131</v>
      </c>
      <c r="Y22" s="10" t="s">
        <v>132</v>
      </c>
      <c r="Z22" s="10" t="s">
        <v>133</v>
      </c>
      <c r="AA22" s="10" t="s">
        <v>134</v>
      </c>
      <c r="AB22" s="10" t="s">
        <v>135</v>
      </c>
      <c r="AC22" s="10" t="s">
        <v>136</v>
      </c>
    </row>
    <row r="23" spans="3:29" x14ac:dyDescent="0.25">
      <c r="C23" s="16" t="s">
        <v>741</v>
      </c>
      <c r="D23" s="18"/>
      <c r="E23" s="10"/>
      <c r="F23" s="10"/>
      <c r="G23" s="10"/>
      <c r="H23" s="10"/>
      <c r="I23" s="10"/>
      <c r="J23" s="10"/>
      <c r="K23" s="10"/>
      <c r="L23" s="10"/>
      <c r="M23" s="10"/>
      <c r="N23" s="10"/>
      <c r="O23" s="10"/>
      <c r="P23" s="10"/>
      <c r="Q23" s="10"/>
      <c r="R23" s="10"/>
      <c r="S23" s="10"/>
      <c r="T23" s="10"/>
      <c r="U23" s="10"/>
      <c r="V23" s="10"/>
      <c r="W23" s="10"/>
      <c r="X23" s="10"/>
      <c r="Y23" s="10"/>
      <c r="Z23" s="10"/>
      <c r="AA23" s="10"/>
      <c r="AB23" s="10"/>
      <c r="AC23" s="10"/>
    </row>
    <row r="24" spans="3:29" x14ac:dyDescent="0.25">
      <c r="C24" s="16" t="s">
        <v>742</v>
      </c>
      <c r="D24" s="18"/>
      <c r="E24" s="19" t="s">
        <v>4</v>
      </c>
      <c r="F24" s="20"/>
      <c r="G24" s="20"/>
      <c r="H24" s="20"/>
      <c r="I24" s="20"/>
      <c r="J24" s="20"/>
      <c r="K24" s="20"/>
      <c r="L24" s="20"/>
      <c r="M24" s="20"/>
      <c r="N24" s="20"/>
      <c r="O24" s="20"/>
      <c r="P24" s="20"/>
      <c r="Q24" s="20"/>
      <c r="R24" s="20"/>
      <c r="S24" s="20"/>
      <c r="T24" s="20"/>
      <c r="U24" s="20"/>
      <c r="V24" s="20"/>
      <c r="W24" s="20"/>
      <c r="X24" s="20"/>
      <c r="Y24" s="20"/>
      <c r="Z24" s="20"/>
      <c r="AA24" s="20"/>
      <c r="AB24" s="20"/>
      <c r="AC24" s="21"/>
    </row>
    <row r="26" spans="3:29" ht="15.75" x14ac:dyDescent="0.25">
      <c r="C26" s="13" t="s">
        <v>743</v>
      </c>
      <c r="D26" s="14"/>
      <c r="E26" s="14"/>
      <c r="F26" s="14"/>
      <c r="G26" s="14"/>
      <c r="H26" s="14"/>
      <c r="I26" s="15"/>
    </row>
    <row r="27" spans="3:29" x14ac:dyDescent="0.25">
      <c r="C27" s="16" t="s">
        <v>744</v>
      </c>
      <c r="D27" s="17"/>
      <c r="E27" s="18"/>
      <c r="F27" s="22" t="b">
        <v>0</v>
      </c>
      <c r="G27" s="23"/>
      <c r="H27" s="23"/>
      <c r="I27" s="24"/>
    </row>
    <row r="29" spans="3:29" ht="15.75" x14ac:dyDescent="0.25">
      <c r="C29" s="13" t="s">
        <v>745</v>
      </c>
      <c r="D29" s="14"/>
      <c r="E29" s="14"/>
      <c r="F29" s="14"/>
      <c r="G29" s="14"/>
      <c r="H29" s="14"/>
      <c r="I29" s="15"/>
    </row>
    <row r="30" spans="3:29" x14ac:dyDescent="0.25">
      <c r="C30" s="16" t="s">
        <v>746</v>
      </c>
      <c r="D30" s="17"/>
      <c r="E30" s="18"/>
      <c r="F30" s="22" t="b">
        <v>1</v>
      </c>
      <c r="G30" s="23"/>
      <c r="H30" s="23"/>
      <c r="I30" s="24"/>
    </row>
    <row r="32" spans="3:29" ht="15.75" x14ac:dyDescent="0.25">
      <c r="C32" s="13" t="s">
        <v>747</v>
      </c>
      <c r="D32" s="14"/>
      <c r="E32" s="14"/>
      <c r="F32" s="14"/>
      <c r="G32" s="14"/>
      <c r="H32" s="14"/>
      <c r="I32" s="15"/>
    </row>
    <row r="33" spans="3:9" x14ac:dyDescent="0.25">
      <c r="C33" s="16" t="s">
        <v>749</v>
      </c>
      <c r="D33" s="17"/>
      <c r="E33" s="18"/>
      <c r="F33" s="22" t="b">
        <v>0</v>
      </c>
      <c r="G33" s="23"/>
      <c r="H33" s="23"/>
      <c r="I33" s="24"/>
    </row>
    <row r="34" spans="3:9" x14ac:dyDescent="0.25">
      <c r="C34" s="16" t="s">
        <v>750</v>
      </c>
      <c r="D34" s="17"/>
      <c r="E34" s="18"/>
      <c r="F34" s="22" t="b">
        <v>0</v>
      </c>
      <c r="G34" s="23"/>
      <c r="H34" s="23"/>
      <c r="I34" s="24"/>
    </row>
    <row r="35" spans="3:9" x14ac:dyDescent="0.25">
      <c r="C35" s="16" t="s">
        <v>751</v>
      </c>
      <c r="D35" s="17"/>
      <c r="E35" s="18"/>
      <c r="F35" s="22" t="b">
        <v>0</v>
      </c>
      <c r="G35" s="23"/>
      <c r="H35" s="23"/>
      <c r="I35" s="24"/>
    </row>
    <row r="37" spans="3:9" ht="15.75" x14ac:dyDescent="0.25">
      <c r="C37" s="13" t="s">
        <v>752</v>
      </c>
      <c r="D37" s="14"/>
      <c r="E37" s="14"/>
      <c r="F37" s="14"/>
      <c r="G37" s="14"/>
      <c r="H37" s="14"/>
      <c r="I37" s="15"/>
    </row>
    <row r="38" spans="3:9" x14ac:dyDescent="0.25">
      <c r="C38" s="16" t="s">
        <v>753</v>
      </c>
      <c r="D38" s="17"/>
      <c r="E38" s="18"/>
      <c r="F38" s="22" t="b">
        <v>0</v>
      </c>
      <c r="G38" s="23"/>
      <c r="H38" s="23"/>
      <c r="I38" s="24"/>
    </row>
    <row r="39" spans="3:9" x14ac:dyDescent="0.25">
      <c r="C39" s="16" t="s">
        <v>754</v>
      </c>
      <c r="D39" s="17"/>
      <c r="E39" s="18"/>
      <c r="F39" s="22" t="b">
        <v>0</v>
      </c>
      <c r="G39" s="23"/>
      <c r="H39" s="23"/>
      <c r="I39" s="24"/>
    </row>
    <row r="40" spans="3:9" x14ac:dyDescent="0.25">
      <c r="C40" s="16" t="s">
        <v>755</v>
      </c>
      <c r="D40" s="17"/>
      <c r="E40" s="18"/>
      <c r="F40" s="22" t="b">
        <v>0</v>
      </c>
      <c r="G40" s="23"/>
      <c r="H40" s="23"/>
      <c r="I40" s="24"/>
    </row>
    <row r="41" spans="3:9" x14ac:dyDescent="0.25">
      <c r="C41" s="16" t="s">
        <v>756</v>
      </c>
      <c r="D41" s="17"/>
      <c r="E41" s="18"/>
      <c r="F41" s="22" t="b">
        <v>0</v>
      </c>
      <c r="G41" s="23"/>
      <c r="H41" s="23"/>
      <c r="I41" s="24"/>
    </row>
    <row r="43" spans="3:9" ht="15.75" x14ac:dyDescent="0.25">
      <c r="C43" s="13" t="s">
        <v>782</v>
      </c>
      <c r="D43" s="14"/>
      <c r="E43" s="14"/>
      <c r="F43" s="14"/>
      <c r="G43" s="14"/>
      <c r="H43" s="14"/>
      <c r="I43" s="15"/>
    </row>
    <row r="44" spans="3:9" x14ac:dyDescent="0.25">
      <c r="C44" s="16" t="s">
        <v>783</v>
      </c>
      <c r="D44" s="17"/>
      <c r="E44" s="18"/>
      <c r="F44" s="22" t="s">
        <v>927</v>
      </c>
      <c r="G44" s="23"/>
      <c r="H44" s="23"/>
      <c r="I44" s="24"/>
    </row>
    <row r="45" spans="3:9" x14ac:dyDescent="0.25">
      <c r="C45" s="16" t="s">
        <v>786</v>
      </c>
      <c r="D45" s="17"/>
      <c r="E45" s="18"/>
      <c r="F45" s="22">
        <v>25</v>
      </c>
      <c r="G45" s="23"/>
      <c r="H45" s="23"/>
      <c r="I45" s="24"/>
    </row>
    <row r="47" spans="3:9" ht="15.75" x14ac:dyDescent="0.25">
      <c r="C47" s="13" t="s">
        <v>757</v>
      </c>
      <c r="D47" s="14"/>
      <c r="E47" s="14"/>
      <c r="F47" s="14"/>
      <c r="G47" s="15"/>
    </row>
    <row r="48" spans="3:9" x14ac:dyDescent="0.25">
      <c r="C48" s="19" t="s">
        <v>758</v>
      </c>
      <c r="D48" s="20"/>
      <c r="E48" s="20"/>
      <c r="F48" s="20"/>
      <c r="G48" s="21"/>
    </row>
    <row r="49" spans="2:7" x14ac:dyDescent="0.25">
      <c r="C49" s="19" t="s">
        <v>759</v>
      </c>
      <c r="D49" s="20"/>
      <c r="E49" s="20"/>
      <c r="F49" s="20"/>
      <c r="G49" s="21"/>
    </row>
    <row r="52" spans="2:7" ht="18.75" x14ac:dyDescent="0.3">
      <c r="B52" s="7" t="s">
        <v>720</v>
      </c>
    </row>
    <row r="54" spans="2:7" x14ac:dyDescent="0.25">
      <c r="C54" s="9" t="s">
        <v>726</v>
      </c>
      <c r="D54" s="5" t="s">
        <v>727</v>
      </c>
    </row>
    <row r="55" spans="2:7" x14ac:dyDescent="0.25">
      <c r="C55" s="9" t="s">
        <v>760</v>
      </c>
      <c r="D55" s="8">
        <v>352</v>
      </c>
    </row>
    <row r="56" spans="2:7" x14ac:dyDescent="0.25">
      <c r="C56" s="9" t="s">
        <v>732</v>
      </c>
      <c r="D56" s="8">
        <v>0.12155944887838921</v>
      </c>
    </row>
    <row r="57" spans="2:7" x14ac:dyDescent="0.25">
      <c r="C57" s="9" t="s">
        <v>761</v>
      </c>
      <c r="D57" s="8">
        <v>7.164805392829765E-2</v>
      </c>
    </row>
    <row r="58" spans="2:7" x14ac:dyDescent="0.25">
      <c r="C58" s="9" t="s">
        <v>762</v>
      </c>
      <c r="D58" s="8">
        <v>0.98569750311531179</v>
      </c>
    </row>
    <row r="59" spans="2:7" x14ac:dyDescent="0.25">
      <c r="C59" s="9" t="s">
        <v>763</v>
      </c>
      <c r="D59" s="8">
        <v>342.00304781201157</v>
      </c>
    </row>
    <row r="61" spans="2:7" ht="18.75" x14ac:dyDescent="0.3">
      <c r="B61" s="7" t="s">
        <v>721</v>
      </c>
    </row>
    <row r="63" spans="2:7" x14ac:dyDescent="0.25">
      <c r="C63" s="9" t="s">
        <v>764</v>
      </c>
      <c r="D63" s="5" t="s">
        <v>765</v>
      </c>
      <c r="E63" s="5" t="s">
        <v>766</v>
      </c>
    </row>
    <row r="64" spans="2:7" x14ac:dyDescent="0.25">
      <c r="C64" s="9" t="s">
        <v>767</v>
      </c>
      <c r="D64" s="8">
        <v>3.179371520902325</v>
      </c>
      <c r="E64" s="8" t="b">
        <v>1</v>
      </c>
    </row>
    <row r="65" spans="3:5" x14ac:dyDescent="0.25">
      <c r="C65" s="9" t="s">
        <v>1</v>
      </c>
      <c r="D65" s="8">
        <v>804.96491622822862</v>
      </c>
      <c r="E65" s="8" t="b">
        <v>1</v>
      </c>
    </row>
    <row r="66" spans="3:5" x14ac:dyDescent="0.25">
      <c r="C66" s="9" t="s">
        <v>2</v>
      </c>
      <c r="D66" s="8">
        <v>157.65198105341554</v>
      </c>
      <c r="E66" s="8" t="b">
        <v>1</v>
      </c>
    </row>
    <row r="67" spans="3:5" x14ac:dyDescent="0.25">
      <c r="C67" s="9" t="s">
        <v>15</v>
      </c>
      <c r="D67" s="8">
        <v>50459.451968882895</v>
      </c>
      <c r="E67" s="8" t="b">
        <v>1</v>
      </c>
    </row>
    <row r="68" spans="3:5" x14ac:dyDescent="0.25">
      <c r="C68" s="9" t="s">
        <v>17</v>
      </c>
      <c r="D68" s="8">
        <v>55.37653481269777</v>
      </c>
      <c r="E68" s="8" t="b">
        <v>1</v>
      </c>
    </row>
    <row r="69" spans="3:5" x14ac:dyDescent="0.25">
      <c r="C69" s="9" t="s">
        <v>125</v>
      </c>
      <c r="D69" s="8">
        <v>5.741650293743252E-15</v>
      </c>
      <c r="E69" s="8" t="b">
        <v>0</v>
      </c>
    </row>
    <row r="70" spans="3:5" x14ac:dyDescent="0.25">
      <c r="C70" s="9" t="s">
        <v>126</v>
      </c>
      <c r="D70" s="8">
        <v>8.6801136790438846</v>
      </c>
      <c r="E70" s="8" t="b">
        <v>1</v>
      </c>
    </row>
    <row r="71" spans="3:5" x14ac:dyDescent="0.25">
      <c r="C71" s="9" t="s">
        <v>127</v>
      </c>
      <c r="D71" s="8">
        <v>8.051274180130326</v>
      </c>
      <c r="E71" s="8" t="b">
        <v>1</v>
      </c>
    </row>
    <row r="72" spans="3:5" x14ac:dyDescent="0.25">
      <c r="C72" s="9" t="s">
        <v>128</v>
      </c>
      <c r="D72" s="8">
        <v>6.8849985824138562</v>
      </c>
      <c r="E72" s="8" t="b">
        <v>1</v>
      </c>
    </row>
    <row r="73" spans="3:5" x14ac:dyDescent="0.25">
      <c r="C73" s="9" t="s">
        <v>137</v>
      </c>
      <c r="D73" s="8">
        <v>7.5127631128512933</v>
      </c>
      <c r="E73" s="8" t="b">
        <v>1</v>
      </c>
    </row>
    <row r="74" spans="3:5" x14ac:dyDescent="0.25">
      <c r="C74" s="9" t="s">
        <v>138</v>
      </c>
      <c r="D74" s="8">
        <v>3.0536086232421463E-15</v>
      </c>
      <c r="E74" s="8" t="b">
        <v>0</v>
      </c>
    </row>
    <row r="75" spans="3:5" x14ac:dyDescent="0.25">
      <c r="C75" s="9" t="s">
        <v>139</v>
      </c>
      <c r="D75" s="8">
        <v>9.8283154212171802</v>
      </c>
      <c r="E75" s="8" t="b">
        <v>1</v>
      </c>
    </row>
    <row r="76" spans="3:5" x14ac:dyDescent="0.25">
      <c r="C76" s="9" t="s">
        <v>129</v>
      </c>
      <c r="D76" s="8">
        <v>7.8193539981891176</v>
      </c>
      <c r="E76" s="8" t="b">
        <v>1</v>
      </c>
    </row>
    <row r="77" spans="3:5" x14ac:dyDescent="0.25">
      <c r="C77" s="9" t="s">
        <v>140</v>
      </c>
      <c r="D77" s="8">
        <v>9.5240411638783691</v>
      </c>
      <c r="E77" s="8" t="b">
        <v>1</v>
      </c>
    </row>
    <row r="78" spans="3:5" x14ac:dyDescent="0.25">
      <c r="C78" s="9" t="s">
        <v>141</v>
      </c>
      <c r="D78" s="8">
        <v>8.3406846255705691</v>
      </c>
      <c r="E78" s="8" t="b">
        <v>1</v>
      </c>
    </row>
    <row r="79" spans="3:5" x14ac:dyDescent="0.25">
      <c r="C79" s="9" t="s">
        <v>142</v>
      </c>
      <c r="D79" s="8">
        <v>6.3159886196428454E-15</v>
      </c>
      <c r="E79" s="8" t="b">
        <v>0</v>
      </c>
    </row>
    <row r="80" spans="3:5" x14ac:dyDescent="0.25">
      <c r="C80" s="9" t="s">
        <v>143</v>
      </c>
      <c r="D80" s="8">
        <v>6.5646998366945208</v>
      </c>
      <c r="E80" s="8" t="b">
        <v>1</v>
      </c>
    </row>
    <row r="81" spans="2:5" x14ac:dyDescent="0.25">
      <c r="C81" s="9" t="s">
        <v>145</v>
      </c>
      <c r="D81" s="8">
        <v>4.0913264122228728E-15</v>
      </c>
      <c r="E81" s="8" t="b">
        <v>0</v>
      </c>
    </row>
    <row r="82" spans="2:5" x14ac:dyDescent="0.25">
      <c r="C82" s="9" t="s">
        <v>144</v>
      </c>
      <c r="D82" s="8">
        <v>10.559779518782314</v>
      </c>
      <c r="E82" s="8" t="b">
        <v>1</v>
      </c>
    </row>
    <row r="83" spans="2:5" x14ac:dyDescent="0.25">
      <c r="C83" s="9" t="s">
        <v>130</v>
      </c>
      <c r="D83" s="8">
        <v>6.0536719226380065</v>
      </c>
      <c r="E83" s="8" t="b">
        <v>1</v>
      </c>
    </row>
    <row r="84" spans="2:5" x14ac:dyDescent="0.25">
      <c r="C84" s="9" t="s">
        <v>131</v>
      </c>
      <c r="D84" s="8">
        <v>5.0712096643506053</v>
      </c>
      <c r="E84" s="8" t="b">
        <v>1</v>
      </c>
    </row>
    <row r="85" spans="2:5" x14ac:dyDescent="0.25">
      <c r="C85" s="9" t="s">
        <v>132</v>
      </c>
      <c r="D85" s="8">
        <v>5.3903766491914843E-15</v>
      </c>
      <c r="E85" s="8" t="b">
        <v>0</v>
      </c>
    </row>
    <row r="86" spans="2:5" x14ac:dyDescent="0.25">
      <c r="C86" s="9" t="s">
        <v>133</v>
      </c>
      <c r="D86" s="8">
        <v>6.5070074523886747</v>
      </c>
      <c r="E86" s="8" t="b">
        <v>1</v>
      </c>
    </row>
    <row r="87" spans="2:5" x14ac:dyDescent="0.25">
      <c r="C87" s="9" t="s">
        <v>134</v>
      </c>
      <c r="D87" s="8">
        <v>5.6602135549340744</v>
      </c>
      <c r="E87" s="8" t="b">
        <v>1</v>
      </c>
    </row>
    <row r="88" spans="2:5" x14ac:dyDescent="0.25">
      <c r="C88" s="9" t="s">
        <v>135</v>
      </c>
      <c r="D88" s="8">
        <v>6.7600340844002051</v>
      </c>
      <c r="E88" s="8" t="b">
        <v>1</v>
      </c>
    </row>
    <row r="89" spans="2:5" x14ac:dyDescent="0.25">
      <c r="C89" s="9" t="s">
        <v>136</v>
      </c>
      <c r="D89" s="8">
        <v>7.3408221273594316</v>
      </c>
      <c r="E89" s="8" t="b">
        <v>1</v>
      </c>
    </row>
    <row r="92" spans="2:5" x14ac:dyDescent="0.25">
      <c r="C92" s="9" t="s">
        <v>768</v>
      </c>
      <c r="D92" s="8">
        <v>4.1790982347586923E-9</v>
      </c>
    </row>
    <row r="94" spans="2:5" ht="18.75" x14ac:dyDescent="0.3">
      <c r="B94" s="7" t="s">
        <v>722</v>
      </c>
    </row>
    <row r="96" spans="2:5" x14ac:dyDescent="0.25">
      <c r="C96" s="9" t="s">
        <v>764</v>
      </c>
      <c r="D96" s="5" t="s">
        <v>769</v>
      </c>
    </row>
    <row r="97" spans="3:4" x14ac:dyDescent="0.25">
      <c r="C97" s="9" t="s">
        <v>767</v>
      </c>
      <c r="D97" s="8">
        <v>4.8329834165893315</v>
      </c>
    </row>
    <row r="98" spans="3:4" x14ac:dyDescent="0.25">
      <c r="C98" s="9" t="s">
        <v>1</v>
      </c>
      <c r="D98" s="8">
        <v>1.8863694360614701E-3</v>
      </c>
    </row>
    <row r="99" spans="3:4" x14ac:dyDescent="0.25">
      <c r="C99" s="9" t="s">
        <v>2</v>
      </c>
      <c r="D99" s="8">
        <v>-4.1760912412037599E-3</v>
      </c>
    </row>
    <row r="100" spans="3:4" x14ac:dyDescent="0.25">
      <c r="C100" s="9" t="s">
        <v>15</v>
      </c>
      <c r="D100" s="8">
        <v>-1.5342302947515422E-4</v>
      </c>
    </row>
    <row r="101" spans="3:4" x14ac:dyDescent="0.25">
      <c r="C101" s="9" t="s">
        <v>17</v>
      </c>
      <c r="D101" s="8">
        <v>2.2298942051343831E-3</v>
      </c>
    </row>
    <row r="102" spans="3:4" x14ac:dyDescent="0.25">
      <c r="C102" s="27" t="s">
        <v>125</v>
      </c>
      <c r="D102" s="26">
        <v>0</v>
      </c>
    </row>
    <row r="103" spans="3:4" x14ac:dyDescent="0.25">
      <c r="C103" s="9" t="s">
        <v>126</v>
      </c>
      <c r="D103" s="8">
        <v>1.2972337069602376E-2</v>
      </c>
    </row>
    <row r="104" spans="3:4" x14ac:dyDescent="0.25">
      <c r="C104" s="9" t="s">
        <v>127</v>
      </c>
      <c r="D104" s="8">
        <v>-8.2390025484047405E-2</v>
      </c>
    </row>
    <row r="105" spans="3:4" x14ac:dyDescent="0.25">
      <c r="C105" s="9" t="s">
        <v>128</v>
      </c>
      <c r="D105" s="8">
        <v>2.705067638949079E-2</v>
      </c>
    </row>
    <row r="106" spans="3:4" x14ac:dyDescent="0.25">
      <c r="C106" s="9" t="s">
        <v>137</v>
      </c>
      <c r="D106" s="8">
        <v>0.14222410262265847</v>
      </c>
    </row>
    <row r="107" spans="3:4" x14ac:dyDescent="0.25">
      <c r="C107" s="27" t="s">
        <v>138</v>
      </c>
      <c r="D107" s="26">
        <v>0</v>
      </c>
    </row>
    <row r="108" spans="3:4" x14ac:dyDescent="0.25">
      <c r="C108" s="9" t="s">
        <v>139</v>
      </c>
      <c r="D108" s="8">
        <v>0.35728551239069334</v>
      </c>
    </row>
    <row r="109" spans="3:4" x14ac:dyDescent="0.25">
      <c r="C109" s="9" t="s">
        <v>129</v>
      </c>
      <c r="D109" s="8">
        <v>0.23007315854342728</v>
      </c>
    </row>
    <row r="110" spans="3:4" x14ac:dyDescent="0.25">
      <c r="C110" s="9" t="s">
        <v>140</v>
      </c>
      <c r="D110" s="8">
        <v>-0.55300066924158731</v>
      </c>
    </row>
    <row r="111" spans="3:4" x14ac:dyDescent="0.25">
      <c r="C111" s="9" t="s">
        <v>141</v>
      </c>
      <c r="D111" s="8">
        <v>-0.6124725559743962</v>
      </c>
    </row>
    <row r="112" spans="3:4" x14ac:dyDescent="0.25">
      <c r="C112" s="27" t="s">
        <v>142</v>
      </c>
      <c r="D112" s="26">
        <v>0</v>
      </c>
    </row>
    <row r="113" spans="3:4" x14ac:dyDescent="0.25">
      <c r="C113" s="9" t="s">
        <v>143</v>
      </c>
      <c r="D113" s="8">
        <v>-0.16911345472356512</v>
      </c>
    </row>
    <row r="114" spans="3:4" x14ac:dyDescent="0.25">
      <c r="C114" s="27" t="s">
        <v>145</v>
      </c>
      <c r="D114" s="26">
        <v>0</v>
      </c>
    </row>
    <row r="115" spans="3:4" x14ac:dyDescent="0.25">
      <c r="C115" s="9" t="s">
        <v>144</v>
      </c>
      <c r="D115" s="8">
        <v>6.8979395974951799E-2</v>
      </c>
    </row>
    <row r="116" spans="3:4" x14ac:dyDescent="0.25">
      <c r="C116" s="9" t="s">
        <v>130</v>
      </c>
      <c r="D116" s="8">
        <v>-4.7591641680786841E-2</v>
      </c>
    </row>
    <row r="117" spans="3:4" x14ac:dyDescent="0.25">
      <c r="C117" s="9" t="s">
        <v>131</v>
      </c>
      <c r="D117" s="8">
        <v>-0.38453509647637835</v>
      </c>
    </row>
    <row r="118" spans="3:4" x14ac:dyDescent="0.25">
      <c r="C118" s="27" t="s">
        <v>132</v>
      </c>
      <c r="D118" s="26">
        <v>0</v>
      </c>
    </row>
    <row r="119" spans="3:4" x14ac:dyDescent="0.25">
      <c r="C119" s="9" t="s">
        <v>133</v>
      </c>
      <c r="D119" s="8">
        <v>-0.35147408403904734</v>
      </c>
    </row>
    <row r="120" spans="3:4" x14ac:dyDescent="0.25">
      <c r="C120" s="9" t="s">
        <v>134</v>
      </c>
      <c r="D120" s="8">
        <v>-0.28507928290056161</v>
      </c>
    </row>
    <row r="121" spans="3:4" x14ac:dyDescent="0.25">
      <c r="C121" s="9" t="s">
        <v>135</v>
      </c>
      <c r="D121" s="8">
        <v>-0.49009796541197853</v>
      </c>
    </row>
    <row r="122" spans="3:4" x14ac:dyDescent="0.25">
      <c r="C122" s="9" t="s">
        <v>136</v>
      </c>
      <c r="D122" s="8">
        <v>-0.4474401483348448</v>
      </c>
    </row>
  </sheetData>
  <mergeCells count="62">
    <mergeCell ref="B3:K3"/>
    <mergeCell ref="N3:Q3"/>
    <mergeCell ref="J4:K4"/>
    <mergeCell ref="B5:C5"/>
    <mergeCell ref="D5:E5"/>
    <mergeCell ref="F5:G5"/>
    <mergeCell ref="H5:I5"/>
    <mergeCell ref="J5:K5"/>
    <mergeCell ref="C48:G48"/>
    <mergeCell ref="C49:G49"/>
    <mergeCell ref="B4:C4"/>
    <mergeCell ref="D4:E4"/>
    <mergeCell ref="F4:G4"/>
    <mergeCell ref="H4:I4"/>
    <mergeCell ref="C43:I43"/>
    <mergeCell ref="C44:E44"/>
    <mergeCell ref="C45:E45"/>
    <mergeCell ref="F44:I44"/>
    <mergeCell ref="F45:I45"/>
    <mergeCell ref="C47:G47"/>
    <mergeCell ref="C37:I37"/>
    <mergeCell ref="C38:E38"/>
    <mergeCell ref="C39:E39"/>
    <mergeCell ref="C40:E40"/>
    <mergeCell ref="C41:E41"/>
    <mergeCell ref="F38:I38"/>
    <mergeCell ref="F39:I39"/>
    <mergeCell ref="F40:I40"/>
    <mergeCell ref="F41:I41"/>
    <mergeCell ref="C32:I32"/>
    <mergeCell ref="C33:E33"/>
    <mergeCell ref="C34:E34"/>
    <mergeCell ref="C35:E35"/>
    <mergeCell ref="F33:I33"/>
    <mergeCell ref="F34:I34"/>
    <mergeCell ref="F35:I35"/>
    <mergeCell ref="C26:I26"/>
    <mergeCell ref="C27:E27"/>
    <mergeCell ref="F27:I27"/>
    <mergeCell ref="C29:I29"/>
    <mergeCell ref="C30:E30"/>
    <mergeCell ref="F30:I30"/>
    <mergeCell ref="C20:AC20"/>
    <mergeCell ref="C21:D21"/>
    <mergeCell ref="C22:D22"/>
    <mergeCell ref="C23:D23"/>
    <mergeCell ref="C24:D24"/>
    <mergeCell ref="E21:AC21"/>
    <mergeCell ref="E24:AC24"/>
    <mergeCell ref="C18:F18"/>
    <mergeCell ref="G13:K13"/>
    <mergeCell ref="G14:K14"/>
    <mergeCell ref="G15:K15"/>
    <mergeCell ref="G16:K16"/>
    <mergeCell ref="G17:K17"/>
    <mergeCell ref="G18:K18"/>
    <mergeCell ref="C12:K12"/>
    <mergeCell ref="C13:F13"/>
    <mergeCell ref="C14:F14"/>
    <mergeCell ref="C15:F15"/>
    <mergeCell ref="C16:F16"/>
    <mergeCell ref="C17:F17"/>
  </mergeCells>
  <hyperlinks>
    <hyperlink ref="B4" location="'LinReg_FS1'!$B$10:$B$10" display="Feature Selection" xr:uid="{D53895B0-A5D2-457E-9EDF-7E7C242A9DE3}"/>
    <hyperlink ref="D4" location="'LinReg_Output'!$B$10:$B$10" display="Inputs" xr:uid="{5F668BD4-BE4B-4FB8-8EB8-1C7D10DAC53C}"/>
    <hyperlink ref="F4" location="'LinReg_Output'!$B$52:$B$52" display="Regression Summary" xr:uid="{FEE6AA41-0E8B-4F71-84E6-870D6173E085}"/>
    <hyperlink ref="H4" location="'LinReg_Output'!$B$61:$B$61" display="Predictor Screening" xr:uid="{05FEBF48-12B3-47B4-AD01-9F62E1D34C03}"/>
    <hyperlink ref="J4" location="'LinReg_Output'!$B$94:$B$94" display="Coefficients" xr:uid="{05B7B070-725A-4BE8-987E-B93A999B9EBE}"/>
    <hyperlink ref="B5" location="'LinReg_Stored1'!$B$10:$B$10" display="PMML Model" xr:uid="{43CE06EA-74AB-49AD-A9FD-54ECFAFB1217}"/>
    <hyperlink ref="D5" location="'LinReg_TrainingScore1'!$B$10:$B$10" display="Training: Prediction Summary" xr:uid="{E8AD0BFB-0321-4D7A-A0E8-F3E0A028E1E5}"/>
    <hyperlink ref="F5" location="'LinReg_ValidationScore1'!$B$10:$B$10" display="Validation: Prediction Summary" xr:uid="{7344C4C0-5DAF-48FD-91F5-21FF229E38ED}"/>
  </hyperlinks>
  <pageMargins left="0.7" right="0.7" top="0.75" bottom="0.75" header="0.3" footer="0.3"/>
  <tableParts count="4">
    <tablePart r:id="rId1"/>
    <tablePart r:id="rId2"/>
    <tablePart r:id="rId3"/>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D07B30-B51C-43BC-89CE-69F42A054E14}">
  <sheetPr codeName="Sheet22">
    <tabColor theme="6" tint="0.39997558519241921"/>
  </sheetPr>
  <dimension ref="B1:AC58"/>
  <sheetViews>
    <sheetView showGridLines="0" topLeftCell="A17" workbookViewId="0">
      <selection activeCell="G412" sqref="G412"/>
    </sheetView>
  </sheetViews>
  <sheetFormatPr defaultRowHeight="15" x14ac:dyDescent="0.25"/>
  <cols>
    <col min="3" max="3" width="11.42578125" customWidth="1"/>
    <col min="4" max="4" width="14.85546875" customWidth="1"/>
    <col min="5" max="5" width="13.28515625" customWidth="1"/>
    <col min="6" max="6" width="18.42578125" customWidth="1"/>
    <col min="7" max="7" width="11.85546875" customWidth="1"/>
    <col min="8" max="8" width="16" customWidth="1"/>
    <col min="9" max="9" width="23.5703125" customWidth="1"/>
    <col min="10" max="10" width="23.42578125" customWidth="1"/>
    <col min="11" max="11" width="24.42578125" customWidth="1"/>
    <col min="12" max="12" width="23.85546875" customWidth="1"/>
    <col min="13" max="13" width="20.42578125" customWidth="1"/>
    <col min="14" max="14" width="22.7109375" customWidth="1"/>
    <col min="15" max="15" width="22.42578125" customWidth="1"/>
    <col min="16" max="16" width="18.140625" customWidth="1"/>
    <col min="17" max="18" width="20.7109375" customWidth="1"/>
    <col min="19" max="19" width="14" customWidth="1"/>
    <col min="20" max="20" width="21.85546875" customWidth="1"/>
    <col min="21" max="21" width="23" customWidth="1"/>
    <col min="22" max="22" width="29.5703125" customWidth="1"/>
    <col min="23" max="23" width="24.5703125" customWidth="1"/>
    <col min="24" max="24" width="26.42578125" customWidth="1"/>
    <col min="25" max="25" width="26.85546875" customWidth="1"/>
    <col min="26" max="26" width="25.5703125" customWidth="1"/>
    <col min="27" max="27" width="27.140625" customWidth="1"/>
    <col min="28" max="28" width="26.42578125" customWidth="1"/>
    <col min="29" max="29" width="29.7109375" customWidth="1"/>
  </cols>
  <sheetData>
    <row r="1" spans="2:29" ht="18.75" x14ac:dyDescent="0.3">
      <c r="B1" s="6" t="s">
        <v>771</v>
      </c>
      <c r="N1" t="s">
        <v>898</v>
      </c>
    </row>
    <row r="3" spans="2:29" ht="15.75" x14ac:dyDescent="0.25">
      <c r="B3" s="13" t="s">
        <v>147</v>
      </c>
      <c r="C3" s="14"/>
      <c r="D3" s="14"/>
      <c r="E3" s="14"/>
      <c r="F3" s="14"/>
      <c r="G3" s="14"/>
      <c r="H3" s="14"/>
      <c r="I3" s="14"/>
      <c r="J3" s="14"/>
      <c r="K3" s="15"/>
      <c r="N3" s="13" t="s">
        <v>148</v>
      </c>
      <c r="O3" s="14"/>
      <c r="P3" s="14"/>
      <c r="Q3" s="15"/>
    </row>
    <row r="4" spans="2:29" x14ac:dyDescent="0.25">
      <c r="B4" s="25" t="s">
        <v>770</v>
      </c>
      <c r="C4" s="21"/>
      <c r="D4" s="25" t="s">
        <v>153</v>
      </c>
      <c r="E4" s="21"/>
      <c r="F4" s="25" t="s">
        <v>720</v>
      </c>
      <c r="G4" s="21"/>
      <c r="H4" s="25" t="s">
        <v>721</v>
      </c>
      <c r="I4" s="21"/>
      <c r="J4" s="25" t="s">
        <v>722</v>
      </c>
      <c r="K4" s="21"/>
      <c r="N4" s="11" t="s">
        <v>149</v>
      </c>
      <c r="O4" s="11" t="s">
        <v>150</v>
      </c>
      <c r="P4" s="11" t="s">
        <v>151</v>
      </c>
      <c r="Q4" s="11" t="s">
        <v>152</v>
      </c>
    </row>
    <row r="5" spans="2:29" x14ac:dyDescent="0.25">
      <c r="B5" s="25" t="s">
        <v>645</v>
      </c>
      <c r="C5" s="21"/>
      <c r="D5" s="25" t="s">
        <v>723</v>
      </c>
      <c r="E5" s="21"/>
      <c r="F5" s="25" t="s">
        <v>724</v>
      </c>
      <c r="G5" s="21"/>
      <c r="H5" s="19"/>
      <c r="I5" s="21"/>
      <c r="J5" s="19"/>
      <c r="K5" s="21"/>
      <c r="N5" s="10">
        <v>13</v>
      </c>
      <c r="O5" s="10">
        <v>15</v>
      </c>
      <c r="P5" s="10">
        <v>7</v>
      </c>
      <c r="Q5" s="10">
        <v>35</v>
      </c>
    </row>
    <row r="10" spans="2:29" ht="18.75" x14ac:dyDescent="0.3">
      <c r="B10" s="7" t="s">
        <v>770</v>
      </c>
    </row>
    <row r="12" spans="2:29" ht="15.75" x14ac:dyDescent="0.25">
      <c r="C12" s="29" t="s">
        <v>772</v>
      </c>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1"/>
    </row>
    <row r="13" spans="2:29" x14ac:dyDescent="0.25">
      <c r="C13" s="9" t="s">
        <v>773</v>
      </c>
      <c r="D13" s="5" t="s">
        <v>767</v>
      </c>
      <c r="E13" s="5" t="s">
        <v>1</v>
      </c>
      <c r="F13" s="5" t="s">
        <v>2</v>
      </c>
      <c r="G13" s="5" t="s">
        <v>15</v>
      </c>
      <c r="H13" s="5" t="s">
        <v>17</v>
      </c>
      <c r="I13" s="5" t="s">
        <v>125</v>
      </c>
      <c r="J13" s="5" t="s">
        <v>126</v>
      </c>
      <c r="K13" s="5" t="s">
        <v>127</v>
      </c>
      <c r="L13" s="5" t="s">
        <v>128</v>
      </c>
      <c r="M13" s="5" t="s">
        <v>137</v>
      </c>
      <c r="N13" s="5" t="s">
        <v>138</v>
      </c>
      <c r="O13" s="5" t="s">
        <v>139</v>
      </c>
      <c r="P13" s="5" t="s">
        <v>129</v>
      </c>
      <c r="Q13" s="5" t="s">
        <v>140</v>
      </c>
      <c r="R13" s="5" t="s">
        <v>141</v>
      </c>
      <c r="S13" s="5" t="s">
        <v>142</v>
      </c>
      <c r="T13" s="5" t="s">
        <v>143</v>
      </c>
      <c r="U13" s="5" t="s">
        <v>145</v>
      </c>
      <c r="V13" s="5" t="s">
        <v>144</v>
      </c>
      <c r="W13" s="5" t="s">
        <v>130</v>
      </c>
      <c r="X13" s="5" t="s">
        <v>131</v>
      </c>
      <c r="Y13" s="5" t="s">
        <v>132</v>
      </c>
      <c r="Z13" s="5" t="s">
        <v>133</v>
      </c>
      <c r="AA13" s="5" t="s">
        <v>134</v>
      </c>
      <c r="AB13" s="5" t="s">
        <v>135</v>
      </c>
      <c r="AC13" s="5" t="s">
        <v>136</v>
      </c>
    </row>
    <row r="14" spans="2:29" x14ac:dyDescent="0.25">
      <c r="B14" s="12" t="s">
        <v>900</v>
      </c>
      <c r="C14" s="28" t="s">
        <v>774</v>
      </c>
      <c r="D14" s="8">
        <v>1</v>
      </c>
      <c r="E14" s="8">
        <v>0</v>
      </c>
      <c r="F14" s="8">
        <v>0</v>
      </c>
      <c r="G14" s="8">
        <v>0</v>
      </c>
      <c r="H14" s="8">
        <v>0</v>
      </c>
      <c r="I14" s="8">
        <v>0</v>
      </c>
      <c r="J14" s="8">
        <v>0</v>
      </c>
      <c r="K14" s="8">
        <v>0</v>
      </c>
      <c r="L14" s="8">
        <v>0</v>
      </c>
      <c r="M14" s="8">
        <v>0</v>
      </c>
      <c r="N14" s="8">
        <v>0</v>
      </c>
      <c r="O14" s="8">
        <v>0</v>
      </c>
      <c r="P14" s="8">
        <v>0</v>
      </c>
      <c r="Q14" s="8">
        <v>0</v>
      </c>
      <c r="R14" s="8">
        <v>0</v>
      </c>
      <c r="S14" s="8">
        <v>0</v>
      </c>
      <c r="T14" s="8">
        <v>0</v>
      </c>
      <c r="U14" s="8">
        <v>0</v>
      </c>
      <c r="V14" s="8">
        <v>0</v>
      </c>
      <c r="W14" s="8">
        <v>0</v>
      </c>
      <c r="X14" s="8">
        <v>0</v>
      </c>
      <c r="Y14" s="8">
        <v>0</v>
      </c>
      <c r="Z14" s="8">
        <v>0</v>
      </c>
      <c r="AA14" s="8">
        <v>0</v>
      </c>
      <c r="AB14" s="8">
        <v>0</v>
      </c>
      <c r="AC14" s="8">
        <v>0</v>
      </c>
    </row>
    <row r="15" spans="2:29" x14ac:dyDescent="0.25">
      <c r="B15" s="12" t="s">
        <v>901</v>
      </c>
      <c r="C15" s="28" t="s">
        <v>775</v>
      </c>
      <c r="D15" s="8">
        <v>1</v>
      </c>
      <c r="E15" s="8">
        <v>0</v>
      </c>
      <c r="F15" s="8">
        <v>0</v>
      </c>
      <c r="G15" s="8">
        <v>0</v>
      </c>
      <c r="H15" s="8">
        <v>0</v>
      </c>
      <c r="I15" s="8">
        <v>0</v>
      </c>
      <c r="J15" s="8">
        <v>0</v>
      </c>
      <c r="K15" s="8">
        <v>0</v>
      </c>
      <c r="L15" s="8">
        <v>0</v>
      </c>
      <c r="M15" s="8">
        <v>0</v>
      </c>
      <c r="N15" s="8">
        <v>0</v>
      </c>
      <c r="O15" s="8">
        <v>1</v>
      </c>
      <c r="P15" s="8">
        <v>0</v>
      </c>
      <c r="Q15" s="8">
        <v>0</v>
      </c>
      <c r="R15" s="8">
        <v>0</v>
      </c>
      <c r="S15" s="8">
        <v>0</v>
      </c>
      <c r="T15" s="8">
        <v>0</v>
      </c>
      <c r="U15" s="8">
        <v>0</v>
      </c>
      <c r="V15" s="8">
        <v>0</v>
      </c>
      <c r="W15" s="8">
        <v>0</v>
      </c>
      <c r="X15" s="8">
        <v>0</v>
      </c>
      <c r="Y15" s="8">
        <v>0</v>
      </c>
      <c r="Z15" s="8">
        <v>0</v>
      </c>
      <c r="AA15" s="8">
        <v>0</v>
      </c>
      <c r="AB15" s="8">
        <v>0</v>
      </c>
      <c r="AC15" s="8">
        <v>0</v>
      </c>
    </row>
    <row r="16" spans="2:29" x14ac:dyDescent="0.25">
      <c r="B16" s="12" t="s">
        <v>902</v>
      </c>
      <c r="C16" s="28" t="s">
        <v>776</v>
      </c>
      <c r="D16" s="8">
        <v>1</v>
      </c>
      <c r="E16" s="8">
        <v>0</v>
      </c>
      <c r="F16" s="8">
        <v>0</v>
      </c>
      <c r="G16" s="8">
        <v>0</v>
      </c>
      <c r="H16" s="8">
        <v>0</v>
      </c>
      <c r="I16" s="8">
        <v>0</v>
      </c>
      <c r="J16" s="8">
        <v>0</v>
      </c>
      <c r="K16" s="8">
        <v>0</v>
      </c>
      <c r="L16" s="8">
        <v>0</v>
      </c>
      <c r="M16" s="8">
        <v>0</v>
      </c>
      <c r="N16" s="8">
        <v>0</v>
      </c>
      <c r="O16" s="8">
        <v>0</v>
      </c>
      <c r="P16" s="8">
        <v>0</v>
      </c>
      <c r="Q16" s="8">
        <v>1</v>
      </c>
      <c r="R16" s="8">
        <v>1</v>
      </c>
      <c r="S16" s="8">
        <v>0</v>
      </c>
      <c r="T16" s="8">
        <v>0</v>
      </c>
      <c r="U16" s="8">
        <v>0</v>
      </c>
      <c r="V16" s="8">
        <v>0</v>
      </c>
      <c r="W16" s="8">
        <v>0</v>
      </c>
      <c r="X16" s="8">
        <v>0</v>
      </c>
      <c r="Y16" s="8">
        <v>0</v>
      </c>
      <c r="Z16" s="8">
        <v>0</v>
      </c>
      <c r="AA16" s="8">
        <v>0</v>
      </c>
      <c r="AB16" s="8">
        <v>0</v>
      </c>
      <c r="AC16" s="8">
        <v>0</v>
      </c>
    </row>
    <row r="17" spans="2:29" x14ac:dyDescent="0.25">
      <c r="B17" s="12" t="s">
        <v>903</v>
      </c>
      <c r="C17" s="28" t="s">
        <v>777</v>
      </c>
      <c r="D17" s="8">
        <v>1</v>
      </c>
      <c r="E17" s="8">
        <v>0</v>
      </c>
      <c r="F17" s="8">
        <v>0</v>
      </c>
      <c r="G17" s="8">
        <v>1</v>
      </c>
      <c r="H17" s="8">
        <v>0</v>
      </c>
      <c r="I17" s="8">
        <v>0</v>
      </c>
      <c r="J17" s="8">
        <v>0</v>
      </c>
      <c r="K17" s="8">
        <v>0</v>
      </c>
      <c r="L17" s="8">
        <v>0</v>
      </c>
      <c r="M17" s="8">
        <v>0</v>
      </c>
      <c r="N17" s="8">
        <v>0</v>
      </c>
      <c r="O17" s="8">
        <v>0</v>
      </c>
      <c r="P17" s="8">
        <v>0</v>
      </c>
      <c r="Q17" s="8">
        <v>1</v>
      </c>
      <c r="R17" s="8">
        <v>1</v>
      </c>
      <c r="S17" s="8">
        <v>0</v>
      </c>
      <c r="T17" s="8">
        <v>0</v>
      </c>
      <c r="U17" s="8">
        <v>0</v>
      </c>
      <c r="V17" s="8">
        <v>0</v>
      </c>
      <c r="W17" s="8">
        <v>0</v>
      </c>
      <c r="X17" s="8">
        <v>0</v>
      </c>
      <c r="Y17" s="8">
        <v>0</v>
      </c>
      <c r="Z17" s="8">
        <v>0</v>
      </c>
      <c r="AA17" s="8">
        <v>0</v>
      </c>
      <c r="AB17" s="8">
        <v>0</v>
      </c>
      <c r="AC17" s="8">
        <v>0</v>
      </c>
    </row>
    <row r="18" spans="2:29" x14ac:dyDescent="0.25">
      <c r="B18" s="12" t="s">
        <v>904</v>
      </c>
      <c r="C18" s="28" t="s">
        <v>818</v>
      </c>
      <c r="D18" s="8">
        <v>1</v>
      </c>
      <c r="E18" s="8">
        <v>0</v>
      </c>
      <c r="F18" s="8">
        <v>0</v>
      </c>
      <c r="G18" s="8">
        <v>1</v>
      </c>
      <c r="H18" s="8">
        <v>0</v>
      </c>
      <c r="I18" s="8">
        <v>0</v>
      </c>
      <c r="J18" s="8">
        <v>0</v>
      </c>
      <c r="K18" s="8">
        <v>0</v>
      </c>
      <c r="L18" s="8">
        <v>0</v>
      </c>
      <c r="M18" s="8">
        <v>0</v>
      </c>
      <c r="N18" s="8">
        <v>0</v>
      </c>
      <c r="O18" s="8">
        <v>1</v>
      </c>
      <c r="P18" s="8">
        <v>0</v>
      </c>
      <c r="Q18" s="8">
        <v>1</v>
      </c>
      <c r="R18" s="8">
        <v>1</v>
      </c>
      <c r="S18" s="8">
        <v>0</v>
      </c>
      <c r="T18" s="8">
        <v>0</v>
      </c>
      <c r="U18" s="8">
        <v>0</v>
      </c>
      <c r="V18" s="8">
        <v>0</v>
      </c>
      <c r="W18" s="8">
        <v>0</v>
      </c>
      <c r="X18" s="8">
        <v>0</v>
      </c>
      <c r="Y18" s="8">
        <v>0</v>
      </c>
      <c r="Z18" s="8">
        <v>0</v>
      </c>
      <c r="AA18" s="8">
        <v>0</v>
      </c>
      <c r="AB18" s="8">
        <v>0</v>
      </c>
      <c r="AC18" s="8">
        <v>0</v>
      </c>
    </row>
    <row r="19" spans="2:29" x14ac:dyDescent="0.25">
      <c r="B19" s="12" t="s">
        <v>905</v>
      </c>
      <c r="C19" s="28" t="s">
        <v>858</v>
      </c>
      <c r="D19" s="8">
        <v>1</v>
      </c>
      <c r="E19" s="8">
        <v>0</v>
      </c>
      <c r="F19" s="8">
        <v>0</v>
      </c>
      <c r="G19" s="8">
        <v>1</v>
      </c>
      <c r="H19" s="8">
        <v>0</v>
      </c>
      <c r="I19" s="8">
        <v>0</v>
      </c>
      <c r="J19" s="8">
        <v>0</v>
      </c>
      <c r="K19" s="8">
        <v>0</v>
      </c>
      <c r="L19" s="8">
        <v>0</v>
      </c>
      <c r="M19" s="8">
        <v>0</v>
      </c>
      <c r="N19" s="8">
        <v>0</v>
      </c>
      <c r="O19" s="8">
        <v>1</v>
      </c>
      <c r="P19" s="8">
        <v>1</v>
      </c>
      <c r="Q19" s="8">
        <v>1</v>
      </c>
      <c r="R19" s="8">
        <v>1</v>
      </c>
      <c r="S19" s="8">
        <v>0</v>
      </c>
      <c r="T19" s="8">
        <v>0</v>
      </c>
      <c r="U19" s="8">
        <v>0</v>
      </c>
      <c r="V19" s="8">
        <v>0</v>
      </c>
      <c r="W19" s="8">
        <v>0</v>
      </c>
      <c r="X19" s="8">
        <v>0</v>
      </c>
      <c r="Y19" s="8">
        <v>0</v>
      </c>
      <c r="Z19" s="8">
        <v>0</v>
      </c>
      <c r="AA19" s="8">
        <v>0</v>
      </c>
      <c r="AB19" s="8">
        <v>0</v>
      </c>
      <c r="AC19" s="8">
        <v>0</v>
      </c>
    </row>
    <row r="20" spans="2:29" x14ac:dyDescent="0.25">
      <c r="B20" s="12" t="s">
        <v>906</v>
      </c>
      <c r="C20" s="28" t="s">
        <v>860</v>
      </c>
      <c r="D20" s="8">
        <v>1</v>
      </c>
      <c r="E20" s="8">
        <v>0</v>
      </c>
      <c r="F20" s="8">
        <v>0</v>
      </c>
      <c r="G20" s="8">
        <v>1</v>
      </c>
      <c r="H20" s="8">
        <v>0</v>
      </c>
      <c r="I20" s="8">
        <v>0</v>
      </c>
      <c r="J20" s="8">
        <v>0</v>
      </c>
      <c r="K20" s="8">
        <v>0</v>
      </c>
      <c r="L20" s="8">
        <v>0</v>
      </c>
      <c r="M20" s="8">
        <v>0</v>
      </c>
      <c r="N20" s="8">
        <v>0</v>
      </c>
      <c r="O20" s="8">
        <v>1</v>
      </c>
      <c r="P20" s="8">
        <v>1</v>
      </c>
      <c r="Q20" s="8">
        <v>1</v>
      </c>
      <c r="R20" s="8">
        <v>1</v>
      </c>
      <c r="S20" s="8">
        <v>0</v>
      </c>
      <c r="T20" s="8">
        <v>0</v>
      </c>
      <c r="U20" s="8">
        <v>0</v>
      </c>
      <c r="V20" s="8">
        <v>0</v>
      </c>
      <c r="W20" s="8">
        <v>1</v>
      </c>
      <c r="X20" s="8">
        <v>0</v>
      </c>
      <c r="Y20" s="8">
        <v>0</v>
      </c>
      <c r="Z20" s="8">
        <v>0</v>
      </c>
      <c r="AA20" s="8">
        <v>0</v>
      </c>
      <c r="AB20" s="8">
        <v>0</v>
      </c>
      <c r="AC20" s="8">
        <v>0</v>
      </c>
    </row>
    <row r="21" spans="2:29" x14ac:dyDescent="0.25">
      <c r="B21" s="12" t="s">
        <v>907</v>
      </c>
      <c r="C21" s="28" t="s">
        <v>862</v>
      </c>
      <c r="D21" s="8">
        <v>1</v>
      </c>
      <c r="E21" s="8">
        <v>0</v>
      </c>
      <c r="F21" s="8">
        <v>0</v>
      </c>
      <c r="G21" s="8">
        <v>1</v>
      </c>
      <c r="H21" s="8">
        <v>0</v>
      </c>
      <c r="I21" s="8">
        <v>0</v>
      </c>
      <c r="J21" s="8">
        <v>0</v>
      </c>
      <c r="K21" s="8">
        <v>0</v>
      </c>
      <c r="L21" s="8">
        <v>0</v>
      </c>
      <c r="M21" s="8">
        <v>0</v>
      </c>
      <c r="N21" s="8">
        <v>0</v>
      </c>
      <c r="O21" s="8">
        <v>1</v>
      </c>
      <c r="P21" s="8">
        <v>1</v>
      </c>
      <c r="Q21" s="8">
        <v>1</v>
      </c>
      <c r="R21" s="8">
        <v>1</v>
      </c>
      <c r="S21" s="8">
        <v>0</v>
      </c>
      <c r="T21" s="8">
        <v>1</v>
      </c>
      <c r="U21" s="8">
        <v>0</v>
      </c>
      <c r="V21" s="8">
        <v>0</v>
      </c>
      <c r="W21" s="8">
        <v>1</v>
      </c>
      <c r="X21" s="8">
        <v>0</v>
      </c>
      <c r="Y21" s="8">
        <v>0</v>
      </c>
      <c r="Z21" s="8">
        <v>0</v>
      </c>
      <c r="AA21" s="8">
        <v>0</v>
      </c>
      <c r="AB21" s="8">
        <v>0</v>
      </c>
      <c r="AC21" s="8">
        <v>0</v>
      </c>
    </row>
    <row r="22" spans="2:29" x14ac:dyDescent="0.25">
      <c r="B22" s="12" t="s">
        <v>908</v>
      </c>
      <c r="C22" s="28" t="s">
        <v>864</v>
      </c>
      <c r="D22" s="8">
        <v>1</v>
      </c>
      <c r="E22" s="8">
        <v>0</v>
      </c>
      <c r="F22" s="8">
        <v>0</v>
      </c>
      <c r="G22" s="8">
        <v>1</v>
      </c>
      <c r="H22" s="8">
        <v>0</v>
      </c>
      <c r="I22" s="8">
        <v>0</v>
      </c>
      <c r="J22" s="8">
        <v>0</v>
      </c>
      <c r="K22" s="8">
        <v>0</v>
      </c>
      <c r="L22" s="8">
        <v>0</v>
      </c>
      <c r="M22" s="8">
        <v>0</v>
      </c>
      <c r="N22" s="8">
        <v>0</v>
      </c>
      <c r="O22" s="8">
        <v>1</v>
      </c>
      <c r="P22" s="8">
        <v>1</v>
      </c>
      <c r="Q22" s="8">
        <v>1</v>
      </c>
      <c r="R22" s="8">
        <v>1</v>
      </c>
      <c r="S22" s="8">
        <v>0</v>
      </c>
      <c r="T22" s="8">
        <v>1</v>
      </c>
      <c r="U22" s="8">
        <v>0</v>
      </c>
      <c r="V22" s="8">
        <v>0</v>
      </c>
      <c r="W22" s="8">
        <v>0</v>
      </c>
      <c r="X22" s="8">
        <v>0</v>
      </c>
      <c r="Y22" s="8">
        <v>0</v>
      </c>
      <c r="Z22" s="8">
        <v>0</v>
      </c>
      <c r="AA22" s="8">
        <v>0</v>
      </c>
      <c r="AB22" s="8">
        <v>1</v>
      </c>
      <c r="AC22" s="8">
        <v>1</v>
      </c>
    </row>
    <row r="23" spans="2:29" x14ac:dyDescent="0.25">
      <c r="B23" s="12" t="s">
        <v>909</v>
      </c>
      <c r="C23" s="28" t="s">
        <v>866</v>
      </c>
      <c r="D23" s="8">
        <v>1</v>
      </c>
      <c r="E23" s="8">
        <v>0</v>
      </c>
      <c r="F23" s="8">
        <v>0</v>
      </c>
      <c r="G23" s="8">
        <v>1</v>
      </c>
      <c r="H23" s="8">
        <v>0</v>
      </c>
      <c r="I23" s="8">
        <v>0</v>
      </c>
      <c r="J23" s="8">
        <v>0</v>
      </c>
      <c r="K23" s="8">
        <v>0</v>
      </c>
      <c r="L23" s="8">
        <v>0</v>
      </c>
      <c r="M23" s="8">
        <v>0</v>
      </c>
      <c r="N23" s="8">
        <v>0</v>
      </c>
      <c r="O23" s="8">
        <v>1</v>
      </c>
      <c r="P23" s="8">
        <v>1</v>
      </c>
      <c r="Q23" s="8">
        <v>1</v>
      </c>
      <c r="R23" s="8">
        <v>1</v>
      </c>
      <c r="S23" s="8">
        <v>0</v>
      </c>
      <c r="T23" s="8">
        <v>1</v>
      </c>
      <c r="U23" s="8">
        <v>0</v>
      </c>
      <c r="V23" s="8">
        <v>0</v>
      </c>
      <c r="W23" s="8">
        <v>0</v>
      </c>
      <c r="X23" s="8">
        <v>1</v>
      </c>
      <c r="Y23" s="8">
        <v>0</v>
      </c>
      <c r="Z23" s="8">
        <v>0</v>
      </c>
      <c r="AA23" s="8">
        <v>0</v>
      </c>
      <c r="AB23" s="8">
        <v>1</v>
      </c>
      <c r="AC23" s="8">
        <v>1</v>
      </c>
    </row>
    <row r="24" spans="2:29" x14ac:dyDescent="0.25">
      <c r="B24" s="12" t="s">
        <v>910</v>
      </c>
      <c r="C24" s="28" t="s">
        <v>868</v>
      </c>
      <c r="D24" s="8">
        <v>1</v>
      </c>
      <c r="E24" s="8">
        <v>0</v>
      </c>
      <c r="F24" s="8">
        <v>0</v>
      </c>
      <c r="G24" s="8">
        <v>1</v>
      </c>
      <c r="H24" s="8">
        <v>0</v>
      </c>
      <c r="I24" s="8">
        <v>0</v>
      </c>
      <c r="J24" s="8">
        <v>0</v>
      </c>
      <c r="K24" s="8">
        <v>0</v>
      </c>
      <c r="L24" s="8">
        <v>0</v>
      </c>
      <c r="M24" s="8">
        <v>0</v>
      </c>
      <c r="N24" s="8">
        <v>0</v>
      </c>
      <c r="O24" s="8">
        <v>1</v>
      </c>
      <c r="P24" s="8">
        <v>1</v>
      </c>
      <c r="Q24" s="8">
        <v>1</v>
      </c>
      <c r="R24" s="8">
        <v>1</v>
      </c>
      <c r="S24" s="8">
        <v>0</v>
      </c>
      <c r="T24" s="8">
        <v>1</v>
      </c>
      <c r="U24" s="8">
        <v>0</v>
      </c>
      <c r="V24" s="8">
        <v>0</v>
      </c>
      <c r="W24" s="8">
        <v>0</v>
      </c>
      <c r="X24" s="8">
        <v>1</v>
      </c>
      <c r="Y24" s="8">
        <v>0</v>
      </c>
      <c r="Z24" s="8">
        <v>1</v>
      </c>
      <c r="AA24" s="8">
        <v>0</v>
      </c>
      <c r="AB24" s="8">
        <v>1</v>
      </c>
      <c r="AC24" s="8">
        <v>1</v>
      </c>
    </row>
    <row r="25" spans="2:29" x14ac:dyDescent="0.25">
      <c r="B25" s="12" t="s">
        <v>911</v>
      </c>
      <c r="C25" s="28" t="s">
        <v>870</v>
      </c>
      <c r="D25" s="8">
        <v>1</v>
      </c>
      <c r="E25" s="8">
        <v>0</v>
      </c>
      <c r="F25" s="8">
        <v>0</v>
      </c>
      <c r="G25" s="8">
        <v>1</v>
      </c>
      <c r="H25" s="8">
        <v>0</v>
      </c>
      <c r="I25" s="8">
        <v>0</v>
      </c>
      <c r="J25" s="8">
        <v>0</v>
      </c>
      <c r="K25" s="8">
        <v>0</v>
      </c>
      <c r="L25" s="8">
        <v>0</v>
      </c>
      <c r="M25" s="8">
        <v>0</v>
      </c>
      <c r="N25" s="8">
        <v>0</v>
      </c>
      <c r="O25" s="8">
        <v>1</v>
      </c>
      <c r="P25" s="8">
        <v>1</v>
      </c>
      <c r="Q25" s="8">
        <v>1</v>
      </c>
      <c r="R25" s="8">
        <v>1</v>
      </c>
      <c r="S25" s="8">
        <v>0</v>
      </c>
      <c r="T25" s="8">
        <v>1</v>
      </c>
      <c r="U25" s="8">
        <v>0</v>
      </c>
      <c r="V25" s="8">
        <v>0</v>
      </c>
      <c r="W25" s="8">
        <v>0</v>
      </c>
      <c r="X25" s="8">
        <v>1</v>
      </c>
      <c r="Y25" s="8">
        <v>0</v>
      </c>
      <c r="Z25" s="8">
        <v>1</v>
      </c>
      <c r="AA25" s="8">
        <v>1</v>
      </c>
      <c r="AB25" s="8">
        <v>1</v>
      </c>
      <c r="AC25" s="8">
        <v>1</v>
      </c>
    </row>
    <row r="26" spans="2:29" x14ac:dyDescent="0.25">
      <c r="B26" s="12" t="s">
        <v>912</v>
      </c>
      <c r="C26" s="28" t="s">
        <v>872</v>
      </c>
      <c r="D26" s="8">
        <v>1</v>
      </c>
      <c r="E26" s="8">
        <v>0</v>
      </c>
      <c r="F26" s="8">
        <v>0</v>
      </c>
      <c r="G26" s="8">
        <v>1</v>
      </c>
      <c r="H26" s="8">
        <v>0</v>
      </c>
      <c r="I26" s="8">
        <v>0</v>
      </c>
      <c r="J26" s="8">
        <v>0</v>
      </c>
      <c r="K26" s="8">
        <v>0</v>
      </c>
      <c r="L26" s="8">
        <v>0</v>
      </c>
      <c r="M26" s="8">
        <v>1</v>
      </c>
      <c r="N26" s="8">
        <v>0</v>
      </c>
      <c r="O26" s="8">
        <v>1</v>
      </c>
      <c r="P26" s="8">
        <v>1</v>
      </c>
      <c r="Q26" s="8">
        <v>1</v>
      </c>
      <c r="R26" s="8">
        <v>1</v>
      </c>
      <c r="S26" s="8">
        <v>0</v>
      </c>
      <c r="T26" s="8">
        <v>1</v>
      </c>
      <c r="U26" s="8">
        <v>0</v>
      </c>
      <c r="V26" s="8">
        <v>0</v>
      </c>
      <c r="W26" s="8">
        <v>0</v>
      </c>
      <c r="X26" s="8">
        <v>1</v>
      </c>
      <c r="Y26" s="8">
        <v>0</v>
      </c>
      <c r="Z26" s="8">
        <v>1</v>
      </c>
      <c r="AA26" s="8">
        <v>1</v>
      </c>
      <c r="AB26" s="8">
        <v>1</v>
      </c>
      <c r="AC26" s="8">
        <v>1</v>
      </c>
    </row>
    <row r="27" spans="2:29" x14ac:dyDescent="0.25">
      <c r="B27" s="12" t="s">
        <v>913</v>
      </c>
      <c r="C27" s="28" t="s">
        <v>874</v>
      </c>
      <c r="D27" s="8">
        <v>1</v>
      </c>
      <c r="E27" s="8">
        <v>0</v>
      </c>
      <c r="F27" s="8">
        <v>0</v>
      </c>
      <c r="G27" s="8">
        <v>1</v>
      </c>
      <c r="H27" s="8">
        <v>0</v>
      </c>
      <c r="I27" s="8">
        <v>0</v>
      </c>
      <c r="J27" s="8">
        <v>0</v>
      </c>
      <c r="K27" s="8">
        <v>1</v>
      </c>
      <c r="L27" s="8">
        <v>0</v>
      </c>
      <c r="M27" s="8">
        <v>1</v>
      </c>
      <c r="N27" s="8">
        <v>0</v>
      </c>
      <c r="O27" s="8">
        <v>1</v>
      </c>
      <c r="P27" s="8">
        <v>1</v>
      </c>
      <c r="Q27" s="8">
        <v>1</v>
      </c>
      <c r="R27" s="8">
        <v>1</v>
      </c>
      <c r="S27" s="8">
        <v>0</v>
      </c>
      <c r="T27" s="8">
        <v>1</v>
      </c>
      <c r="U27" s="8">
        <v>0</v>
      </c>
      <c r="V27" s="8">
        <v>0</v>
      </c>
      <c r="W27" s="8">
        <v>0</v>
      </c>
      <c r="X27" s="8">
        <v>1</v>
      </c>
      <c r="Y27" s="8">
        <v>0</v>
      </c>
      <c r="Z27" s="8">
        <v>1</v>
      </c>
      <c r="AA27" s="8">
        <v>1</v>
      </c>
      <c r="AB27" s="8">
        <v>1</v>
      </c>
      <c r="AC27" s="8">
        <v>1</v>
      </c>
    </row>
    <row r="28" spans="2:29" x14ac:dyDescent="0.25">
      <c r="B28" s="12" t="s">
        <v>914</v>
      </c>
      <c r="C28" s="28" t="s">
        <v>876</v>
      </c>
      <c r="D28" s="8">
        <v>1</v>
      </c>
      <c r="E28" s="8">
        <v>1</v>
      </c>
      <c r="F28" s="8">
        <v>0</v>
      </c>
      <c r="G28" s="8">
        <v>1</v>
      </c>
      <c r="H28" s="8">
        <v>0</v>
      </c>
      <c r="I28" s="8">
        <v>0</v>
      </c>
      <c r="J28" s="8">
        <v>0</v>
      </c>
      <c r="K28" s="8">
        <v>1</v>
      </c>
      <c r="L28" s="8">
        <v>0</v>
      </c>
      <c r="M28" s="8">
        <v>1</v>
      </c>
      <c r="N28" s="8">
        <v>0</v>
      </c>
      <c r="O28" s="8">
        <v>1</v>
      </c>
      <c r="P28" s="8">
        <v>1</v>
      </c>
      <c r="Q28" s="8">
        <v>1</v>
      </c>
      <c r="R28" s="8">
        <v>1</v>
      </c>
      <c r="S28" s="8">
        <v>0</v>
      </c>
      <c r="T28" s="8">
        <v>1</v>
      </c>
      <c r="U28" s="8">
        <v>0</v>
      </c>
      <c r="V28" s="8">
        <v>0</v>
      </c>
      <c r="W28" s="8">
        <v>0</v>
      </c>
      <c r="X28" s="8">
        <v>1</v>
      </c>
      <c r="Y28" s="8">
        <v>0</v>
      </c>
      <c r="Z28" s="8">
        <v>1</v>
      </c>
      <c r="AA28" s="8">
        <v>1</v>
      </c>
      <c r="AB28" s="8">
        <v>1</v>
      </c>
      <c r="AC28" s="8">
        <v>1</v>
      </c>
    </row>
    <row r="29" spans="2:29" x14ac:dyDescent="0.25">
      <c r="B29" s="12" t="s">
        <v>915</v>
      </c>
      <c r="C29" s="28" t="s">
        <v>916</v>
      </c>
      <c r="D29" s="8">
        <v>1</v>
      </c>
      <c r="E29" s="8">
        <v>1</v>
      </c>
      <c r="F29" s="8">
        <v>1</v>
      </c>
      <c r="G29" s="8">
        <v>1</v>
      </c>
      <c r="H29" s="8">
        <v>0</v>
      </c>
      <c r="I29" s="8">
        <v>0</v>
      </c>
      <c r="J29" s="8">
        <v>0</v>
      </c>
      <c r="K29" s="8">
        <v>1</v>
      </c>
      <c r="L29" s="8">
        <v>0</v>
      </c>
      <c r="M29" s="8">
        <v>1</v>
      </c>
      <c r="N29" s="8">
        <v>0</v>
      </c>
      <c r="O29" s="8">
        <v>1</v>
      </c>
      <c r="P29" s="8">
        <v>1</v>
      </c>
      <c r="Q29" s="8">
        <v>1</v>
      </c>
      <c r="R29" s="8">
        <v>1</v>
      </c>
      <c r="S29" s="8">
        <v>0</v>
      </c>
      <c r="T29" s="8">
        <v>1</v>
      </c>
      <c r="U29" s="8">
        <v>0</v>
      </c>
      <c r="V29" s="8">
        <v>0</v>
      </c>
      <c r="W29" s="8">
        <v>0</v>
      </c>
      <c r="X29" s="8">
        <v>1</v>
      </c>
      <c r="Y29" s="8">
        <v>0</v>
      </c>
      <c r="Z29" s="8">
        <v>1</v>
      </c>
      <c r="AA29" s="8">
        <v>1</v>
      </c>
      <c r="AB29" s="8">
        <v>1</v>
      </c>
      <c r="AC29" s="8">
        <v>1</v>
      </c>
    </row>
    <row r="30" spans="2:29" x14ac:dyDescent="0.25">
      <c r="B30" s="12" t="s">
        <v>917</v>
      </c>
      <c r="C30" s="28" t="s">
        <v>918</v>
      </c>
      <c r="D30" s="8">
        <v>1</v>
      </c>
      <c r="E30" s="8">
        <v>1</v>
      </c>
      <c r="F30" s="8">
        <v>1</v>
      </c>
      <c r="G30" s="8">
        <v>1</v>
      </c>
      <c r="H30" s="8">
        <v>0</v>
      </c>
      <c r="I30" s="8">
        <v>0</v>
      </c>
      <c r="J30" s="8">
        <v>0</v>
      </c>
      <c r="K30" s="8">
        <v>1</v>
      </c>
      <c r="L30" s="8">
        <v>0</v>
      </c>
      <c r="M30" s="8">
        <v>1</v>
      </c>
      <c r="N30" s="8">
        <v>0</v>
      </c>
      <c r="O30" s="8">
        <v>1</v>
      </c>
      <c r="P30" s="8">
        <v>1</v>
      </c>
      <c r="Q30" s="8">
        <v>1</v>
      </c>
      <c r="R30" s="8">
        <v>1</v>
      </c>
      <c r="S30" s="8">
        <v>0</v>
      </c>
      <c r="T30" s="8">
        <v>1</v>
      </c>
      <c r="U30" s="8">
        <v>0</v>
      </c>
      <c r="V30" s="8">
        <v>1</v>
      </c>
      <c r="W30" s="8">
        <v>0</v>
      </c>
      <c r="X30" s="8">
        <v>1</v>
      </c>
      <c r="Y30" s="8">
        <v>0</v>
      </c>
      <c r="Z30" s="8">
        <v>1</v>
      </c>
      <c r="AA30" s="8">
        <v>1</v>
      </c>
      <c r="AB30" s="8">
        <v>1</v>
      </c>
      <c r="AC30" s="8">
        <v>1</v>
      </c>
    </row>
    <row r="31" spans="2:29" x14ac:dyDescent="0.25">
      <c r="B31" s="12" t="s">
        <v>919</v>
      </c>
      <c r="C31" s="28" t="s">
        <v>920</v>
      </c>
      <c r="D31" s="8">
        <v>1</v>
      </c>
      <c r="E31" s="8">
        <v>1</v>
      </c>
      <c r="F31" s="8">
        <v>1</v>
      </c>
      <c r="G31" s="8">
        <v>1</v>
      </c>
      <c r="H31" s="8">
        <v>0</v>
      </c>
      <c r="I31" s="8">
        <v>0</v>
      </c>
      <c r="J31" s="8">
        <v>0</v>
      </c>
      <c r="K31" s="8">
        <v>1</v>
      </c>
      <c r="L31" s="8">
        <v>0</v>
      </c>
      <c r="M31" s="8">
        <v>1</v>
      </c>
      <c r="N31" s="8">
        <v>0</v>
      </c>
      <c r="O31" s="8">
        <v>1</v>
      </c>
      <c r="P31" s="8">
        <v>1</v>
      </c>
      <c r="Q31" s="8">
        <v>1</v>
      </c>
      <c r="R31" s="8">
        <v>1</v>
      </c>
      <c r="S31" s="8">
        <v>0</v>
      </c>
      <c r="T31" s="8">
        <v>1</v>
      </c>
      <c r="U31" s="8">
        <v>0</v>
      </c>
      <c r="V31" s="8">
        <v>1</v>
      </c>
      <c r="W31" s="8">
        <v>1</v>
      </c>
      <c r="X31" s="8">
        <v>1</v>
      </c>
      <c r="Y31" s="8">
        <v>0</v>
      </c>
      <c r="Z31" s="8">
        <v>1</v>
      </c>
      <c r="AA31" s="8">
        <v>1</v>
      </c>
      <c r="AB31" s="8">
        <v>1</v>
      </c>
      <c r="AC31" s="8">
        <v>1</v>
      </c>
    </row>
    <row r="32" spans="2:29" x14ac:dyDescent="0.25">
      <c r="B32" s="12" t="s">
        <v>921</v>
      </c>
      <c r="C32" s="28" t="s">
        <v>922</v>
      </c>
      <c r="D32" s="8">
        <v>1</v>
      </c>
      <c r="E32" s="8">
        <v>1</v>
      </c>
      <c r="F32" s="8">
        <v>1</v>
      </c>
      <c r="G32" s="8">
        <v>1</v>
      </c>
      <c r="H32" s="8">
        <v>0</v>
      </c>
      <c r="I32" s="8">
        <v>0</v>
      </c>
      <c r="J32" s="8">
        <v>0</v>
      </c>
      <c r="K32" s="8">
        <v>1</v>
      </c>
      <c r="L32" s="8">
        <v>1</v>
      </c>
      <c r="M32" s="8">
        <v>1</v>
      </c>
      <c r="N32" s="8">
        <v>0</v>
      </c>
      <c r="O32" s="8">
        <v>1</v>
      </c>
      <c r="P32" s="8">
        <v>1</v>
      </c>
      <c r="Q32" s="8">
        <v>1</v>
      </c>
      <c r="R32" s="8">
        <v>1</v>
      </c>
      <c r="S32" s="8">
        <v>0</v>
      </c>
      <c r="T32" s="8">
        <v>1</v>
      </c>
      <c r="U32" s="8">
        <v>0</v>
      </c>
      <c r="V32" s="8">
        <v>1</v>
      </c>
      <c r="W32" s="8">
        <v>1</v>
      </c>
      <c r="X32" s="8">
        <v>1</v>
      </c>
      <c r="Y32" s="8">
        <v>0</v>
      </c>
      <c r="Z32" s="8">
        <v>1</v>
      </c>
      <c r="AA32" s="8">
        <v>1</v>
      </c>
      <c r="AB32" s="8">
        <v>1</v>
      </c>
      <c r="AC32" s="8">
        <v>1</v>
      </c>
    </row>
    <row r="33" spans="2:29" x14ac:dyDescent="0.25">
      <c r="B33" s="12" t="s">
        <v>923</v>
      </c>
      <c r="C33" s="28" t="s">
        <v>924</v>
      </c>
      <c r="D33" s="8">
        <v>1</v>
      </c>
      <c r="E33" s="8">
        <v>1</v>
      </c>
      <c r="F33" s="8">
        <v>1</v>
      </c>
      <c r="G33" s="8">
        <v>1</v>
      </c>
      <c r="H33" s="8">
        <v>1</v>
      </c>
      <c r="I33" s="8">
        <v>0</v>
      </c>
      <c r="J33" s="8">
        <v>0</v>
      </c>
      <c r="K33" s="8">
        <v>1</v>
      </c>
      <c r="L33" s="8">
        <v>1</v>
      </c>
      <c r="M33" s="8">
        <v>1</v>
      </c>
      <c r="N33" s="8">
        <v>0</v>
      </c>
      <c r="O33" s="8">
        <v>1</v>
      </c>
      <c r="P33" s="8">
        <v>1</v>
      </c>
      <c r="Q33" s="8">
        <v>1</v>
      </c>
      <c r="R33" s="8">
        <v>1</v>
      </c>
      <c r="S33" s="8">
        <v>0</v>
      </c>
      <c r="T33" s="8">
        <v>1</v>
      </c>
      <c r="U33" s="8">
        <v>0</v>
      </c>
      <c r="V33" s="8">
        <v>1</v>
      </c>
      <c r="W33" s="8">
        <v>1</v>
      </c>
      <c r="X33" s="8">
        <v>1</v>
      </c>
      <c r="Y33" s="8">
        <v>0</v>
      </c>
      <c r="Z33" s="8">
        <v>1</v>
      </c>
      <c r="AA33" s="8">
        <v>1</v>
      </c>
      <c r="AB33" s="8">
        <v>1</v>
      </c>
      <c r="AC33" s="8">
        <v>1</v>
      </c>
    </row>
    <row r="34" spans="2:29" x14ac:dyDescent="0.25">
      <c r="B34" s="12" t="s">
        <v>925</v>
      </c>
      <c r="C34" s="28" t="s">
        <v>926</v>
      </c>
      <c r="D34" s="8">
        <v>1</v>
      </c>
      <c r="E34" s="8">
        <v>1</v>
      </c>
      <c r="F34" s="8">
        <v>1</v>
      </c>
      <c r="G34" s="8">
        <v>1</v>
      </c>
      <c r="H34" s="8">
        <v>1</v>
      </c>
      <c r="I34" s="8">
        <v>0</v>
      </c>
      <c r="J34" s="8">
        <v>1</v>
      </c>
      <c r="K34" s="8">
        <v>1</v>
      </c>
      <c r="L34" s="8">
        <v>1</v>
      </c>
      <c r="M34" s="8">
        <v>1</v>
      </c>
      <c r="N34" s="8">
        <v>0</v>
      </c>
      <c r="O34" s="8">
        <v>1</v>
      </c>
      <c r="P34" s="8">
        <v>1</v>
      </c>
      <c r="Q34" s="8">
        <v>1</v>
      </c>
      <c r="R34" s="8">
        <v>1</v>
      </c>
      <c r="S34" s="8">
        <v>0</v>
      </c>
      <c r="T34" s="8">
        <v>1</v>
      </c>
      <c r="U34" s="8">
        <v>0</v>
      </c>
      <c r="V34" s="8">
        <v>1</v>
      </c>
      <c r="W34" s="8">
        <v>1</v>
      </c>
      <c r="X34" s="8">
        <v>1</v>
      </c>
      <c r="Y34" s="8">
        <v>0</v>
      </c>
      <c r="Z34" s="8">
        <v>1</v>
      </c>
      <c r="AA34" s="8">
        <v>1</v>
      </c>
      <c r="AB34" s="8">
        <v>1</v>
      </c>
      <c r="AC34" s="8">
        <v>1</v>
      </c>
    </row>
    <row r="36" spans="2:29" ht="15.75" x14ac:dyDescent="0.25">
      <c r="C36" s="29" t="s">
        <v>778</v>
      </c>
      <c r="D36" s="30"/>
      <c r="E36" s="30"/>
      <c r="F36" s="30"/>
      <c r="G36" s="30"/>
      <c r="H36" s="30"/>
      <c r="I36" s="31"/>
    </row>
    <row r="37" spans="2:29" x14ac:dyDescent="0.25">
      <c r="C37" s="9" t="s">
        <v>773</v>
      </c>
      <c r="D37" s="5" t="s">
        <v>779</v>
      </c>
      <c r="E37" s="5" t="s">
        <v>763</v>
      </c>
      <c r="F37" s="5" t="s">
        <v>780</v>
      </c>
      <c r="G37" s="5" t="s">
        <v>732</v>
      </c>
      <c r="H37" s="5" t="s">
        <v>761</v>
      </c>
      <c r="I37" s="5" t="s">
        <v>781</v>
      </c>
    </row>
    <row r="38" spans="2:29" x14ac:dyDescent="0.25">
      <c r="C38" s="9" t="s">
        <v>774</v>
      </c>
      <c r="D38" s="8">
        <v>1</v>
      </c>
      <c r="E38" s="8">
        <v>389.32975871313647</v>
      </c>
      <c r="F38" s="8">
        <v>29.710098765999987</v>
      </c>
      <c r="G38" s="8">
        <v>5.5511151231257827E-16</v>
      </c>
      <c r="H38" s="8">
        <v>6.6613381477509392E-16</v>
      </c>
      <c r="I38" s="8">
        <v>6.3134922407441106E-4</v>
      </c>
    </row>
    <row r="39" spans="2:29" x14ac:dyDescent="0.25">
      <c r="C39" s="9" t="s">
        <v>775</v>
      </c>
      <c r="D39" s="8">
        <v>2</v>
      </c>
      <c r="E39" s="8">
        <v>384.28025477706984</v>
      </c>
      <c r="F39" s="8">
        <v>26.512994831205674</v>
      </c>
      <c r="G39" s="8">
        <v>1.296973535431023E-2</v>
      </c>
      <c r="H39" s="8">
        <v>1.0309276419955271E-2</v>
      </c>
      <c r="I39" s="8">
        <v>1.7708862030171657E-3</v>
      </c>
    </row>
    <row r="40" spans="2:29" x14ac:dyDescent="0.25">
      <c r="C40" s="9" t="s">
        <v>776</v>
      </c>
      <c r="D40" s="8">
        <v>3</v>
      </c>
      <c r="E40" s="8">
        <v>376.39728771767579</v>
      </c>
      <c r="F40" s="8">
        <v>20.399603963320942</v>
      </c>
      <c r="G40" s="8">
        <v>3.321726815388315E-2</v>
      </c>
      <c r="H40" s="8">
        <v>2.7991415549309617E-2</v>
      </c>
      <c r="I40" s="8">
        <v>1.095795520989307E-2</v>
      </c>
    </row>
    <row r="41" spans="2:29" x14ac:dyDescent="0.25">
      <c r="C41" s="9" t="s">
        <v>777</v>
      </c>
      <c r="D41" s="8">
        <v>4</v>
      </c>
      <c r="E41" s="8">
        <v>366.12492017003513</v>
      </c>
      <c r="F41" s="8">
        <v>11.826969011959193</v>
      </c>
      <c r="G41" s="8">
        <v>5.9602016089911114E-2</v>
      </c>
      <c r="H41" s="8">
        <v>5.195650402560148E-2</v>
      </c>
      <c r="I41" s="8">
        <v>0.10655911504145926</v>
      </c>
    </row>
    <row r="42" spans="2:29" x14ac:dyDescent="0.25">
      <c r="C42" s="9" t="s">
        <v>818</v>
      </c>
      <c r="D42" s="8">
        <v>5</v>
      </c>
      <c r="E42" s="8">
        <v>360.10744727209851</v>
      </c>
      <c r="F42" s="8">
        <v>7.6336018077055883</v>
      </c>
      <c r="G42" s="8">
        <v>7.5057995920033371E-2</v>
      </c>
      <c r="H42" s="8">
        <v>6.5004278484381617E-2</v>
      </c>
      <c r="I42" s="8">
        <v>0.29460424260950879</v>
      </c>
    </row>
    <row r="43" spans="2:29" x14ac:dyDescent="0.25">
      <c r="C43" s="9" t="s">
        <v>858</v>
      </c>
      <c r="D43" s="8">
        <v>6</v>
      </c>
      <c r="E43" s="8">
        <v>357.05188000030529</v>
      </c>
      <c r="F43" s="8">
        <v>6.4887184899919816</v>
      </c>
      <c r="G43" s="8">
        <v>8.2906271587151359E-2</v>
      </c>
      <c r="H43" s="8">
        <v>7.0411806622398543E-2</v>
      </c>
      <c r="I43" s="8">
        <v>0.42053156991210516</v>
      </c>
    </row>
    <row r="44" spans="2:29" x14ac:dyDescent="0.25">
      <c r="C44" s="9" t="s">
        <v>860</v>
      </c>
      <c r="D44" s="8">
        <v>7</v>
      </c>
      <c r="E44" s="8">
        <v>354.51409685018098</v>
      </c>
      <c r="F44" s="8">
        <v>5.8767544313126336</v>
      </c>
      <c r="G44" s="8">
        <v>8.9424610073560729E-2</v>
      </c>
      <c r="H44" s="8">
        <v>7.4497144664930626E-2</v>
      </c>
      <c r="I44" s="8">
        <v>0.53750140226331677</v>
      </c>
    </row>
    <row r="45" spans="2:29" x14ac:dyDescent="0.25">
      <c r="C45" s="9" t="s">
        <v>862</v>
      </c>
      <c r="D45" s="8">
        <v>8</v>
      </c>
      <c r="E45" s="8">
        <v>352.36781656381908</v>
      </c>
      <c r="F45" s="8">
        <v>5.6677370975996837</v>
      </c>
      <c r="G45" s="8">
        <v>9.4937366903287912E-2</v>
      </c>
      <c r="H45" s="8">
        <v>7.7580001337049675E-2</v>
      </c>
      <c r="I45" s="8">
        <v>0.63823146271843667</v>
      </c>
    </row>
    <row r="46" spans="2:29" x14ac:dyDescent="0.25">
      <c r="C46" s="9" t="s">
        <v>864</v>
      </c>
      <c r="D46" s="8">
        <v>9</v>
      </c>
      <c r="E46" s="8">
        <v>350.03646560808119</v>
      </c>
      <c r="F46" s="8">
        <v>5.2682393689396463</v>
      </c>
      <c r="G46" s="8">
        <v>0.10092548084413788</v>
      </c>
      <c r="H46" s="8">
        <v>8.1165601302250812E-2</v>
      </c>
      <c r="I46" s="8">
        <v>0.7622296947894075</v>
      </c>
    </row>
    <row r="47" spans="2:29" x14ac:dyDescent="0.25">
      <c r="C47" s="9" t="s">
        <v>866</v>
      </c>
      <c r="D47" s="8">
        <v>10</v>
      </c>
      <c r="E47" s="8">
        <v>348.72347555123559</v>
      </c>
      <c r="F47" s="8">
        <v>5.916869833005876</v>
      </c>
      <c r="G47" s="8">
        <v>0.10429791777571351</v>
      </c>
      <c r="H47" s="8">
        <v>8.2090428133788973E-2</v>
      </c>
      <c r="I47" s="8">
        <v>0.80416630771875686</v>
      </c>
    </row>
    <row r="48" spans="2:29" x14ac:dyDescent="0.25">
      <c r="C48" s="9" t="s">
        <v>868</v>
      </c>
      <c r="D48" s="8">
        <v>11</v>
      </c>
      <c r="E48" s="8">
        <v>346.82335687129421</v>
      </c>
      <c r="F48" s="8">
        <v>5.9612095556535678</v>
      </c>
      <c r="G48" s="8">
        <v>0.10917840440027027</v>
      </c>
      <c r="H48" s="8">
        <v>8.4570073030111992E-2</v>
      </c>
      <c r="I48" s="8">
        <v>0.89235503597604726</v>
      </c>
    </row>
    <row r="49" spans="3:9" x14ac:dyDescent="0.25">
      <c r="C49" s="9" t="s">
        <v>870</v>
      </c>
      <c r="D49" s="8">
        <v>12</v>
      </c>
      <c r="E49" s="8">
        <v>345.0914480685953</v>
      </c>
      <c r="F49" s="8">
        <v>6.1786760301479262</v>
      </c>
      <c r="G49" s="8">
        <v>0.11362684114043486</v>
      </c>
      <c r="H49" s="8">
        <v>8.6618240731971774E-2</v>
      </c>
      <c r="I49" s="8">
        <v>0.95602472449666931</v>
      </c>
    </row>
    <row r="50" spans="3:9" x14ac:dyDescent="0.25">
      <c r="C50" s="9" t="s">
        <v>872</v>
      </c>
      <c r="D50" s="8">
        <v>13</v>
      </c>
      <c r="E50" s="8">
        <v>343.99223559009971</v>
      </c>
      <c r="F50" s="8">
        <v>7.0473329181323834</v>
      </c>
      <c r="G50" s="8">
        <v>0.11645018678482855</v>
      </c>
      <c r="H50" s="8">
        <v>8.6998526344322813E-2</v>
      </c>
      <c r="I50" s="8">
        <v>0.9791575752477446</v>
      </c>
    </row>
    <row r="51" spans="3:9" x14ac:dyDescent="0.25">
      <c r="C51" s="9" t="s">
        <v>874</v>
      </c>
      <c r="D51" s="8">
        <v>14</v>
      </c>
      <c r="E51" s="8">
        <v>343.28479800760931</v>
      </c>
      <c r="F51" s="8">
        <v>8.3192165149899893</v>
      </c>
      <c r="G51" s="8">
        <v>0.11826725205317257</v>
      </c>
      <c r="H51" s="8">
        <v>8.6338211041170454E-2</v>
      </c>
      <c r="I51" s="8">
        <v>0.98772859042003081</v>
      </c>
    </row>
    <row r="52" spans="3:9" x14ac:dyDescent="0.25">
      <c r="C52" s="9" t="s">
        <v>876</v>
      </c>
      <c r="D52" s="8">
        <v>15</v>
      </c>
      <c r="E52" s="8">
        <v>342.74520123470973</v>
      </c>
      <c r="F52" s="8">
        <v>9.7638470079759827</v>
      </c>
      <c r="G52" s="8">
        <v>0.11965321539356333</v>
      </c>
      <c r="H52" s="8">
        <v>8.5226246163143893E-2</v>
      </c>
      <c r="I52" s="8">
        <v>0.99292076789798833</v>
      </c>
    </row>
    <row r="53" spans="3:9" x14ac:dyDescent="0.25">
      <c r="C53" s="9" t="s">
        <v>916</v>
      </c>
      <c r="D53" s="8">
        <v>16</v>
      </c>
      <c r="E53" s="8">
        <v>342.33062307496937</v>
      </c>
      <c r="F53" s="8">
        <v>11.337150482426807</v>
      </c>
      <c r="G53" s="8">
        <v>0.1207180663340891</v>
      </c>
      <c r="H53" s="8">
        <v>8.3773447272496138E-2</v>
      </c>
      <c r="I53" s="8">
        <v>0.9968573880434457</v>
      </c>
    </row>
    <row r="54" spans="3:9" x14ac:dyDescent="0.25">
      <c r="C54" s="9" t="s">
        <v>918</v>
      </c>
      <c r="D54" s="8">
        <v>17</v>
      </c>
      <c r="E54" s="8">
        <v>342.09407148508205</v>
      </c>
      <c r="F54" s="8">
        <v>13.093684349089585</v>
      </c>
      <c r="G54" s="8">
        <v>0.1213256530509873</v>
      </c>
      <c r="H54" s="8">
        <v>8.1834671165638473E-2</v>
      </c>
      <c r="I54" s="8">
        <v>0.99893090357690006</v>
      </c>
    </row>
    <row r="55" spans="3:9" x14ac:dyDescent="0.25">
      <c r="C55" s="9" t="s">
        <v>920</v>
      </c>
      <c r="D55" s="8">
        <v>18</v>
      </c>
      <c r="E55" s="8">
        <v>342.04112247780785</v>
      </c>
      <c r="F55" s="8">
        <v>15.039187610888689</v>
      </c>
      <c r="G55" s="8">
        <v>0.12146165346217919</v>
      </c>
      <c r="H55" s="8">
        <v>7.939080306459334E-2</v>
      </c>
      <c r="I55" s="8">
        <v>0.99795674579947002</v>
      </c>
    </row>
    <row r="56" spans="3:9" x14ac:dyDescent="0.25">
      <c r="C56" s="9" t="s">
        <v>922</v>
      </c>
      <c r="D56" s="8">
        <v>19</v>
      </c>
      <c r="E56" s="8">
        <v>342.02151991783029</v>
      </c>
      <c r="F56" s="8">
        <v>17.019012056441909</v>
      </c>
      <c r="G56" s="8">
        <v>0.12151200296549569</v>
      </c>
      <c r="H56" s="8">
        <v>7.6843121760351463E-2</v>
      </c>
      <c r="I56" s="8">
        <v>0.9905392655164873</v>
      </c>
    </row>
    <row r="57" spans="3:9" x14ac:dyDescent="0.25">
      <c r="C57" s="9" t="s">
        <v>924</v>
      </c>
      <c r="D57" s="8">
        <v>20</v>
      </c>
      <c r="E57" s="8">
        <v>342.01026653934747</v>
      </c>
      <c r="F57" s="8">
        <v>19.007429735023152</v>
      </c>
      <c r="G57" s="8">
        <v>0.12154090745643431</v>
      </c>
      <c r="H57" s="8">
        <v>7.4258406724627579E-2</v>
      </c>
      <c r="I57" s="8">
        <v>0.93135968972261141</v>
      </c>
    </row>
    <row r="58" spans="3:9" x14ac:dyDescent="0.25">
      <c r="C58" s="9" t="s">
        <v>926</v>
      </c>
      <c r="D58" s="8">
        <v>21</v>
      </c>
      <c r="E58" s="8">
        <v>342.00304781201118</v>
      </c>
      <c r="F58" s="8">
        <v>20.999999999999943</v>
      </c>
      <c r="G58" s="8">
        <v>0.12155944887839021</v>
      </c>
      <c r="H58" s="8">
        <v>7.1648053928298761E-2</v>
      </c>
      <c r="I58" s="8" t="s">
        <v>877</v>
      </c>
    </row>
  </sheetData>
  <mergeCells count="14">
    <mergeCell ref="H5:I5"/>
    <mergeCell ref="J5:K5"/>
    <mergeCell ref="B3:K3"/>
    <mergeCell ref="N3:Q3"/>
    <mergeCell ref="C12:AC12"/>
    <mergeCell ref="C36:I36"/>
    <mergeCell ref="B4:C4"/>
    <mergeCell ref="D4:E4"/>
    <mergeCell ref="F4:G4"/>
    <mergeCell ref="H4:I4"/>
    <mergeCell ref="J4:K4"/>
    <mergeCell ref="B5:C5"/>
    <mergeCell ref="D5:E5"/>
    <mergeCell ref="F5:G5"/>
  </mergeCells>
  <hyperlinks>
    <hyperlink ref="C14" location="B14:B14" tooltip="701" display="Subset 1" xr:uid="{F71DFC2F-C12B-41E3-B91E-F95E16B8A77C}"/>
    <hyperlink ref="C15" location="B15:B15" tooltip="701" display="Subset 2" xr:uid="{0E7D617C-9934-45BA-A2BE-9EB36CB3DA50}"/>
    <hyperlink ref="C16" location="B16:B16" tooltip="701" display="Subset 3" xr:uid="{F4D7B516-662A-4E97-8DF7-A99D1CA4336B}"/>
    <hyperlink ref="C17" location="B17:B17" tooltip="701" display="Subset 4" xr:uid="{2EF0D495-6806-449E-8830-5AAD6789895D}"/>
    <hyperlink ref="C18" location="B18:B18" tooltip="701" display="Subset 5" xr:uid="{0C5C4104-C3C5-44B5-B112-84761981A249}"/>
    <hyperlink ref="C19" location="B19:B19" tooltip="701" display="Subset 6" xr:uid="{74D8BD88-F486-4FB8-8212-96E8FF0B1CC2}"/>
    <hyperlink ref="C20" location="B20:B20" tooltip="701" display="Subset 7" xr:uid="{78D7D303-4FDB-4F78-AD51-394DA7665394}"/>
    <hyperlink ref="C21" location="B21:B21" tooltip="701" display="Subset 8" xr:uid="{7CE6C182-DFA1-424F-BC93-4B160F47DEE7}"/>
    <hyperlink ref="C22" location="B22:B22" tooltip="701" display="Subset 9" xr:uid="{8D62A434-0681-442C-9E75-615E474E61D2}"/>
    <hyperlink ref="C23" location="B23:B23" tooltip="701" display="Subset 10" xr:uid="{DAA219BD-DF50-4C58-A27E-A60C139C7998}"/>
    <hyperlink ref="C24" location="B24:B24" tooltip="701" display="Subset 11" xr:uid="{542AA6B4-5AED-49A0-8492-C78879379F35}"/>
    <hyperlink ref="C25" location="B25:B25" tooltip="701" display="Subset 12" xr:uid="{680C1335-8558-4230-B6E5-2619EA10E568}"/>
    <hyperlink ref="C26" location="B26:B26" tooltip="701" display="Subset 13" xr:uid="{3247F0CC-07CA-41DD-8584-B68460A8460C}"/>
    <hyperlink ref="C27" location="B27:B27" tooltip="701" display="Subset 14" xr:uid="{B9AC9702-126D-46AE-8EFC-C3743E3ED849}"/>
    <hyperlink ref="C28" location="B28:B28" tooltip="701" display="Subset 15" xr:uid="{23FBBFCE-65A2-46FD-BC76-16C735640286}"/>
    <hyperlink ref="C29" location="B29:B29" tooltip="701" display="Subset 16" xr:uid="{454E3E4A-E0A9-43AB-971D-D5C8C26E9DDB}"/>
    <hyperlink ref="C30" location="B30:B30" tooltip="701" display="Subset 17" xr:uid="{E88F6C96-6D0D-4C8C-AA48-8360142DD6CA}"/>
    <hyperlink ref="C31" location="B31:B31" tooltip="701" display="Subset 18" xr:uid="{81864F7F-150E-4CEB-BEED-9A48C2B071A1}"/>
    <hyperlink ref="C32" location="B32:B32" tooltip="701" display="Subset 19" xr:uid="{8AF61533-C45D-459E-B011-B24CB7C79118}"/>
    <hyperlink ref="C33" location="B33:B33" tooltip="701" display="Subset 20" xr:uid="{DEC71036-0D7B-4ED9-8613-75AF1F7C439B}"/>
    <hyperlink ref="C34" location="B34:B34" tooltip="701" display="Subset 21" xr:uid="{F079F177-C412-447C-8ADE-86A7C7E0CCF9}"/>
    <hyperlink ref="B4" location="'LinReg_FS1'!$B$10:$B$10" display="Feature Selection" xr:uid="{3F247379-F3AD-445C-8C54-C5B51217276A}"/>
    <hyperlink ref="D4" location="'LinReg_Output'!$B$10:$B$10" display="Inputs" xr:uid="{98A73B06-231E-4ACA-9641-CB6CBDE203A8}"/>
    <hyperlink ref="F4" location="'LinReg_Output'!$B$52:$B$52" display="Regression Summary" xr:uid="{F49A4080-2602-433F-981D-59005828A785}"/>
    <hyperlink ref="H4" location="'LinReg_Output'!$B$61:$B$61" display="Predictor Screening" xr:uid="{9147AF9C-3D90-4CEB-B50A-A8467B3B58E6}"/>
    <hyperlink ref="J4" location="'LinReg_Output'!$B$94:$B$94" display="Coefficients" xr:uid="{9242FF6E-93F3-4F39-87A0-3DB4BD2E39C2}"/>
    <hyperlink ref="B5" location="'LinReg_Stored1'!$B$10:$B$10" display="PMML Model" xr:uid="{EF721CEC-FE7F-4C32-9865-DC4D67C147F8}"/>
    <hyperlink ref="D5" location="'LinReg_TrainingScore1'!$B$10:$B$10" display="Training: Prediction Summary" xr:uid="{3127ABCC-536A-456F-8DDE-A0E088B82B28}"/>
    <hyperlink ref="F5" location="'LinReg_ValidationScore1'!$B$10:$B$10" display="Validation: Prediction Summary" xr:uid="{F206F357-75DD-4E91-A838-361DA56209BA}"/>
  </hyperlinks>
  <pageMargins left="0.7" right="0.7" top="0.75" bottom="0.75" header="0.3" footer="0.3"/>
  <tableParts count="2">
    <tablePart r:id="rId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BE636-B376-491F-9136-5047C56251E9}">
  <sheetPr codeName="Sheet23">
    <tabColor theme="6" tint="0.39997558519241921"/>
  </sheetPr>
  <dimension ref="B1:Q17"/>
  <sheetViews>
    <sheetView showGridLines="0" workbookViewId="0">
      <selection activeCell="G412" sqref="G412"/>
    </sheetView>
  </sheetViews>
  <sheetFormatPr defaultRowHeight="15" x14ac:dyDescent="0.25"/>
  <cols>
    <col min="14" max="14" width="15.5703125" bestFit="1" customWidth="1"/>
  </cols>
  <sheetData>
    <row r="1" spans="2:17" ht="18.75" x14ac:dyDescent="0.3">
      <c r="B1" s="6" t="s">
        <v>733</v>
      </c>
      <c r="N1" t="s">
        <v>898</v>
      </c>
    </row>
    <row r="3" spans="2:17" ht="15.75" x14ac:dyDescent="0.25">
      <c r="B3" s="13" t="s">
        <v>147</v>
      </c>
      <c r="C3" s="14"/>
      <c r="D3" s="14"/>
      <c r="E3" s="14"/>
      <c r="F3" s="14"/>
      <c r="G3" s="14"/>
      <c r="H3" s="14"/>
      <c r="I3" s="14"/>
      <c r="J3" s="14"/>
      <c r="K3" s="15"/>
      <c r="N3" s="13" t="s">
        <v>148</v>
      </c>
      <c r="O3" s="14"/>
      <c r="P3" s="14"/>
      <c r="Q3" s="15"/>
    </row>
    <row r="4" spans="2:17" x14ac:dyDescent="0.25">
      <c r="B4" s="25" t="s">
        <v>770</v>
      </c>
      <c r="C4" s="21"/>
      <c r="D4" s="25" t="s">
        <v>153</v>
      </c>
      <c r="E4" s="21"/>
      <c r="F4" s="25" t="s">
        <v>720</v>
      </c>
      <c r="G4" s="21"/>
      <c r="H4" s="25" t="s">
        <v>721</v>
      </c>
      <c r="I4" s="21"/>
      <c r="J4" s="25" t="s">
        <v>722</v>
      </c>
      <c r="K4" s="21"/>
      <c r="N4" s="11" t="s">
        <v>149</v>
      </c>
      <c r="O4" s="11" t="s">
        <v>150</v>
      </c>
      <c r="P4" s="11" t="s">
        <v>151</v>
      </c>
      <c r="Q4" s="11" t="s">
        <v>152</v>
      </c>
    </row>
    <row r="5" spans="2:17" x14ac:dyDescent="0.25">
      <c r="B5" s="25" t="s">
        <v>645</v>
      </c>
      <c r="C5" s="21"/>
      <c r="D5" s="25" t="s">
        <v>723</v>
      </c>
      <c r="E5" s="21"/>
      <c r="F5" s="25" t="s">
        <v>724</v>
      </c>
      <c r="G5" s="21"/>
      <c r="H5" s="19"/>
      <c r="I5" s="21"/>
      <c r="J5" s="19"/>
      <c r="K5" s="21"/>
      <c r="N5" s="10">
        <v>13</v>
      </c>
      <c r="O5" s="10">
        <v>15</v>
      </c>
      <c r="P5" s="10">
        <v>7</v>
      </c>
      <c r="Q5" s="10">
        <v>35</v>
      </c>
    </row>
    <row r="10" spans="2:17" ht="18.75" x14ac:dyDescent="0.3">
      <c r="B10" s="7" t="s">
        <v>723</v>
      </c>
    </row>
    <row r="12" spans="2:17" x14ac:dyDescent="0.25">
      <c r="C12" t="s">
        <v>726</v>
      </c>
      <c r="D12" t="s">
        <v>727</v>
      </c>
    </row>
    <row r="13" spans="2:17" x14ac:dyDescent="0.25">
      <c r="C13" t="s">
        <v>728</v>
      </c>
      <c r="D13">
        <v>342.00304781201146</v>
      </c>
    </row>
    <row r="14" spans="2:17" x14ac:dyDescent="0.25">
      <c r="C14" t="s">
        <v>729</v>
      </c>
      <c r="D14">
        <v>0.9168982515067331</v>
      </c>
    </row>
    <row r="15" spans="2:17" x14ac:dyDescent="0.25">
      <c r="C15" t="s">
        <v>730</v>
      </c>
      <c r="D15">
        <v>0.9575480413570554</v>
      </c>
    </row>
    <row r="16" spans="2:17" x14ac:dyDescent="0.25">
      <c r="C16" t="s">
        <v>731</v>
      </c>
      <c r="D16">
        <v>0.74970141902013387</v>
      </c>
    </row>
    <row r="17" spans="3:4" x14ac:dyDescent="0.25">
      <c r="C17" t="s">
        <v>732</v>
      </c>
      <c r="D17">
        <v>0.12155944887838854</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FS1'!$B$10:$B$10" display="Feature Selection" xr:uid="{730B3E0B-9C5B-4016-8D47-A37F603158FE}"/>
    <hyperlink ref="D4" location="'LinReg_Output'!$B$10:$B$10" display="Inputs" xr:uid="{519403EE-899F-4B95-99D9-AC7FDAB0BD45}"/>
    <hyperlink ref="F4" location="'LinReg_Output'!$B$52:$B$52" display="Regression Summary" xr:uid="{15D10A31-55CA-4770-9190-DF89D5A5E7CB}"/>
    <hyperlink ref="H4" location="'LinReg_Output'!$B$61:$B$61" display="Predictor Screening" xr:uid="{EC331778-CEC2-4556-A356-50EC58641ECD}"/>
    <hyperlink ref="J4" location="'LinReg_Output'!$B$94:$B$94" display="Coefficients" xr:uid="{A403A438-9AF8-4715-B90B-21ED1078995D}"/>
    <hyperlink ref="B5" location="'LinReg_Stored1'!$B$10:$B$10" display="PMML Model" xr:uid="{6418CCFC-7F78-4341-B3EB-6A5F2DDB1775}"/>
    <hyperlink ref="D5" location="'LinReg_TrainingScore1'!$B$10:$B$10" display="Training: Prediction Summary" xr:uid="{7E03EE71-33DD-4B3E-A883-73CEE23F52AE}"/>
    <hyperlink ref="F5" location="'LinReg_ValidationScore1'!$B$10:$B$10" display="Validation: Prediction Summary" xr:uid="{382C4E89-2790-4A62-9291-AB4C00D6C2D2}"/>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D846B5-F541-4937-9C9C-E287F006DD1E}">
  <sheetPr codeName="Sheet24">
    <tabColor theme="6" tint="0.39997558519241921"/>
  </sheetPr>
  <dimension ref="B1:Q17"/>
  <sheetViews>
    <sheetView showGridLines="0" workbookViewId="0">
      <selection activeCell="G412" sqref="G412"/>
    </sheetView>
  </sheetViews>
  <sheetFormatPr defaultRowHeight="15" x14ac:dyDescent="0.25"/>
  <cols>
    <col min="14" max="14" width="15.5703125" bestFit="1" customWidth="1"/>
  </cols>
  <sheetData>
    <row r="1" spans="2:17" ht="18.75" x14ac:dyDescent="0.3">
      <c r="B1" s="6" t="s">
        <v>725</v>
      </c>
      <c r="N1" t="s">
        <v>898</v>
      </c>
    </row>
    <row r="3" spans="2:17" ht="15.75" x14ac:dyDescent="0.25">
      <c r="B3" s="13" t="s">
        <v>147</v>
      </c>
      <c r="C3" s="14"/>
      <c r="D3" s="14"/>
      <c r="E3" s="14"/>
      <c r="F3" s="14"/>
      <c r="G3" s="14"/>
      <c r="H3" s="14"/>
      <c r="I3" s="14"/>
      <c r="J3" s="14"/>
      <c r="K3" s="15"/>
      <c r="N3" s="13" t="s">
        <v>148</v>
      </c>
      <c r="O3" s="14"/>
      <c r="P3" s="14"/>
      <c r="Q3" s="15"/>
    </row>
    <row r="4" spans="2:17" x14ac:dyDescent="0.25">
      <c r="B4" s="25" t="s">
        <v>770</v>
      </c>
      <c r="C4" s="21"/>
      <c r="D4" s="25" t="s">
        <v>153</v>
      </c>
      <c r="E4" s="21"/>
      <c r="F4" s="25" t="s">
        <v>720</v>
      </c>
      <c r="G4" s="21"/>
      <c r="H4" s="25" t="s">
        <v>721</v>
      </c>
      <c r="I4" s="21"/>
      <c r="J4" s="25" t="s">
        <v>722</v>
      </c>
      <c r="K4" s="21"/>
      <c r="N4" s="11" t="s">
        <v>149</v>
      </c>
      <c r="O4" s="11" t="s">
        <v>150</v>
      </c>
      <c r="P4" s="11" t="s">
        <v>151</v>
      </c>
      <c r="Q4" s="11" t="s">
        <v>152</v>
      </c>
    </row>
    <row r="5" spans="2:17" x14ac:dyDescent="0.25">
      <c r="B5" s="25" t="s">
        <v>645</v>
      </c>
      <c r="C5" s="21"/>
      <c r="D5" s="25" t="s">
        <v>723</v>
      </c>
      <c r="E5" s="21"/>
      <c r="F5" s="25" t="s">
        <v>724</v>
      </c>
      <c r="G5" s="21"/>
      <c r="H5" s="19"/>
      <c r="I5" s="21"/>
      <c r="J5" s="19"/>
      <c r="K5" s="21"/>
      <c r="N5" s="10">
        <v>13</v>
      </c>
      <c r="O5" s="10">
        <v>15</v>
      </c>
      <c r="P5" s="10">
        <v>7</v>
      </c>
      <c r="Q5" s="10">
        <v>35</v>
      </c>
    </row>
    <row r="10" spans="2:17" ht="18.75" x14ac:dyDescent="0.3">
      <c r="B10" s="7" t="s">
        <v>724</v>
      </c>
    </row>
    <row r="12" spans="2:17" x14ac:dyDescent="0.25">
      <c r="C12" t="s">
        <v>726</v>
      </c>
      <c r="D12" t="s">
        <v>727</v>
      </c>
    </row>
    <row r="13" spans="2:17" x14ac:dyDescent="0.25">
      <c r="C13" t="s">
        <v>728</v>
      </c>
      <c r="D13">
        <v>88.101451497980662</v>
      </c>
    </row>
    <row r="14" spans="2:17" x14ac:dyDescent="0.25">
      <c r="C14" t="s">
        <v>729</v>
      </c>
      <c r="D14">
        <v>0.9473274354621577</v>
      </c>
    </row>
    <row r="15" spans="2:17" x14ac:dyDescent="0.25">
      <c r="C15" t="s">
        <v>730</v>
      </c>
      <c r="D15">
        <v>0.97330747221120095</v>
      </c>
    </row>
    <row r="16" spans="2:17" x14ac:dyDescent="0.25">
      <c r="C16" t="s">
        <v>731</v>
      </c>
      <c r="D16">
        <v>0.76797918769731555</v>
      </c>
    </row>
    <row r="17" spans="3:4" x14ac:dyDescent="0.25">
      <c r="C17" t="s">
        <v>732</v>
      </c>
      <c r="D17">
        <v>9.4047435945133206E-2</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FS1'!$B$10:$B$10" display="Feature Selection" xr:uid="{3056F53F-C826-47D6-A9B7-D5F3611B6E60}"/>
    <hyperlink ref="D4" location="'LinReg_Output'!$B$10:$B$10" display="Inputs" xr:uid="{C245F04F-DC5D-48EE-A0C6-B8CDDA5DEB94}"/>
    <hyperlink ref="F4" location="'LinReg_Output'!$B$52:$B$52" display="Regression Summary" xr:uid="{89AF785B-7446-48E8-96AE-ABDFD392A3C2}"/>
    <hyperlink ref="H4" location="'LinReg_Output'!$B$61:$B$61" display="Predictor Screening" xr:uid="{BEEF6C05-F555-43BC-A619-F920B3C4822B}"/>
    <hyperlink ref="J4" location="'LinReg_Output'!$B$94:$B$94" display="Coefficients" xr:uid="{C8176CAA-E1E6-41EF-856B-287A1DD7DF35}"/>
    <hyperlink ref="B5" location="'LinReg_Stored1'!$B$10:$B$10" display="PMML Model" xr:uid="{2B90AF70-CA91-4B9C-B5BB-6543715EF4BC}"/>
    <hyperlink ref="D5" location="'LinReg_TrainingScore1'!$B$10:$B$10" display="Training: Prediction Summary" xr:uid="{1D16349B-60EB-458D-9CD3-BFA014D0ADA1}"/>
    <hyperlink ref="F5" location="'LinReg_ValidationScore1'!$B$10:$B$10" display="Validation: Prediction Summary" xr:uid="{D4826E5A-1F0A-43A4-9E7B-012D78DAF213}"/>
  </hyperlinks>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CA39-E315-4D4D-A8EC-A52E1EDA8D13}">
  <sheetPr codeName="Sheet25">
    <tabColor theme="6" tint="0.39997558519241921"/>
  </sheetPr>
  <dimension ref="B1:Q108"/>
  <sheetViews>
    <sheetView showGridLines="0" workbookViewId="0">
      <selection activeCell="G412" sqref="G412"/>
    </sheetView>
  </sheetViews>
  <sheetFormatPr defaultRowHeight="15" x14ac:dyDescent="0.25"/>
  <cols>
    <col min="14" max="14" width="15.5703125" bestFit="1" customWidth="1"/>
  </cols>
  <sheetData>
    <row r="1" spans="2:17" ht="18.75" x14ac:dyDescent="0.3">
      <c r="B1" s="6" t="s">
        <v>644</v>
      </c>
      <c r="N1" t="s">
        <v>898</v>
      </c>
    </row>
    <row r="3" spans="2:17" ht="15.75" x14ac:dyDescent="0.25">
      <c r="B3" s="13" t="s">
        <v>147</v>
      </c>
      <c r="C3" s="14"/>
      <c r="D3" s="14"/>
      <c r="E3" s="14"/>
      <c r="F3" s="14"/>
      <c r="G3" s="14"/>
      <c r="H3" s="14"/>
      <c r="I3" s="14"/>
      <c r="J3" s="14"/>
      <c r="K3" s="15"/>
      <c r="N3" s="13" t="s">
        <v>148</v>
      </c>
      <c r="O3" s="14"/>
      <c r="P3" s="14"/>
      <c r="Q3" s="15"/>
    </row>
    <row r="4" spans="2:17" x14ac:dyDescent="0.25">
      <c r="B4" s="25" t="s">
        <v>770</v>
      </c>
      <c r="C4" s="21"/>
      <c r="D4" s="25" t="s">
        <v>153</v>
      </c>
      <c r="E4" s="21"/>
      <c r="F4" s="25" t="s">
        <v>720</v>
      </c>
      <c r="G4" s="21"/>
      <c r="H4" s="25" t="s">
        <v>721</v>
      </c>
      <c r="I4" s="21"/>
      <c r="J4" s="25" t="s">
        <v>722</v>
      </c>
      <c r="K4" s="21"/>
      <c r="N4" s="11" t="s">
        <v>149</v>
      </c>
      <c r="O4" s="11" t="s">
        <v>150</v>
      </c>
      <c r="P4" s="11" t="s">
        <v>151</v>
      </c>
      <c r="Q4" s="11" t="s">
        <v>152</v>
      </c>
    </row>
    <row r="5" spans="2:17" x14ac:dyDescent="0.25">
      <c r="B5" s="25" t="s">
        <v>645</v>
      </c>
      <c r="C5" s="21"/>
      <c r="D5" s="25" t="s">
        <v>723</v>
      </c>
      <c r="E5" s="21"/>
      <c r="F5" s="25" t="s">
        <v>724</v>
      </c>
      <c r="G5" s="21"/>
      <c r="H5" s="19"/>
      <c r="I5" s="21"/>
      <c r="J5" s="19"/>
      <c r="K5" s="21"/>
      <c r="N5" s="10">
        <v>13</v>
      </c>
      <c r="O5" s="10">
        <v>15</v>
      </c>
      <c r="P5" s="10">
        <v>7</v>
      </c>
      <c r="Q5" s="10">
        <v>35</v>
      </c>
    </row>
    <row r="10" spans="2:17" ht="18.75" x14ac:dyDescent="0.3">
      <c r="B10" s="7" t="s">
        <v>645</v>
      </c>
    </row>
    <row r="12" spans="2:17" x14ac:dyDescent="0.25">
      <c r="B12" t="s">
        <v>646</v>
      </c>
    </row>
    <row r="13" spans="2:17" x14ac:dyDescent="0.25">
      <c r="B13" t="s">
        <v>647</v>
      </c>
    </row>
    <row r="14" spans="2:17" x14ac:dyDescent="0.25">
      <c r="B14" t="s">
        <v>648</v>
      </c>
    </row>
    <row r="15" spans="2:17" x14ac:dyDescent="0.25">
      <c r="B15" t="s">
        <v>649</v>
      </c>
    </row>
    <row r="16" spans="2:17" x14ac:dyDescent="0.25">
      <c r="B16" t="s">
        <v>899</v>
      </c>
    </row>
    <row r="17" spans="2:2" x14ac:dyDescent="0.25">
      <c r="B17" t="s">
        <v>650</v>
      </c>
    </row>
    <row r="18" spans="2:2" x14ac:dyDescent="0.25">
      <c r="B18" t="s">
        <v>651</v>
      </c>
    </row>
    <row r="19" spans="2:2" x14ac:dyDescent="0.25">
      <c r="B19" t="s">
        <v>652</v>
      </c>
    </row>
    <row r="20" spans="2:2" x14ac:dyDescent="0.25">
      <c r="B20" t="s">
        <v>653</v>
      </c>
    </row>
    <row r="21" spans="2:2" x14ac:dyDescent="0.25">
      <c r="B21" t="s">
        <v>654</v>
      </c>
    </row>
    <row r="22" spans="2:2" x14ac:dyDescent="0.25">
      <c r="B22" t="s">
        <v>655</v>
      </c>
    </row>
    <row r="23" spans="2:2" x14ac:dyDescent="0.25">
      <c r="B23" t="s">
        <v>656</v>
      </c>
    </row>
    <row r="24" spans="2:2" x14ac:dyDescent="0.25">
      <c r="B24" t="s">
        <v>657</v>
      </c>
    </row>
    <row r="25" spans="2:2" x14ac:dyDescent="0.25">
      <c r="B25" t="s">
        <v>658</v>
      </c>
    </row>
    <row r="26" spans="2:2" x14ac:dyDescent="0.25">
      <c r="B26" t="s">
        <v>659</v>
      </c>
    </row>
    <row r="27" spans="2:2" x14ac:dyDescent="0.25">
      <c r="B27" t="s">
        <v>660</v>
      </c>
    </row>
    <row r="28" spans="2:2" x14ac:dyDescent="0.25">
      <c r="B28" t="s">
        <v>661</v>
      </c>
    </row>
    <row r="29" spans="2:2" x14ac:dyDescent="0.25">
      <c r="B29" t="s">
        <v>662</v>
      </c>
    </row>
    <row r="30" spans="2:2" x14ac:dyDescent="0.25">
      <c r="B30" t="s">
        <v>663</v>
      </c>
    </row>
    <row r="31" spans="2:2" x14ac:dyDescent="0.25">
      <c r="B31" t="s">
        <v>664</v>
      </c>
    </row>
    <row r="32" spans="2:2" x14ac:dyDescent="0.25">
      <c r="B32" t="s">
        <v>665</v>
      </c>
    </row>
    <row r="33" spans="2:2" x14ac:dyDescent="0.25">
      <c r="B33" t="s">
        <v>666</v>
      </c>
    </row>
    <row r="34" spans="2:2" x14ac:dyDescent="0.25">
      <c r="B34" t="s">
        <v>667</v>
      </c>
    </row>
    <row r="35" spans="2:2" x14ac:dyDescent="0.25">
      <c r="B35" t="s">
        <v>668</v>
      </c>
    </row>
    <row r="36" spans="2:2" x14ac:dyDescent="0.25">
      <c r="B36" t="s">
        <v>669</v>
      </c>
    </row>
    <row r="37" spans="2:2" x14ac:dyDescent="0.25">
      <c r="B37" t="s">
        <v>670</v>
      </c>
    </row>
    <row r="38" spans="2:2" x14ac:dyDescent="0.25">
      <c r="B38" t="s">
        <v>671</v>
      </c>
    </row>
    <row r="39" spans="2:2" x14ac:dyDescent="0.25">
      <c r="B39" t="s">
        <v>672</v>
      </c>
    </row>
    <row r="40" spans="2:2" x14ac:dyDescent="0.25">
      <c r="B40" t="s">
        <v>673</v>
      </c>
    </row>
    <row r="41" spans="2:2" x14ac:dyDescent="0.25">
      <c r="B41" t="s">
        <v>674</v>
      </c>
    </row>
    <row r="42" spans="2:2" x14ac:dyDescent="0.25">
      <c r="B42" t="s">
        <v>675</v>
      </c>
    </row>
    <row r="43" spans="2:2" x14ac:dyDescent="0.25">
      <c r="B43" t="s">
        <v>676</v>
      </c>
    </row>
    <row r="44" spans="2:2" x14ac:dyDescent="0.25">
      <c r="B44" t="s">
        <v>677</v>
      </c>
    </row>
    <row r="45" spans="2:2" x14ac:dyDescent="0.25">
      <c r="B45" t="s">
        <v>678</v>
      </c>
    </row>
    <row r="46" spans="2:2" x14ac:dyDescent="0.25">
      <c r="B46" t="s">
        <v>679</v>
      </c>
    </row>
    <row r="47" spans="2:2" x14ac:dyDescent="0.25">
      <c r="B47" t="s">
        <v>680</v>
      </c>
    </row>
    <row r="48" spans="2:2" x14ac:dyDescent="0.25">
      <c r="B48" t="s">
        <v>681</v>
      </c>
    </row>
    <row r="49" spans="2:2" x14ac:dyDescent="0.25">
      <c r="B49" t="s">
        <v>682</v>
      </c>
    </row>
    <row r="50" spans="2:2" x14ac:dyDescent="0.25">
      <c r="B50" t="s">
        <v>683</v>
      </c>
    </row>
    <row r="51" spans="2:2" x14ac:dyDescent="0.25">
      <c r="B51" t="s">
        <v>684</v>
      </c>
    </row>
    <row r="52" spans="2:2" x14ac:dyDescent="0.25">
      <c r="B52" t="s">
        <v>685</v>
      </c>
    </row>
    <row r="53" spans="2:2" x14ac:dyDescent="0.25">
      <c r="B53" t="s">
        <v>686</v>
      </c>
    </row>
    <row r="54" spans="2:2" x14ac:dyDescent="0.25">
      <c r="B54" t="s">
        <v>687</v>
      </c>
    </row>
    <row r="55" spans="2:2" x14ac:dyDescent="0.25">
      <c r="B55" t="s">
        <v>688</v>
      </c>
    </row>
    <row r="56" spans="2:2" x14ac:dyDescent="0.25">
      <c r="B56" t="s">
        <v>689</v>
      </c>
    </row>
    <row r="57" spans="2:2" x14ac:dyDescent="0.25">
      <c r="B57" t="s">
        <v>690</v>
      </c>
    </row>
    <row r="58" spans="2:2" x14ac:dyDescent="0.25">
      <c r="B58" t="s">
        <v>691</v>
      </c>
    </row>
    <row r="59" spans="2:2" x14ac:dyDescent="0.25">
      <c r="B59" t="s">
        <v>692</v>
      </c>
    </row>
    <row r="60" spans="2:2" x14ac:dyDescent="0.25">
      <c r="B60" t="s">
        <v>693</v>
      </c>
    </row>
    <row r="61" spans="2:2" x14ac:dyDescent="0.25">
      <c r="B61" t="s">
        <v>694</v>
      </c>
    </row>
    <row r="62" spans="2:2" x14ac:dyDescent="0.25">
      <c r="B62" t="s">
        <v>695</v>
      </c>
    </row>
    <row r="63" spans="2:2" x14ac:dyDescent="0.25">
      <c r="B63" t="s">
        <v>696</v>
      </c>
    </row>
    <row r="64" spans="2:2" x14ac:dyDescent="0.25">
      <c r="B64" t="s">
        <v>697</v>
      </c>
    </row>
    <row r="65" spans="2:2" x14ac:dyDescent="0.25">
      <c r="B65" t="s">
        <v>698</v>
      </c>
    </row>
    <row r="66" spans="2:2" x14ac:dyDescent="0.25">
      <c r="B66" t="s">
        <v>699</v>
      </c>
    </row>
    <row r="67" spans="2:2" x14ac:dyDescent="0.25">
      <c r="B67" t="s">
        <v>700</v>
      </c>
    </row>
    <row r="68" spans="2:2" x14ac:dyDescent="0.25">
      <c r="B68" t="s">
        <v>701</v>
      </c>
    </row>
    <row r="69" spans="2:2" x14ac:dyDescent="0.25">
      <c r="B69" t="s">
        <v>702</v>
      </c>
    </row>
    <row r="70" spans="2:2" x14ac:dyDescent="0.25">
      <c r="B70" t="s">
        <v>703</v>
      </c>
    </row>
    <row r="71" spans="2:2" x14ac:dyDescent="0.25">
      <c r="B71" t="s">
        <v>704</v>
      </c>
    </row>
    <row r="72" spans="2:2" x14ac:dyDescent="0.25">
      <c r="B72" t="s">
        <v>705</v>
      </c>
    </row>
    <row r="73" spans="2:2" x14ac:dyDescent="0.25">
      <c r="B73" t="s">
        <v>706</v>
      </c>
    </row>
    <row r="74" spans="2:2" x14ac:dyDescent="0.25">
      <c r="B74" t="s">
        <v>707</v>
      </c>
    </row>
    <row r="75" spans="2:2" x14ac:dyDescent="0.25">
      <c r="B75" t="s">
        <v>708</v>
      </c>
    </row>
    <row r="76" spans="2:2" x14ac:dyDescent="0.25">
      <c r="B76" t="s">
        <v>709</v>
      </c>
    </row>
    <row r="77" spans="2:2" x14ac:dyDescent="0.25">
      <c r="B77" t="s">
        <v>710</v>
      </c>
    </row>
    <row r="78" spans="2:2" x14ac:dyDescent="0.25">
      <c r="B78" t="s">
        <v>711</v>
      </c>
    </row>
    <row r="79" spans="2:2" x14ac:dyDescent="0.25">
      <c r="B79" t="s">
        <v>712</v>
      </c>
    </row>
    <row r="80" spans="2:2" x14ac:dyDescent="0.25">
      <c r="B80" t="s">
        <v>791</v>
      </c>
    </row>
    <row r="81" spans="2:2" x14ac:dyDescent="0.25">
      <c r="B81" t="s">
        <v>792</v>
      </c>
    </row>
    <row r="82" spans="2:2" x14ac:dyDescent="0.25">
      <c r="B82" t="s">
        <v>793</v>
      </c>
    </row>
    <row r="83" spans="2:2" x14ac:dyDescent="0.25">
      <c r="B83" t="s">
        <v>794</v>
      </c>
    </row>
    <row r="84" spans="2:2" x14ac:dyDescent="0.25">
      <c r="B84" t="s">
        <v>795</v>
      </c>
    </row>
    <row r="85" spans="2:2" x14ac:dyDescent="0.25">
      <c r="B85" t="s">
        <v>713</v>
      </c>
    </row>
    <row r="86" spans="2:2" x14ac:dyDescent="0.25">
      <c r="B86" t="s">
        <v>796</v>
      </c>
    </row>
    <row r="87" spans="2:2" x14ac:dyDescent="0.25">
      <c r="B87" t="s">
        <v>797</v>
      </c>
    </row>
    <row r="88" spans="2:2" x14ac:dyDescent="0.25">
      <c r="B88" t="s">
        <v>798</v>
      </c>
    </row>
    <row r="89" spans="2:2" x14ac:dyDescent="0.25">
      <c r="B89" t="s">
        <v>799</v>
      </c>
    </row>
    <row r="90" spans="2:2" x14ac:dyDescent="0.25">
      <c r="B90" t="s">
        <v>714</v>
      </c>
    </row>
    <row r="91" spans="2:2" x14ac:dyDescent="0.25">
      <c r="B91" t="s">
        <v>800</v>
      </c>
    </row>
    <row r="92" spans="2:2" x14ac:dyDescent="0.25">
      <c r="B92" t="s">
        <v>801</v>
      </c>
    </row>
    <row r="93" spans="2:2" x14ac:dyDescent="0.25">
      <c r="B93" t="s">
        <v>802</v>
      </c>
    </row>
    <row r="94" spans="2:2" x14ac:dyDescent="0.25">
      <c r="B94" t="s">
        <v>803</v>
      </c>
    </row>
    <row r="95" spans="2:2" x14ac:dyDescent="0.25">
      <c r="B95" t="s">
        <v>715</v>
      </c>
    </row>
    <row r="96" spans="2:2" x14ac:dyDescent="0.25">
      <c r="B96" t="s">
        <v>804</v>
      </c>
    </row>
    <row r="97" spans="2:2" x14ac:dyDescent="0.25">
      <c r="B97" t="s">
        <v>716</v>
      </c>
    </row>
    <row r="98" spans="2:2" x14ac:dyDescent="0.25">
      <c r="B98" t="s">
        <v>805</v>
      </c>
    </row>
    <row r="99" spans="2:2" x14ac:dyDescent="0.25">
      <c r="B99" t="s">
        <v>806</v>
      </c>
    </row>
    <row r="100" spans="2:2" x14ac:dyDescent="0.25">
      <c r="B100" t="s">
        <v>807</v>
      </c>
    </row>
    <row r="101" spans="2:2" x14ac:dyDescent="0.25">
      <c r="B101" t="s">
        <v>808</v>
      </c>
    </row>
    <row r="102" spans="2:2" x14ac:dyDescent="0.25">
      <c r="B102" t="s">
        <v>809</v>
      </c>
    </row>
    <row r="103" spans="2:2" x14ac:dyDescent="0.25">
      <c r="B103" t="s">
        <v>810</v>
      </c>
    </row>
    <row r="104" spans="2:2" x14ac:dyDescent="0.25">
      <c r="B104" t="s">
        <v>811</v>
      </c>
    </row>
    <row r="105" spans="2:2" x14ac:dyDescent="0.25">
      <c r="B105" t="s">
        <v>812</v>
      </c>
    </row>
    <row r="106" spans="2:2" x14ac:dyDescent="0.25">
      <c r="B106" t="s">
        <v>717</v>
      </c>
    </row>
    <row r="107" spans="2:2" x14ac:dyDescent="0.25">
      <c r="B107" t="s">
        <v>718</v>
      </c>
    </row>
    <row r="108" spans="2:2" x14ac:dyDescent="0.25">
      <c r="B108" t="s">
        <v>719</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FS1'!$B$10:$B$10" display="Feature Selection" xr:uid="{9F60CE6B-296C-4746-A5BF-A2A21EB012B4}"/>
    <hyperlink ref="D4" location="'LinReg_Output'!$B$10:$B$10" display="Inputs" xr:uid="{7B9ED23F-B157-4D36-8DDB-631F5B169B0F}"/>
    <hyperlink ref="F4" location="'LinReg_Output'!$B$52:$B$52" display="Regression Summary" xr:uid="{5AE07D75-3606-4692-9A14-1B869EBF7C53}"/>
    <hyperlink ref="H4" location="'LinReg_Output'!$B$61:$B$61" display="Predictor Screening" xr:uid="{AACFA1EF-78CE-4A3C-8736-4BC3D11CCF9F}"/>
    <hyperlink ref="J4" location="'LinReg_Output'!$B$94:$B$94" display="Coefficients" xr:uid="{E7055BC1-F8E7-4290-A455-29B914FE14F9}"/>
    <hyperlink ref="B5" location="'LinReg_Stored1'!$B$10:$B$10" display="PMML Model" xr:uid="{37781E19-6D18-4E1C-AEB1-122DAF56987B}"/>
    <hyperlink ref="D5" location="'LinReg_TrainingScore1'!$B$10:$B$10" display="Training: Prediction Summary" xr:uid="{E01123E9-E9E3-4E46-B3CB-0B6EB5DA717E}"/>
    <hyperlink ref="F5" location="'LinReg_ValidationScore1'!$B$10:$B$10" display="Validation: Prediction Summary" xr:uid="{72728D68-379A-474C-9393-2788A0F02E24}"/>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D00E9-3C1E-4667-9789-C6F20D50772A}">
  <sheetPr codeName="Sheet26">
    <tabColor theme="4" tint="0.59999389629810485"/>
  </sheetPr>
  <dimension ref="B1:CV94"/>
  <sheetViews>
    <sheetView showGridLines="0" workbookViewId="0">
      <selection activeCell="N35" sqref="N35"/>
    </sheetView>
  </sheetViews>
  <sheetFormatPr defaultRowHeight="15" x14ac:dyDescent="0.25"/>
  <cols>
    <col min="3" max="3" width="11.28515625" customWidth="1"/>
    <col min="4" max="4" width="11.42578125" customWidth="1"/>
    <col min="5" max="5" width="27" customWidth="1"/>
    <col min="6" max="6" width="27.140625" customWidth="1"/>
    <col min="7" max="7" width="15.7109375" customWidth="1"/>
    <col min="8" max="8" width="11.85546875" customWidth="1"/>
    <col min="9" max="9" width="10.140625" customWidth="1"/>
    <col min="14" max="14" width="15.5703125" bestFit="1" customWidth="1"/>
  </cols>
  <sheetData>
    <row r="1" spans="2:100" ht="18.75" x14ac:dyDescent="0.3">
      <c r="B1" s="6" t="s">
        <v>734</v>
      </c>
      <c r="N1" t="s">
        <v>881</v>
      </c>
      <c r="CV1" s="12" t="s">
        <v>748</v>
      </c>
    </row>
    <row r="3" spans="2:100" ht="15.75" x14ac:dyDescent="0.25">
      <c r="B3" s="13" t="s">
        <v>147</v>
      </c>
      <c r="C3" s="14"/>
      <c r="D3" s="14"/>
      <c r="E3" s="14"/>
      <c r="F3" s="14"/>
      <c r="G3" s="14"/>
      <c r="H3" s="14"/>
      <c r="I3" s="14"/>
      <c r="J3" s="14"/>
      <c r="K3" s="15"/>
      <c r="N3" s="13" t="s">
        <v>148</v>
      </c>
      <c r="O3" s="14"/>
      <c r="P3" s="14"/>
      <c r="Q3" s="15"/>
    </row>
    <row r="4" spans="2:100" x14ac:dyDescent="0.25">
      <c r="B4" s="25" t="s">
        <v>153</v>
      </c>
      <c r="C4" s="21"/>
      <c r="D4" s="25" t="s">
        <v>720</v>
      </c>
      <c r="E4" s="21"/>
      <c r="F4" s="25" t="s">
        <v>721</v>
      </c>
      <c r="G4" s="21"/>
      <c r="H4" s="25" t="s">
        <v>722</v>
      </c>
      <c r="I4" s="21"/>
      <c r="J4" s="25" t="s">
        <v>645</v>
      </c>
      <c r="K4" s="21"/>
      <c r="N4" s="11" t="s">
        <v>149</v>
      </c>
      <c r="O4" s="11" t="s">
        <v>150</v>
      </c>
      <c r="P4" s="11" t="s">
        <v>151</v>
      </c>
      <c r="Q4" s="11" t="s">
        <v>152</v>
      </c>
    </row>
    <row r="5" spans="2:100" x14ac:dyDescent="0.25">
      <c r="B5" s="25" t="s">
        <v>723</v>
      </c>
      <c r="C5" s="21"/>
      <c r="D5" s="25" t="s">
        <v>830</v>
      </c>
      <c r="E5" s="21"/>
      <c r="F5" s="25" t="s">
        <v>724</v>
      </c>
      <c r="G5" s="21"/>
      <c r="H5" s="25" t="s">
        <v>831</v>
      </c>
      <c r="I5" s="21"/>
      <c r="J5" s="19"/>
      <c r="K5" s="21"/>
      <c r="N5" s="10">
        <v>14</v>
      </c>
      <c r="O5" s="10">
        <v>4</v>
      </c>
      <c r="P5" s="10">
        <v>15</v>
      </c>
      <c r="Q5" s="10">
        <v>33</v>
      </c>
    </row>
    <row r="10" spans="2:100" ht="18.75" x14ac:dyDescent="0.3">
      <c r="B10" s="7" t="s">
        <v>153</v>
      </c>
    </row>
    <row r="12" spans="2:100" ht="15.75" x14ac:dyDescent="0.25">
      <c r="C12" s="13" t="s">
        <v>154</v>
      </c>
      <c r="D12" s="14"/>
      <c r="E12" s="14"/>
      <c r="F12" s="14"/>
      <c r="G12" s="14"/>
      <c r="H12" s="14"/>
      <c r="I12" s="14"/>
      <c r="J12" s="14"/>
      <c r="K12" s="15"/>
    </row>
    <row r="13" spans="2:100" x14ac:dyDescent="0.25">
      <c r="C13" s="16" t="s">
        <v>155</v>
      </c>
      <c r="D13" s="17"/>
      <c r="E13" s="17"/>
      <c r="F13" s="18"/>
      <c r="G13" s="22" t="s">
        <v>878</v>
      </c>
      <c r="H13" s="23"/>
      <c r="I13" s="23"/>
      <c r="J13" s="23"/>
      <c r="K13" s="24"/>
    </row>
    <row r="14" spans="2:100" x14ac:dyDescent="0.25">
      <c r="C14" s="16" t="s">
        <v>157</v>
      </c>
      <c r="D14" s="17"/>
      <c r="E14" s="17"/>
      <c r="F14" s="18"/>
      <c r="G14" s="22" t="s">
        <v>819</v>
      </c>
      <c r="H14" s="23"/>
      <c r="I14" s="23"/>
      <c r="J14" s="23"/>
      <c r="K14" s="24"/>
    </row>
    <row r="15" spans="2:100" x14ac:dyDescent="0.25">
      <c r="C15" s="16" t="s">
        <v>735</v>
      </c>
      <c r="D15" s="17"/>
      <c r="E15" s="17"/>
      <c r="F15" s="18"/>
      <c r="G15" s="22" t="s">
        <v>820</v>
      </c>
      <c r="H15" s="23"/>
      <c r="I15" s="23"/>
      <c r="J15" s="23"/>
      <c r="K15" s="24"/>
    </row>
    <row r="16" spans="2:100" x14ac:dyDescent="0.25">
      <c r="C16" s="16" t="s">
        <v>736</v>
      </c>
      <c r="D16" s="17"/>
      <c r="E16" s="17"/>
      <c r="F16" s="18"/>
      <c r="G16" s="22">
        <v>373</v>
      </c>
      <c r="H16" s="23"/>
      <c r="I16" s="23"/>
      <c r="J16" s="23"/>
      <c r="K16" s="24"/>
    </row>
    <row r="17" spans="3:16" x14ac:dyDescent="0.25">
      <c r="C17" s="16" t="s">
        <v>737</v>
      </c>
      <c r="D17" s="17"/>
      <c r="E17" s="17"/>
      <c r="F17" s="18"/>
      <c r="G17" s="22" t="s">
        <v>821</v>
      </c>
      <c r="H17" s="23"/>
      <c r="I17" s="23"/>
      <c r="J17" s="23"/>
      <c r="K17" s="24"/>
    </row>
    <row r="18" spans="3:16" x14ac:dyDescent="0.25">
      <c r="C18" s="16" t="s">
        <v>738</v>
      </c>
      <c r="D18" s="17"/>
      <c r="E18" s="17"/>
      <c r="F18" s="18"/>
      <c r="G18" s="22">
        <v>93</v>
      </c>
      <c r="H18" s="23"/>
      <c r="I18" s="23"/>
      <c r="J18" s="23"/>
      <c r="K18" s="24"/>
    </row>
    <row r="20" spans="3:16" ht="15.75" x14ac:dyDescent="0.25">
      <c r="C20" s="13" t="s">
        <v>161</v>
      </c>
      <c r="D20" s="14"/>
      <c r="E20" s="14"/>
      <c r="F20" s="14"/>
      <c r="G20" s="14"/>
      <c r="H20" s="14"/>
      <c r="I20" s="14"/>
      <c r="J20" s="14"/>
      <c r="K20" s="14"/>
      <c r="L20" s="14"/>
      <c r="M20" s="14"/>
      <c r="N20" s="14"/>
      <c r="O20" s="14"/>
      <c r="P20" s="15"/>
    </row>
    <row r="21" spans="3:16" x14ac:dyDescent="0.25">
      <c r="C21" s="16" t="s">
        <v>739</v>
      </c>
      <c r="D21" s="18"/>
      <c r="E21" s="22">
        <v>12</v>
      </c>
      <c r="F21" s="23"/>
      <c r="G21" s="23"/>
      <c r="H21" s="23"/>
      <c r="I21" s="23"/>
      <c r="J21" s="23"/>
      <c r="K21" s="23"/>
      <c r="L21" s="23"/>
      <c r="M21" s="23"/>
      <c r="N21" s="23"/>
      <c r="O21" s="23"/>
      <c r="P21" s="24"/>
    </row>
    <row r="22" spans="3:16" x14ac:dyDescent="0.25">
      <c r="C22" s="16" t="s">
        <v>740</v>
      </c>
      <c r="D22" s="18"/>
      <c r="E22" s="10" t="s">
        <v>15</v>
      </c>
      <c r="F22" s="10" t="s">
        <v>137</v>
      </c>
      <c r="G22" s="10" t="s">
        <v>139</v>
      </c>
      <c r="H22" s="10" t="s">
        <v>129</v>
      </c>
      <c r="I22" s="10" t="s">
        <v>140</v>
      </c>
      <c r="J22" s="10" t="s">
        <v>141</v>
      </c>
      <c r="K22" s="10" t="s">
        <v>143</v>
      </c>
      <c r="L22" s="10" t="s">
        <v>131</v>
      </c>
      <c r="M22" s="10" t="s">
        <v>133</v>
      </c>
      <c r="N22" s="10" t="s">
        <v>134</v>
      </c>
      <c r="O22" s="10" t="s">
        <v>135</v>
      </c>
      <c r="P22" s="10" t="s">
        <v>136</v>
      </c>
    </row>
    <row r="23" spans="3:16" x14ac:dyDescent="0.25">
      <c r="C23" s="16" t="s">
        <v>741</v>
      </c>
      <c r="D23" s="18"/>
      <c r="E23" s="10"/>
      <c r="F23" s="10"/>
      <c r="G23" s="10"/>
      <c r="H23" s="10"/>
      <c r="I23" s="10"/>
      <c r="J23" s="10"/>
      <c r="K23" s="10"/>
      <c r="L23" s="10"/>
      <c r="M23" s="10"/>
      <c r="N23" s="10"/>
      <c r="O23" s="10"/>
      <c r="P23" s="10"/>
    </row>
    <row r="24" spans="3:16" x14ac:dyDescent="0.25">
      <c r="C24" s="16" t="s">
        <v>742</v>
      </c>
      <c r="D24" s="18"/>
      <c r="E24" s="19" t="s">
        <v>4</v>
      </c>
      <c r="F24" s="20"/>
      <c r="G24" s="20"/>
      <c r="H24" s="20"/>
      <c r="I24" s="20"/>
      <c r="J24" s="20"/>
      <c r="K24" s="20"/>
      <c r="L24" s="20"/>
      <c r="M24" s="20"/>
      <c r="N24" s="20"/>
      <c r="O24" s="20"/>
      <c r="P24" s="21"/>
    </row>
    <row r="26" spans="3:16" ht="15.75" x14ac:dyDescent="0.25">
      <c r="C26" s="13" t="s">
        <v>743</v>
      </c>
      <c r="D26" s="14"/>
      <c r="E26" s="14"/>
      <c r="F26" s="14"/>
      <c r="G26" s="14"/>
      <c r="H26" s="14"/>
      <c r="I26" s="15"/>
    </row>
    <row r="27" spans="3:16" x14ac:dyDescent="0.25">
      <c r="C27" s="16" t="s">
        <v>744</v>
      </c>
      <c r="D27" s="17"/>
      <c r="E27" s="18"/>
      <c r="F27" s="22" t="b">
        <v>0</v>
      </c>
      <c r="G27" s="23"/>
      <c r="H27" s="23"/>
      <c r="I27" s="24"/>
    </row>
    <row r="29" spans="3:16" ht="15.75" x14ac:dyDescent="0.25">
      <c r="C29" s="13" t="s">
        <v>745</v>
      </c>
      <c r="D29" s="14"/>
      <c r="E29" s="14"/>
      <c r="F29" s="14"/>
      <c r="G29" s="14"/>
      <c r="H29" s="14"/>
      <c r="I29" s="15"/>
    </row>
    <row r="30" spans="3:16" x14ac:dyDescent="0.25">
      <c r="C30" s="16" t="s">
        <v>746</v>
      </c>
      <c r="D30" s="17"/>
      <c r="E30" s="18"/>
      <c r="F30" s="22" t="b">
        <v>1</v>
      </c>
      <c r="G30" s="23"/>
      <c r="H30" s="23"/>
      <c r="I30" s="24"/>
    </row>
    <row r="32" spans="3:16" ht="15.75" x14ac:dyDescent="0.25">
      <c r="C32" s="13" t="s">
        <v>747</v>
      </c>
      <c r="D32" s="14"/>
      <c r="E32" s="14"/>
      <c r="F32" s="14"/>
      <c r="G32" s="14"/>
      <c r="H32" s="14"/>
      <c r="I32" s="15"/>
    </row>
    <row r="33" spans="3:9" x14ac:dyDescent="0.25">
      <c r="C33" s="16" t="s">
        <v>749</v>
      </c>
      <c r="D33" s="17"/>
      <c r="E33" s="18"/>
      <c r="F33" s="22" t="b">
        <v>0</v>
      </c>
      <c r="G33" s="23"/>
      <c r="H33" s="23"/>
      <c r="I33" s="24"/>
    </row>
    <row r="34" spans="3:9" x14ac:dyDescent="0.25">
      <c r="C34" s="16" t="s">
        <v>750</v>
      </c>
      <c r="D34" s="17"/>
      <c r="E34" s="18"/>
      <c r="F34" s="22" t="b">
        <v>0</v>
      </c>
      <c r="G34" s="23"/>
      <c r="H34" s="23"/>
      <c r="I34" s="24"/>
    </row>
    <row r="35" spans="3:9" x14ac:dyDescent="0.25">
      <c r="C35" s="16" t="s">
        <v>751</v>
      </c>
      <c r="D35" s="17"/>
      <c r="E35" s="18"/>
      <c r="F35" s="22" t="b">
        <v>1</v>
      </c>
      <c r="G35" s="23"/>
      <c r="H35" s="23"/>
      <c r="I35" s="24"/>
    </row>
    <row r="37" spans="3:9" ht="15.75" x14ac:dyDescent="0.25">
      <c r="C37" s="13" t="s">
        <v>752</v>
      </c>
      <c r="D37" s="14"/>
      <c r="E37" s="14"/>
      <c r="F37" s="14"/>
      <c r="G37" s="14"/>
      <c r="H37" s="14"/>
      <c r="I37" s="15"/>
    </row>
    <row r="38" spans="3:9" x14ac:dyDescent="0.25">
      <c r="C38" s="16" t="s">
        <v>753</v>
      </c>
      <c r="D38" s="17"/>
      <c r="E38" s="18"/>
      <c r="F38" s="22" t="b">
        <v>0</v>
      </c>
      <c r="G38" s="23"/>
      <c r="H38" s="23"/>
      <c r="I38" s="24"/>
    </row>
    <row r="39" spans="3:9" x14ac:dyDescent="0.25">
      <c r="C39" s="16" t="s">
        <v>754</v>
      </c>
      <c r="D39" s="17"/>
      <c r="E39" s="18"/>
      <c r="F39" s="22" t="b">
        <v>0</v>
      </c>
      <c r="G39" s="23"/>
      <c r="H39" s="23"/>
      <c r="I39" s="24"/>
    </row>
    <row r="40" spans="3:9" x14ac:dyDescent="0.25">
      <c r="C40" s="16" t="s">
        <v>755</v>
      </c>
      <c r="D40" s="17"/>
      <c r="E40" s="18"/>
      <c r="F40" s="22" t="b">
        <v>0</v>
      </c>
      <c r="G40" s="23"/>
      <c r="H40" s="23"/>
      <c r="I40" s="24"/>
    </row>
    <row r="41" spans="3:9" x14ac:dyDescent="0.25">
      <c r="C41" s="16" t="s">
        <v>756</v>
      </c>
      <c r="D41" s="17"/>
      <c r="E41" s="18"/>
      <c r="F41" s="22" t="b">
        <v>0</v>
      </c>
      <c r="G41" s="23"/>
      <c r="H41" s="23"/>
      <c r="I41" s="24"/>
    </row>
    <row r="43" spans="3:9" ht="15.75" x14ac:dyDescent="0.25">
      <c r="C43" s="13" t="s">
        <v>757</v>
      </c>
      <c r="D43" s="14"/>
      <c r="E43" s="14"/>
      <c r="F43" s="14"/>
      <c r="G43" s="15"/>
    </row>
    <row r="44" spans="3:9" x14ac:dyDescent="0.25">
      <c r="C44" s="19" t="s">
        <v>758</v>
      </c>
      <c r="D44" s="20"/>
      <c r="E44" s="20"/>
      <c r="F44" s="20"/>
      <c r="G44" s="21"/>
    </row>
    <row r="45" spans="3:9" x14ac:dyDescent="0.25">
      <c r="C45" s="19" t="s">
        <v>834</v>
      </c>
      <c r="D45" s="20"/>
      <c r="E45" s="20"/>
      <c r="F45" s="20"/>
      <c r="G45" s="21"/>
    </row>
    <row r="46" spans="3:9" x14ac:dyDescent="0.25">
      <c r="C46" s="19" t="s">
        <v>759</v>
      </c>
      <c r="D46" s="20"/>
      <c r="E46" s="20"/>
      <c r="F46" s="20"/>
      <c r="G46" s="21"/>
    </row>
    <row r="47" spans="3:9" x14ac:dyDescent="0.25">
      <c r="C47" s="19" t="s">
        <v>835</v>
      </c>
      <c r="D47" s="20"/>
      <c r="E47" s="20"/>
      <c r="F47" s="20"/>
      <c r="G47" s="21"/>
    </row>
    <row r="50" spans="2:5" ht="18.75" x14ac:dyDescent="0.3">
      <c r="B50" s="7" t="s">
        <v>720</v>
      </c>
    </row>
    <row r="52" spans="2:5" x14ac:dyDescent="0.25">
      <c r="C52" s="9" t="s">
        <v>726</v>
      </c>
      <c r="D52" s="5" t="s">
        <v>727</v>
      </c>
    </row>
    <row r="53" spans="2:5" x14ac:dyDescent="0.25">
      <c r="C53" s="9" t="s">
        <v>760</v>
      </c>
      <c r="D53" s="8">
        <v>360</v>
      </c>
    </row>
    <row r="54" spans="2:5" x14ac:dyDescent="0.25">
      <c r="C54" s="9" t="s">
        <v>732</v>
      </c>
      <c r="D54" s="8">
        <v>0.11645018678482577</v>
      </c>
    </row>
    <row r="55" spans="2:5" x14ac:dyDescent="0.25">
      <c r="C55" s="9" t="s">
        <v>761</v>
      </c>
      <c r="D55" s="8">
        <v>8.6998526344319926E-2</v>
      </c>
    </row>
    <row r="56" spans="2:5" x14ac:dyDescent="0.25">
      <c r="C56" s="9" t="s">
        <v>762</v>
      </c>
      <c r="D56" s="8">
        <v>0.97751418800459355</v>
      </c>
    </row>
    <row r="57" spans="2:5" x14ac:dyDescent="0.25">
      <c r="C57" s="9" t="s">
        <v>763</v>
      </c>
      <c r="D57" s="8">
        <v>343.99223559010079</v>
      </c>
    </row>
    <row r="59" spans="2:5" ht="18.75" x14ac:dyDescent="0.3">
      <c r="B59" s="7" t="s">
        <v>721</v>
      </c>
    </row>
    <row r="61" spans="2:5" x14ac:dyDescent="0.25">
      <c r="C61" s="9" t="s">
        <v>764</v>
      </c>
      <c r="D61" s="5" t="s">
        <v>765</v>
      </c>
      <c r="E61" s="5" t="s">
        <v>766</v>
      </c>
    </row>
    <row r="62" spans="2:5" x14ac:dyDescent="0.25">
      <c r="C62" s="9" t="s">
        <v>767</v>
      </c>
      <c r="D62" s="8">
        <v>4.6314213592857545</v>
      </c>
      <c r="E62" s="8" t="b">
        <v>1</v>
      </c>
    </row>
    <row r="63" spans="2:5" x14ac:dyDescent="0.25">
      <c r="C63" s="9" t="s">
        <v>15</v>
      </c>
      <c r="D63" s="8">
        <v>50459.451968882895</v>
      </c>
      <c r="E63" s="8" t="b">
        <v>1</v>
      </c>
    </row>
    <row r="64" spans="2:5" x14ac:dyDescent="0.25">
      <c r="C64" s="9" t="s">
        <v>137</v>
      </c>
      <c r="D64" s="8">
        <v>8.1109929585072695</v>
      </c>
      <c r="E64" s="8" t="b">
        <v>1</v>
      </c>
    </row>
    <row r="65" spans="2:5" x14ac:dyDescent="0.25">
      <c r="C65" s="9" t="s">
        <v>139</v>
      </c>
      <c r="D65" s="8">
        <v>10.114515726221262</v>
      </c>
      <c r="E65" s="8" t="b">
        <v>1</v>
      </c>
    </row>
    <row r="66" spans="2:5" x14ac:dyDescent="0.25">
      <c r="C66" s="9" t="s">
        <v>129</v>
      </c>
      <c r="D66" s="8">
        <v>7.7784363660060603</v>
      </c>
      <c r="E66" s="8" t="b">
        <v>1</v>
      </c>
    </row>
    <row r="67" spans="2:5" x14ac:dyDescent="0.25">
      <c r="C67" s="9" t="s">
        <v>140</v>
      </c>
      <c r="D67" s="8">
        <v>10.3159518212866</v>
      </c>
      <c r="E67" s="8" t="b">
        <v>1</v>
      </c>
    </row>
    <row r="68" spans="2:5" x14ac:dyDescent="0.25">
      <c r="C68" s="9" t="s">
        <v>141</v>
      </c>
      <c r="D68" s="8">
        <v>8.866858101628166</v>
      </c>
      <c r="E68" s="8" t="b">
        <v>1</v>
      </c>
    </row>
    <row r="69" spans="2:5" x14ac:dyDescent="0.25">
      <c r="C69" s="9" t="s">
        <v>143</v>
      </c>
      <c r="D69" s="8">
        <v>7.5152054560131276</v>
      </c>
      <c r="E69" s="8" t="b">
        <v>1</v>
      </c>
    </row>
    <row r="70" spans="2:5" x14ac:dyDescent="0.25">
      <c r="C70" s="9" t="s">
        <v>131</v>
      </c>
      <c r="D70" s="8">
        <v>5.8424872909175054</v>
      </c>
      <c r="E70" s="8" t="b">
        <v>1</v>
      </c>
    </row>
    <row r="71" spans="2:5" x14ac:dyDescent="0.25">
      <c r="C71" s="9" t="s">
        <v>133</v>
      </c>
      <c r="D71" s="8">
        <v>6.6494972234727845</v>
      </c>
      <c r="E71" s="8" t="b">
        <v>1</v>
      </c>
    </row>
    <row r="72" spans="2:5" x14ac:dyDescent="0.25">
      <c r="C72" s="9" t="s">
        <v>134</v>
      </c>
      <c r="D72" s="8">
        <v>6.0458577652465664</v>
      </c>
      <c r="E72" s="8" t="b">
        <v>1</v>
      </c>
    </row>
    <row r="73" spans="2:5" x14ac:dyDescent="0.25">
      <c r="C73" s="9" t="s">
        <v>135</v>
      </c>
      <c r="D73" s="8">
        <v>6.9587938984020878</v>
      </c>
      <c r="E73" s="8" t="b">
        <v>1</v>
      </c>
    </row>
    <row r="74" spans="2:5" x14ac:dyDescent="0.25">
      <c r="C74" s="9" t="s">
        <v>136</v>
      </c>
      <c r="D74" s="8">
        <v>7.4340957118410174</v>
      </c>
      <c r="E74" s="8" t="b">
        <v>1</v>
      </c>
    </row>
    <row r="77" spans="2:5" x14ac:dyDescent="0.25">
      <c r="C77" s="9" t="s">
        <v>768</v>
      </c>
      <c r="D77" s="8">
        <v>4.1790982347586923E-9</v>
      </c>
    </row>
    <row r="79" spans="2:5" ht="18.75" x14ac:dyDescent="0.3">
      <c r="B79" s="7" t="s">
        <v>722</v>
      </c>
    </row>
    <row r="81" spans="3:9" x14ac:dyDescent="0.25">
      <c r="C81" s="9" t="s">
        <v>764</v>
      </c>
      <c r="D81" s="5" t="s">
        <v>769</v>
      </c>
      <c r="E81" s="5" t="s">
        <v>836</v>
      </c>
      <c r="F81" s="5" t="s">
        <v>837</v>
      </c>
      <c r="G81" s="5" t="s">
        <v>838</v>
      </c>
      <c r="H81" s="5" t="s">
        <v>839</v>
      </c>
      <c r="I81" s="5" t="s">
        <v>840</v>
      </c>
    </row>
    <row r="82" spans="3:9" x14ac:dyDescent="0.25">
      <c r="C82" s="9" t="s">
        <v>767</v>
      </c>
      <c r="D82" s="8">
        <v>4.8806288852674742</v>
      </c>
      <c r="E82" s="8">
        <v>4.4655607528177645</v>
      </c>
      <c r="F82" s="8">
        <v>5.2956970177171838</v>
      </c>
      <c r="G82" s="8">
        <v>0.21106138098290914</v>
      </c>
      <c r="H82" s="8">
        <v>23.124215631199185</v>
      </c>
      <c r="I82" s="8">
        <v>3.6678302793805553E-73</v>
      </c>
    </row>
    <row r="83" spans="3:9" x14ac:dyDescent="0.25">
      <c r="C83" s="9" t="s">
        <v>15</v>
      </c>
      <c r="D83" s="8">
        <v>-1.5882959598002096E-4</v>
      </c>
      <c r="E83" s="8">
        <v>-2.4862790896549978E-4</v>
      </c>
      <c r="F83" s="8">
        <v>-6.9031282994542117E-5</v>
      </c>
      <c r="G83" s="8">
        <v>4.5662276785238437E-5</v>
      </c>
      <c r="H83" s="8">
        <v>-3.4783547199592753</v>
      </c>
      <c r="I83" s="8">
        <v>5.6630005983825571E-4</v>
      </c>
    </row>
    <row r="84" spans="3:9" x14ac:dyDescent="0.25">
      <c r="C84" s="9" t="s">
        <v>137</v>
      </c>
      <c r="D84" s="8">
        <v>0.14975932407660736</v>
      </c>
      <c r="E84" s="8">
        <v>-0.12483194955133609</v>
      </c>
      <c r="F84" s="8">
        <v>0.4243505977045508</v>
      </c>
      <c r="G84" s="8">
        <v>0.13962915696687836</v>
      </c>
      <c r="H84" s="8">
        <v>1.0725505140171547</v>
      </c>
      <c r="I84" s="8">
        <v>0.28419128438092567</v>
      </c>
    </row>
    <row r="85" spans="3:9" x14ac:dyDescent="0.25">
      <c r="C85" s="9" t="s">
        <v>139</v>
      </c>
      <c r="D85" s="8">
        <v>0.35321475070652464</v>
      </c>
      <c r="E85" s="8">
        <v>8.5926410486275528E-2</v>
      </c>
      <c r="F85" s="8">
        <v>0.62050309092677369</v>
      </c>
      <c r="G85" s="8">
        <v>0.13591562877776608</v>
      </c>
      <c r="H85" s="8">
        <v>2.5987795066898567</v>
      </c>
      <c r="I85" s="8">
        <v>9.7401445731729701E-3</v>
      </c>
    </row>
    <row r="86" spans="3:9" x14ac:dyDescent="0.25">
      <c r="C86" s="9" t="s">
        <v>129</v>
      </c>
      <c r="D86" s="8">
        <v>0.21700882403650887</v>
      </c>
      <c r="E86" s="8">
        <v>-3.6984237623983202E-2</v>
      </c>
      <c r="F86" s="8">
        <v>0.47100188569700097</v>
      </c>
      <c r="G86" s="8">
        <v>0.12915500411401939</v>
      </c>
      <c r="H86" s="8">
        <v>1.6802200234141234</v>
      </c>
      <c r="I86" s="8">
        <v>9.3781984434670243E-2</v>
      </c>
    </row>
    <row r="87" spans="3:9" x14ac:dyDescent="0.25">
      <c r="C87" s="9" t="s">
        <v>140</v>
      </c>
      <c r="D87" s="8">
        <v>-0.55188642315302094</v>
      </c>
      <c r="E87" s="8">
        <v>-0.81110677682879651</v>
      </c>
      <c r="F87" s="8">
        <v>-0.29266606947724533</v>
      </c>
      <c r="G87" s="8">
        <v>0.13181307247748345</v>
      </c>
      <c r="H87" s="8">
        <v>-4.186886875330937</v>
      </c>
      <c r="I87" s="8">
        <v>3.5594752979681169E-5</v>
      </c>
    </row>
    <row r="88" spans="3:9" x14ac:dyDescent="0.25">
      <c r="C88" s="9" t="s">
        <v>141</v>
      </c>
      <c r="D88" s="8">
        <v>-0.60938195072719248</v>
      </c>
      <c r="E88" s="8">
        <v>-0.87810167312446663</v>
      </c>
      <c r="F88" s="8">
        <v>-0.34066222832991838</v>
      </c>
      <c r="G88" s="8">
        <v>0.13664348397882473</v>
      </c>
      <c r="H88" s="8">
        <v>-4.4596488100495648</v>
      </c>
      <c r="I88" s="8">
        <v>1.0986286354887361E-5</v>
      </c>
    </row>
    <row r="89" spans="3:9" x14ac:dyDescent="0.25">
      <c r="C89" s="9" t="s">
        <v>143</v>
      </c>
      <c r="D89" s="8">
        <v>-0.2271511391300417</v>
      </c>
      <c r="E89" s="8">
        <v>-0.48596676191972277</v>
      </c>
      <c r="F89" s="8">
        <v>3.1664483659639364E-2</v>
      </c>
      <c r="G89" s="8">
        <v>0.13160726756723562</v>
      </c>
      <c r="H89" s="8">
        <v>-1.7259771692622867</v>
      </c>
      <c r="I89" s="8">
        <v>8.5209534007063811E-2</v>
      </c>
    </row>
    <row r="90" spans="3:9" x14ac:dyDescent="0.25">
      <c r="C90" s="9" t="s">
        <v>131</v>
      </c>
      <c r="D90" s="8">
        <v>-0.35575552681134021</v>
      </c>
      <c r="E90" s="8">
        <v>-0.70698508637646584</v>
      </c>
      <c r="F90" s="8">
        <v>-4.5259672462145684E-3</v>
      </c>
      <c r="G90" s="8">
        <v>0.17859958423287561</v>
      </c>
      <c r="H90" s="8">
        <v>-1.9919168812144117</v>
      </c>
      <c r="I90" s="8">
        <v>4.7135216398277974E-2</v>
      </c>
    </row>
    <row r="91" spans="3:9" x14ac:dyDescent="0.25">
      <c r="C91" s="9" t="s">
        <v>133</v>
      </c>
      <c r="D91" s="8">
        <v>-0.3158301530234971</v>
      </c>
      <c r="E91" s="8">
        <v>-0.64943268946612154</v>
      </c>
      <c r="F91" s="8">
        <v>1.7772383419127402E-2</v>
      </c>
      <c r="G91" s="8">
        <v>0.16963627543608784</v>
      </c>
      <c r="H91" s="8">
        <v>-1.8618078722347877</v>
      </c>
      <c r="I91" s="8">
        <v>6.3444855644559942E-2</v>
      </c>
    </row>
    <row r="92" spans="3:9" x14ac:dyDescent="0.25">
      <c r="C92" s="9" t="s">
        <v>134</v>
      </c>
      <c r="D92" s="8">
        <v>-0.25455123485997944</v>
      </c>
      <c r="E92" s="8">
        <v>-0.60363160236313895</v>
      </c>
      <c r="F92" s="8">
        <v>9.452913264318008E-2</v>
      </c>
      <c r="G92" s="8">
        <v>0.17750672402720558</v>
      </c>
      <c r="H92" s="8">
        <v>-1.4340371400294989</v>
      </c>
      <c r="I92" s="8">
        <v>0.15242967543366212</v>
      </c>
    </row>
    <row r="93" spans="3:9" x14ac:dyDescent="0.25">
      <c r="C93" s="9" t="s">
        <v>135</v>
      </c>
      <c r="D93" s="8">
        <v>-0.45576782505426644</v>
      </c>
      <c r="E93" s="8">
        <v>-0.77863345645203608</v>
      </c>
      <c r="F93" s="8">
        <v>-0.13290219365649686</v>
      </c>
      <c r="G93" s="8">
        <v>0.16417657899330199</v>
      </c>
      <c r="H93" s="8">
        <v>-2.7760830920521293</v>
      </c>
      <c r="I93" s="8">
        <v>5.7893037875817403E-3</v>
      </c>
    </row>
    <row r="94" spans="3:9" x14ac:dyDescent="0.25">
      <c r="C94" s="9" t="s">
        <v>136</v>
      </c>
      <c r="D94" s="8">
        <v>-0.4263091077894629</v>
      </c>
      <c r="E94" s="8">
        <v>-0.7373720120085141</v>
      </c>
      <c r="F94" s="8">
        <v>-0.11524620357041176</v>
      </c>
      <c r="G94" s="8">
        <v>0.15817491395820887</v>
      </c>
      <c r="H94" s="8">
        <v>-2.6951752153448134</v>
      </c>
      <c r="I94" s="8">
        <v>7.3651272386340569E-3</v>
      </c>
    </row>
  </sheetData>
  <mergeCells count="59">
    <mergeCell ref="B3:K3"/>
    <mergeCell ref="N3:Q3"/>
    <mergeCell ref="H4:I4"/>
    <mergeCell ref="J4:K4"/>
    <mergeCell ref="B5:C5"/>
    <mergeCell ref="D5:E5"/>
    <mergeCell ref="F5:G5"/>
    <mergeCell ref="H5:I5"/>
    <mergeCell ref="J5:K5"/>
    <mergeCell ref="C43:G43"/>
    <mergeCell ref="C44:G44"/>
    <mergeCell ref="C45:G45"/>
    <mergeCell ref="C46:G46"/>
    <mergeCell ref="C47:G47"/>
    <mergeCell ref="B4:C4"/>
    <mergeCell ref="D4:E4"/>
    <mergeCell ref="F4:G4"/>
    <mergeCell ref="C37:I37"/>
    <mergeCell ref="C38:E38"/>
    <mergeCell ref="C39:E39"/>
    <mergeCell ref="C40:E40"/>
    <mergeCell ref="C41:E41"/>
    <mergeCell ref="F38:I38"/>
    <mergeCell ref="F39:I39"/>
    <mergeCell ref="F40:I40"/>
    <mergeCell ref="F41:I41"/>
    <mergeCell ref="C32:I32"/>
    <mergeCell ref="C33:E33"/>
    <mergeCell ref="C34:E34"/>
    <mergeCell ref="C35:E35"/>
    <mergeCell ref="F33:I33"/>
    <mergeCell ref="F34:I34"/>
    <mergeCell ref="F35:I35"/>
    <mergeCell ref="C26:I26"/>
    <mergeCell ref="C27:E27"/>
    <mergeCell ref="F27:I27"/>
    <mergeCell ref="C29:I29"/>
    <mergeCell ref="C30:E30"/>
    <mergeCell ref="F30:I30"/>
    <mergeCell ref="C20:P20"/>
    <mergeCell ref="C21:D21"/>
    <mergeCell ref="C22:D22"/>
    <mergeCell ref="C23:D23"/>
    <mergeCell ref="C24:D24"/>
    <mergeCell ref="E21:P21"/>
    <mergeCell ref="E24:P24"/>
    <mergeCell ref="C18:F18"/>
    <mergeCell ref="G13:K13"/>
    <mergeCell ref="G14:K14"/>
    <mergeCell ref="G15:K15"/>
    <mergeCell ref="G16:K16"/>
    <mergeCell ref="G17:K17"/>
    <mergeCell ref="G18:K18"/>
    <mergeCell ref="C12:K12"/>
    <mergeCell ref="C13:F13"/>
    <mergeCell ref="C14:F14"/>
    <mergeCell ref="C15:F15"/>
    <mergeCell ref="C16:F16"/>
    <mergeCell ref="C17:F17"/>
  </mergeCells>
  <hyperlinks>
    <hyperlink ref="B4" location="'LinReg_Output'!$B$10:$B$10" display="Inputs" xr:uid="{381373B0-0B5C-4A01-BBDC-224248AD8161}"/>
    <hyperlink ref="D4" location="'LinReg_Output'!$B$50:$B$50" display="Regression Summary" xr:uid="{0C59EB7D-47FA-4738-90C3-0B64F5FDD9F8}"/>
    <hyperlink ref="F4" location="'LinReg_Output'!$B$59:$B$59" display="Predictor Screening" xr:uid="{D6B940B4-DAEC-4BA7-9E08-FBD2943E959D}"/>
    <hyperlink ref="H4" location="'LinReg_Output'!$B$79:$B$79" display="Coefficients" xr:uid="{4989FD63-9175-40F8-8BC6-D3875E9EB765}"/>
    <hyperlink ref="J4" location="'LinReg_Stored1'!$B$10:$B$10" display="PMML Model" xr:uid="{2FBD34F8-8E9A-45C6-9539-7E0121A7DC50}"/>
    <hyperlink ref="B5" location="'LinReg_TrainingScore1'!$B$10:$B$10" display="Training: Prediction Summary" xr:uid="{E6024EAE-08C4-4493-9075-45C1D8C909ED}"/>
    <hyperlink ref="D5" location="'LinReg_TrainingScore1'!$B$19:$B$19" display="Training: Prediction Details" xr:uid="{7B7DF04F-5622-4CFE-B5ED-82728197B033}"/>
    <hyperlink ref="F5" location="'LinReg_ValidationScore1'!$B$10:$B$10" display="Validation: Prediction Summary" xr:uid="{B5E69F07-1622-42CC-80CF-E232504C8D55}"/>
    <hyperlink ref="H5" location="'LinReg_ValidationScore1'!$B$19:$B$19" display="Validation: Prediction Details" xr:uid="{5370FE89-2AA9-4781-A1BB-D9D94BA9D4B8}"/>
  </hyperlinks>
  <pageMargins left="0.7" right="0.7" top="0.75" bottom="0.75" header="0.3" footer="0.3"/>
  <tableParts count="4">
    <tablePart r:id="rId1"/>
    <tablePart r:id="rId2"/>
    <tablePart r:id="rId3"/>
    <tablePart r:id="rId4"/>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63672-FD18-415D-AC05-A7C8EB12C09E}">
  <sheetPr codeName="Sheet27">
    <tabColor theme="4" tint="0.59999389629810485"/>
  </sheetPr>
  <dimension ref="B1:Q394"/>
  <sheetViews>
    <sheetView showGridLines="0" workbookViewId="0">
      <selection activeCell="N35" sqref="N35"/>
    </sheetView>
  </sheetViews>
  <sheetFormatPr defaultRowHeight="15" x14ac:dyDescent="0.25"/>
  <cols>
    <col min="3" max="3" width="11.5703125" customWidth="1"/>
    <col min="5" max="5" width="51.5703125" customWidth="1"/>
    <col min="6" max="6" width="10.7109375" customWidth="1"/>
    <col min="14" max="14" width="15.5703125" bestFit="1" customWidth="1"/>
  </cols>
  <sheetData>
    <row r="1" spans="2:17" ht="18.75" x14ac:dyDescent="0.3">
      <c r="B1" s="6" t="s">
        <v>733</v>
      </c>
      <c r="N1" t="s">
        <v>881</v>
      </c>
    </row>
    <row r="3" spans="2:17" ht="15.75" x14ac:dyDescent="0.25">
      <c r="B3" s="13" t="s">
        <v>147</v>
      </c>
      <c r="C3" s="14"/>
      <c r="D3" s="14"/>
      <c r="E3" s="14"/>
      <c r="F3" s="14"/>
      <c r="G3" s="14"/>
      <c r="H3" s="14"/>
      <c r="I3" s="14"/>
      <c r="J3" s="14"/>
      <c r="K3" s="15"/>
      <c r="N3" s="13" t="s">
        <v>148</v>
      </c>
      <c r="O3" s="14"/>
      <c r="P3" s="14"/>
      <c r="Q3" s="15"/>
    </row>
    <row r="4" spans="2:17" x14ac:dyDescent="0.25">
      <c r="B4" s="25" t="s">
        <v>153</v>
      </c>
      <c r="C4" s="21"/>
      <c r="D4" s="25" t="s">
        <v>720</v>
      </c>
      <c r="E4" s="21"/>
      <c r="F4" s="25" t="s">
        <v>721</v>
      </c>
      <c r="G4" s="21"/>
      <c r="H4" s="25" t="s">
        <v>722</v>
      </c>
      <c r="I4" s="21"/>
      <c r="J4" s="25" t="s">
        <v>645</v>
      </c>
      <c r="K4" s="21"/>
      <c r="N4" s="11" t="s">
        <v>149</v>
      </c>
      <c r="O4" s="11" t="s">
        <v>150</v>
      </c>
      <c r="P4" s="11" t="s">
        <v>151</v>
      </c>
      <c r="Q4" s="11" t="s">
        <v>152</v>
      </c>
    </row>
    <row r="5" spans="2:17" x14ac:dyDescent="0.25">
      <c r="B5" s="25" t="s">
        <v>723</v>
      </c>
      <c r="C5" s="21"/>
      <c r="D5" s="25" t="s">
        <v>830</v>
      </c>
      <c r="E5" s="21"/>
      <c r="F5" s="25" t="s">
        <v>724</v>
      </c>
      <c r="G5" s="21"/>
      <c r="H5" s="25" t="s">
        <v>831</v>
      </c>
      <c r="I5" s="21"/>
      <c r="J5" s="19"/>
      <c r="K5" s="21"/>
      <c r="N5" s="10">
        <v>14</v>
      </c>
      <c r="O5" s="10">
        <v>4</v>
      </c>
      <c r="P5" s="10">
        <v>15</v>
      </c>
      <c r="Q5" s="10">
        <v>33</v>
      </c>
    </row>
    <row r="10" spans="2:17" ht="18.75" x14ac:dyDescent="0.3">
      <c r="B10" s="7" t="s">
        <v>723</v>
      </c>
    </row>
    <row r="12" spans="2:17" x14ac:dyDescent="0.25">
      <c r="C12" t="s">
        <v>726</v>
      </c>
      <c r="D12" t="s">
        <v>727</v>
      </c>
    </row>
    <row r="13" spans="2:17" x14ac:dyDescent="0.25">
      <c r="C13" t="s">
        <v>728</v>
      </c>
      <c r="D13">
        <v>343.99223559009999</v>
      </c>
    </row>
    <row r="14" spans="2:17" x14ac:dyDescent="0.25">
      <c r="C14" t="s">
        <v>729</v>
      </c>
      <c r="D14">
        <v>0.92223119461152814</v>
      </c>
    </row>
    <row r="15" spans="2:17" ht="45" x14ac:dyDescent="0.25">
      <c r="C15" t="s">
        <v>730</v>
      </c>
      <c r="D15">
        <v>0.96032869092385664</v>
      </c>
      <c r="E15" s="34" t="s">
        <v>897</v>
      </c>
    </row>
    <row r="16" spans="2:17" x14ac:dyDescent="0.25">
      <c r="C16" t="s">
        <v>731</v>
      </c>
      <c r="D16">
        <v>0.74895293227790982</v>
      </c>
    </row>
    <row r="17" spans="2:6" x14ac:dyDescent="0.25">
      <c r="C17" t="s">
        <v>732</v>
      </c>
      <c r="D17">
        <v>0.11645018678482688</v>
      </c>
    </row>
    <row r="19" spans="2:6" ht="18.75" x14ac:dyDescent="0.3">
      <c r="B19" s="7" t="s">
        <v>830</v>
      </c>
    </row>
    <row r="21" spans="2:6" x14ac:dyDescent="0.25">
      <c r="C21" s="9" t="s">
        <v>176</v>
      </c>
      <c r="D21" s="5" t="s">
        <v>4</v>
      </c>
      <c r="E21" s="5" t="s">
        <v>832</v>
      </c>
      <c r="F21" s="5" t="s">
        <v>833</v>
      </c>
    </row>
    <row r="22" spans="2:6" x14ac:dyDescent="0.25">
      <c r="C22" s="9" t="s">
        <v>177</v>
      </c>
      <c r="D22" s="8">
        <v>3</v>
      </c>
      <c r="E22" s="8">
        <v>3.986835735636058</v>
      </c>
      <c r="F22" s="8">
        <v>-0.98683573563605798</v>
      </c>
    </row>
    <row r="23" spans="2:6" x14ac:dyDescent="0.25">
      <c r="C23" s="9" t="s">
        <v>454</v>
      </c>
      <c r="D23" s="8">
        <v>4</v>
      </c>
      <c r="E23" s="8">
        <v>3.6842858632065187</v>
      </c>
      <c r="F23" s="8">
        <v>0.31571413679348126</v>
      </c>
    </row>
    <row r="24" spans="2:6" x14ac:dyDescent="0.25">
      <c r="C24" s="9" t="s">
        <v>178</v>
      </c>
      <c r="D24" s="8">
        <v>5</v>
      </c>
      <c r="E24" s="8">
        <v>4.7061823978409549</v>
      </c>
      <c r="F24" s="8">
        <v>0.29381760215904507</v>
      </c>
    </row>
    <row r="25" spans="2:6" x14ac:dyDescent="0.25">
      <c r="C25" s="9" t="s">
        <v>179</v>
      </c>
      <c r="D25" s="8">
        <v>4</v>
      </c>
      <c r="E25" s="8">
        <v>4.2340985284810211</v>
      </c>
      <c r="F25" s="8">
        <v>-0.23409852848102108</v>
      </c>
    </row>
    <row r="26" spans="2:6" x14ac:dyDescent="0.25">
      <c r="C26" s="9" t="s">
        <v>406</v>
      </c>
      <c r="D26" s="8">
        <v>5</v>
      </c>
      <c r="E26" s="8">
        <v>4.3515732843093788</v>
      </c>
      <c r="F26" s="8">
        <v>0.64842671569062116</v>
      </c>
    </row>
    <row r="27" spans="2:6" x14ac:dyDescent="0.25">
      <c r="C27" s="9" t="s">
        <v>180</v>
      </c>
      <c r="D27" s="8">
        <v>4</v>
      </c>
      <c r="E27" s="8">
        <v>4.702082148632889</v>
      </c>
      <c r="F27" s="8">
        <v>-0.70208214863288898</v>
      </c>
    </row>
    <row r="28" spans="2:6" x14ac:dyDescent="0.25">
      <c r="C28" s="9" t="s">
        <v>475</v>
      </c>
      <c r="D28" s="8">
        <v>5</v>
      </c>
      <c r="E28" s="8">
        <v>5.022012550864452</v>
      </c>
      <c r="F28" s="8">
        <v>-2.2012550864451974E-2</v>
      </c>
    </row>
    <row r="29" spans="2:6" x14ac:dyDescent="0.25">
      <c r="C29" s="9" t="s">
        <v>181</v>
      </c>
      <c r="D29" s="8">
        <v>5</v>
      </c>
      <c r="E29" s="8">
        <v>3.8930995728720976</v>
      </c>
      <c r="F29" s="8">
        <v>1.1069004271279024</v>
      </c>
    </row>
    <row r="30" spans="2:6" x14ac:dyDescent="0.25">
      <c r="C30" s="9" t="s">
        <v>182</v>
      </c>
      <c r="D30" s="8">
        <v>5</v>
      </c>
      <c r="E30" s="8">
        <v>4.3375577536796541</v>
      </c>
      <c r="F30" s="8">
        <v>0.66244224632034587</v>
      </c>
    </row>
    <row r="31" spans="2:6" x14ac:dyDescent="0.25">
      <c r="C31" s="9" t="s">
        <v>183</v>
      </c>
      <c r="D31" s="8">
        <v>3</v>
      </c>
      <c r="E31" s="8">
        <v>4.5499286815045181</v>
      </c>
      <c r="F31" s="8">
        <v>-1.5499286815045181</v>
      </c>
    </row>
    <row r="32" spans="2:6" x14ac:dyDescent="0.25">
      <c r="C32" s="9" t="s">
        <v>184</v>
      </c>
      <c r="D32" s="8">
        <v>4</v>
      </c>
      <c r="E32" s="8">
        <v>4.3710008422434283</v>
      </c>
      <c r="F32" s="8">
        <v>-0.37100084224342833</v>
      </c>
    </row>
    <row r="33" spans="3:6" x14ac:dyDescent="0.25">
      <c r="C33" s="9" t="s">
        <v>185</v>
      </c>
      <c r="D33" s="8">
        <v>3</v>
      </c>
      <c r="E33" s="8">
        <v>3.8792377205584421</v>
      </c>
      <c r="F33" s="8">
        <v>-0.87923772055844207</v>
      </c>
    </row>
    <row r="34" spans="3:6" x14ac:dyDescent="0.25">
      <c r="C34" s="9" t="s">
        <v>186</v>
      </c>
      <c r="D34" s="8">
        <v>5</v>
      </c>
      <c r="E34" s="8">
        <v>4.7638668614691166</v>
      </c>
      <c r="F34" s="8">
        <v>0.23613313853088336</v>
      </c>
    </row>
    <row r="35" spans="3:6" x14ac:dyDescent="0.25">
      <c r="C35" s="9" t="s">
        <v>187</v>
      </c>
      <c r="D35" s="8">
        <v>3</v>
      </c>
      <c r="E35" s="8">
        <v>4.0727149366460136</v>
      </c>
      <c r="F35" s="8">
        <v>-1.0727149366460136</v>
      </c>
    </row>
    <row r="36" spans="3:6" x14ac:dyDescent="0.25">
      <c r="C36" s="9" t="s">
        <v>409</v>
      </c>
      <c r="D36" s="8">
        <v>5</v>
      </c>
      <c r="E36" s="8">
        <v>4.5499286815045181</v>
      </c>
      <c r="F36" s="8">
        <v>0.45007131849548188</v>
      </c>
    </row>
    <row r="37" spans="3:6" x14ac:dyDescent="0.25">
      <c r="C37" s="9" t="s">
        <v>188</v>
      </c>
      <c r="D37" s="8">
        <v>5</v>
      </c>
      <c r="E37" s="8">
        <v>4.1682926134131009</v>
      </c>
      <c r="F37" s="8">
        <v>0.83170738658689913</v>
      </c>
    </row>
    <row r="38" spans="3:6" x14ac:dyDescent="0.25">
      <c r="C38" s="9" t="s">
        <v>189</v>
      </c>
      <c r="D38" s="8">
        <v>5</v>
      </c>
      <c r="E38" s="8">
        <v>4.0753161415491492</v>
      </c>
      <c r="F38" s="8">
        <v>0.92468385845085077</v>
      </c>
    </row>
    <row r="39" spans="3:6" x14ac:dyDescent="0.25">
      <c r="C39" s="9" t="s">
        <v>190</v>
      </c>
      <c r="D39" s="8">
        <v>5</v>
      </c>
      <c r="E39" s="8">
        <v>3.5809486935324988</v>
      </c>
      <c r="F39" s="8">
        <v>1.4190513064675012</v>
      </c>
    </row>
    <row r="40" spans="3:6" x14ac:dyDescent="0.25">
      <c r="C40" s="9" t="s">
        <v>191</v>
      </c>
      <c r="D40" s="8">
        <v>5</v>
      </c>
      <c r="E40" s="8">
        <v>4.1613145833690659</v>
      </c>
      <c r="F40" s="8">
        <v>0.8386854166309341</v>
      </c>
    </row>
    <row r="41" spans="3:6" x14ac:dyDescent="0.25">
      <c r="C41" s="9" t="s">
        <v>192</v>
      </c>
      <c r="D41" s="8">
        <v>5</v>
      </c>
      <c r="E41" s="8">
        <v>4.7533841081344352</v>
      </c>
      <c r="F41" s="8">
        <v>0.24661589186556476</v>
      </c>
    </row>
    <row r="42" spans="3:6" x14ac:dyDescent="0.25">
      <c r="C42" s="9" t="s">
        <v>193</v>
      </c>
      <c r="D42" s="8">
        <v>2</v>
      </c>
      <c r="E42" s="8">
        <v>3.7055467583147994</v>
      </c>
      <c r="F42" s="8">
        <v>-1.7055467583147994</v>
      </c>
    </row>
    <row r="43" spans="3:6" x14ac:dyDescent="0.25">
      <c r="C43" s="9" t="s">
        <v>194</v>
      </c>
      <c r="D43" s="8">
        <v>4</v>
      </c>
      <c r="E43" s="8">
        <v>3.6299987954080906</v>
      </c>
      <c r="F43" s="8">
        <v>0.37000120459190944</v>
      </c>
    </row>
    <row r="44" spans="3:6" x14ac:dyDescent="0.25">
      <c r="C44" s="9" t="s">
        <v>195</v>
      </c>
      <c r="D44" s="8">
        <v>5</v>
      </c>
      <c r="E44" s="8">
        <v>3.9359294141442231</v>
      </c>
      <c r="F44" s="8">
        <v>1.0640705858557769</v>
      </c>
    </row>
    <row r="45" spans="3:6" x14ac:dyDescent="0.25">
      <c r="C45" s="9" t="s">
        <v>412</v>
      </c>
      <c r="D45" s="8">
        <v>4</v>
      </c>
      <c r="E45" s="8">
        <v>4.4480367084456196</v>
      </c>
      <c r="F45" s="8">
        <v>-0.4480367084456196</v>
      </c>
    </row>
    <row r="46" spans="3:6" x14ac:dyDescent="0.25">
      <c r="C46" s="9" t="s">
        <v>407</v>
      </c>
      <c r="D46" s="8">
        <v>4</v>
      </c>
      <c r="E46" s="8">
        <v>3.9648371867831833</v>
      </c>
      <c r="F46" s="8">
        <v>3.5162813216816691E-2</v>
      </c>
    </row>
    <row r="47" spans="3:6" x14ac:dyDescent="0.25">
      <c r="C47" s="9" t="s">
        <v>196</v>
      </c>
      <c r="D47" s="8">
        <v>5</v>
      </c>
      <c r="E47" s="8">
        <v>4.36117919019759</v>
      </c>
      <c r="F47" s="8">
        <v>0.63882080980240996</v>
      </c>
    </row>
    <row r="48" spans="3:6" x14ac:dyDescent="0.25">
      <c r="C48" s="9" t="s">
        <v>197</v>
      </c>
      <c r="D48" s="8">
        <v>4</v>
      </c>
      <c r="E48" s="8">
        <v>3.6233474834350523</v>
      </c>
      <c r="F48" s="8">
        <v>0.37665251656494769</v>
      </c>
    </row>
    <row r="49" spans="3:6" x14ac:dyDescent="0.25">
      <c r="C49" s="9" t="s">
        <v>198</v>
      </c>
      <c r="D49" s="8">
        <v>4</v>
      </c>
      <c r="E49" s="8">
        <v>4.4047747509572295</v>
      </c>
      <c r="F49" s="8">
        <v>-0.40477475095722948</v>
      </c>
    </row>
    <row r="50" spans="3:6" x14ac:dyDescent="0.25">
      <c r="C50" s="9" t="s">
        <v>199</v>
      </c>
      <c r="D50" s="8">
        <v>5</v>
      </c>
      <c r="E50" s="8">
        <v>3.9262478708002684</v>
      </c>
      <c r="F50" s="8">
        <v>1.0737521291997316</v>
      </c>
    </row>
    <row r="51" spans="3:6" x14ac:dyDescent="0.25">
      <c r="C51" s="9" t="s">
        <v>200</v>
      </c>
      <c r="D51" s="8">
        <v>3</v>
      </c>
      <c r="E51" s="8">
        <v>4.2787715681790663</v>
      </c>
      <c r="F51" s="8">
        <v>-1.2787715681790663</v>
      </c>
    </row>
    <row r="52" spans="3:6" x14ac:dyDescent="0.25">
      <c r="C52" s="9" t="s">
        <v>438</v>
      </c>
      <c r="D52" s="8">
        <v>3</v>
      </c>
      <c r="E52" s="8">
        <v>3.8454844303455689</v>
      </c>
      <c r="F52" s="8">
        <v>-0.84548443034556886</v>
      </c>
    </row>
    <row r="53" spans="3:6" x14ac:dyDescent="0.25">
      <c r="C53" s="9" t="s">
        <v>448</v>
      </c>
      <c r="D53" s="8">
        <v>3</v>
      </c>
      <c r="E53" s="8">
        <v>3.8454844303455689</v>
      </c>
      <c r="F53" s="8">
        <v>-0.84548443034556886</v>
      </c>
    </row>
    <row r="54" spans="3:6" x14ac:dyDescent="0.25">
      <c r="C54" s="9" t="s">
        <v>201</v>
      </c>
      <c r="D54" s="8">
        <v>2</v>
      </c>
      <c r="E54" s="8">
        <v>3.8791484833910079</v>
      </c>
      <c r="F54" s="8">
        <v>-1.8791484833910079</v>
      </c>
    </row>
    <row r="55" spans="3:6" x14ac:dyDescent="0.25">
      <c r="C55" s="9" t="s">
        <v>442</v>
      </c>
      <c r="D55" s="8">
        <v>5</v>
      </c>
      <c r="E55" s="8">
        <v>4.5656939485636032</v>
      </c>
      <c r="F55" s="8">
        <v>0.43430605143639678</v>
      </c>
    </row>
    <row r="56" spans="3:6" x14ac:dyDescent="0.25">
      <c r="C56" s="9" t="s">
        <v>202</v>
      </c>
      <c r="D56" s="8">
        <v>5</v>
      </c>
      <c r="E56" s="8">
        <v>4.5027269712110378</v>
      </c>
      <c r="F56" s="8">
        <v>0.49727302878896218</v>
      </c>
    </row>
    <row r="57" spans="3:6" x14ac:dyDescent="0.25">
      <c r="C57" s="9" t="s">
        <v>203</v>
      </c>
      <c r="D57" s="8">
        <v>4</v>
      </c>
      <c r="E57" s="8">
        <v>4.02880094514801</v>
      </c>
      <c r="F57" s="8">
        <v>-2.8800945148010015E-2</v>
      </c>
    </row>
    <row r="58" spans="3:6" x14ac:dyDescent="0.25">
      <c r="C58" s="9" t="s">
        <v>204</v>
      </c>
      <c r="D58" s="8">
        <v>4</v>
      </c>
      <c r="E58" s="8">
        <v>3.9340574855260519</v>
      </c>
      <c r="F58" s="8">
        <v>6.5942514473948055E-2</v>
      </c>
    </row>
    <row r="59" spans="3:6" x14ac:dyDescent="0.25">
      <c r="C59" s="9" t="s">
        <v>205</v>
      </c>
      <c r="D59" s="8">
        <v>5</v>
      </c>
      <c r="E59" s="8">
        <v>4.5705117181912938</v>
      </c>
      <c r="F59" s="8">
        <v>0.42948828180870624</v>
      </c>
    </row>
    <row r="60" spans="3:6" x14ac:dyDescent="0.25">
      <c r="C60" s="9" t="s">
        <v>206</v>
      </c>
      <c r="D60" s="8">
        <v>5</v>
      </c>
      <c r="E60" s="8">
        <v>4.0749512733090407</v>
      </c>
      <c r="F60" s="8">
        <v>0.92504872669095928</v>
      </c>
    </row>
    <row r="61" spans="3:6" x14ac:dyDescent="0.25">
      <c r="C61" s="9" t="s">
        <v>207</v>
      </c>
      <c r="D61" s="8">
        <v>5</v>
      </c>
      <c r="E61" s="8">
        <v>4.0388073273523366</v>
      </c>
      <c r="F61" s="8">
        <v>0.96119267264766339</v>
      </c>
    </row>
    <row r="62" spans="3:6" x14ac:dyDescent="0.25">
      <c r="C62" s="9" t="s">
        <v>208</v>
      </c>
      <c r="D62" s="8">
        <v>5</v>
      </c>
      <c r="E62" s="8">
        <v>4.5604114348391995</v>
      </c>
      <c r="F62" s="8">
        <v>0.43958856516080047</v>
      </c>
    </row>
    <row r="63" spans="3:6" x14ac:dyDescent="0.25">
      <c r="C63" s="9" t="s">
        <v>209</v>
      </c>
      <c r="D63" s="8">
        <v>5</v>
      </c>
      <c r="E63" s="8">
        <v>4.2046559080278589</v>
      </c>
      <c r="F63" s="8">
        <v>0.79534409197214107</v>
      </c>
    </row>
    <row r="64" spans="3:6" x14ac:dyDescent="0.25">
      <c r="C64" s="9" t="s">
        <v>210</v>
      </c>
      <c r="D64" s="8">
        <v>5</v>
      </c>
      <c r="E64" s="8">
        <v>4.1591008564793501</v>
      </c>
      <c r="F64" s="8">
        <v>0.84089914352064987</v>
      </c>
    </row>
    <row r="65" spans="3:6" x14ac:dyDescent="0.25">
      <c r="C65" s="9" t="s">
        <v>434</v>
      </c>
      <c r="D65" s="8">
        <v>4</v>
      </c>
      <c r="E65" s="8">
        <v>3.5020913316848818</v>
      </c>
      <c r="F65" s="8">
        <v>0.49790866831511815</v>
      </c>
    </row>
    <row r="66" spans="3:6" x14ac:dyDescent="0.25">
      <c r="C66" s="9" t="s">
        <v>408</v>
      </c>
      <c r="D66" s="8">
        <v>4</v>
      </c>
      <c r="E66" s="8">
        <v>3.9359294141442231</v>
      </c>
      <c r="F66" s="8">
        <v>6.4070585855776852E-2</v>
      </c>
    </row>
    <row r="67" spans="3:6" x14ac:dyDescent="0.25">
      <c r="C67" s="9" t="s">
        <v>211</v>
      </c>
      <c r="D67" s="8">
        <v>5</v>
      </c>
      <c r="E67" s="8">
        <v>4.031146643903246</v>
      </c>
      <c r="F67" s="8">
        <v>0.96885335609675405</v>
      </c>
    </row>
    <row r="68" spans="3:6" x14ac:dyDescent="0.25">
      <c r="C68" s="9" t="s">
        <v>212</v>
      </c>
      <c r="D68" s="8">
        <v>5</v>
      </c>
      <c r="E68" s="8">
        <v>4.2515609860664529</v>
      </c>
      <c r="F68" s="8">
        <v>0.74843901393354706</v>
      </c>
    </row>
    <row r="69" spans="3:6" x14ac:dyDescent="0.25">
      <c r="C69" s="9" t="s">
        <v>447</v>
      </c>
      <c r="D69" s="8">
        <v>5</v>
      </c>
      <c r="E69" s="8">
        <v>4.4057114083546596</v>
      </c>
      <c r="F69" s="8">
        <v>0.59428859164534042</v>
      </c>
    </row>
    <row r="70" spans="3:6" x14ac:dyDescent="0.25">
      <c r="C70" s="9" t="s">
        <v>213</v>
      </c>
      <c r="D70" s="8">
        <v>1</v>
      </c>
      <c r="E70" s="8">
        <v>4.3862519956093919</v>
      </c>
      <c r="F70" s="8">
        <v>-3.3862519956093919</v>
      </c>
    </row>
    <row r="71" spans="3:6" x14ac:dyDescent="0.25">
      <c r="C71" s="9" t="s">
        <v>214</v>
      </c>
      <c r="D71" s="8">
        <v>5</v>
      </c>
      <c r="E71" s="8">
        <v>3.9065485791209458</v>
      </c>
      <c r="F71" s="8">
        <v>1.0934514208790542</v>
      </c>
    </row>
    <row r="72" spans="3:6" x14ac:dyDescent="0.25">
      <c r="C72" s="9" t="s">
        <v>215</v>
      </c>
      <c r="D72" s="8">
        <v>5</v>
      </c>
      <c r="E72" s="8">
        <v>4.1662011592547064</v>
      </c>
      <c r="F72" s="8">
        <v>0.83379884074529365</v>
      </c>
    </row>
    <row r="73" spans="3:6" x14ac:dyDescent="0.25">
      <c r="C73" s="9" t="s">
        <v>216</v>
      </c>
      <c r="D73" s="8">
        <v>5</v>
      </c>
      <c r="E73" s="8">
        <v>3.9341634442390241</v>
      </c>
      <c r="F73" s="8">
        <v>1.0658365557609759</v>
      </c>
    </row>
    <row r="74" spans="3:6" x14ac:dyDescent="0.25">
      <c r="C74" s="9" t="s">
        <v>217</v>
      </c>
      <c r="D74" s="8">
        <v>3</v>
      </c>
      <c r="E74" s="8">
        <v>3.8930995728720976</v>
      </c>
      <c r="F74" s="8">
        <v>-0.89309957287209762</v>
      </c>
    </row>
    <row r="75" spans="3:6" x14ac:dyDescent="0.25">
      <c r="C75" s="9" t="s">
        <v>218</v>
      </c>
      <c r="D75" s="8">
        <v>4</v>
      </c>
      <c r="E75" s="8">
        <v>4.1562548153468928</v>
      </c>
      <c r="F75" s="8">
        <v>-0.15625481534689278</v>
      </c>
    </row>
    <row r="76" spans="3:6" x14ac:dyDescent="0.25">
      <c r="C76" s="9" t="s">
        <v>219</v>
      </c>
      <c r="D76" s="8">
        <v>3</v>
      </c>
      <c r="E76" s="8">
        <v>3.5916499297346185</v>
      </c>
      <c r="F76" s="8">
        <v>-0.5916499297346185</v>
      </c>
    </row>
    <row r="77" spans="3:6" x14ac:dyDescent="0.25">
      <c r="C77" s="9" t="s">
        <v>220</v>
      </c>
      <c r="D77" s="8">
        <v>5</v>
      </c>
      <c r="E77" s="8">
        <v>3.7861700900676154</v>
      </c>
      <c r="F77" s="8">
        <v>1.2138299099323846</v>
      </c>
    </row>
    <row r="78" spans="3:6" x14ac:dyDescent="0.25">
      <c r="C78" s="9" t="s">
        <v>221</v>
      </c>
      <c r="D78" s="8">
        <v>5</v>
      </c>
      <c r="E78" s="8">
        <v>4.1311589421461719</v>
      </c>
      <c r="F78" s="8">
        <v>0.86884105785382815</v>
      </c>
    </row>
    <row r="79" spans="3:6" x14ac:dyDescent="0.25">
      <c r="C79" s="9" t="s">
        <v>222</v>
      </c>
      <c r="D79" s="8">
        <v>4</v>
      </c>
      <c r="E79" s="8">
        <v>4.2757730408434265</v>
      </c>
      <c r="F79" s="8">
        <v>-0.27577304084342646</v>
      </c>
    </row>
    <row r="80" spans="3:6" x14ac:dyDescent="0.25">
      <c r="C80" s="9" t="s">
        <v>223</v>
      </c>
      <c r="D80" s="8">
        <v>5</v>
      </c>
      <c r="E80" s="8">
        <v>4.5306928112758129</v>
      </c>
      <c r="F80" s="8">
        <v>0.46930718872418709</v>
      </c>
    </row>
    <row r="81" spans="3:6" x14ac:dyDescent="0.25">
      <c r="C81" s="9" t="s">
        <v>224</v>
      </c>
      <c r="D81" s="8">
        <v>4</v>
      </c>
      <c r="E81" s="8">
        <v>3.5023272573517925</v>
      </c>
      <c r="F81" s="8">
        <v>0.49767274264820749</v>
      </c>
    </row>
    <row r="82" spans="3:6" x14ac:dyDescent="0.25">
      <c r="C82" s="9" t="s">
        <v>225</v>
      </c>
      <c r="D82" s="8">
        <v>5</v>
      </c>
      <c r="E82" s="8">
        <v>4.5194159099612312</v>
      </c>
      <c r="F82" s="8">
        <v>0.48058409003876879</v>
      </c>
    </row>
    <row r="83" spans="3:6" x14ac:dyDescent="0.25">
      <c r="C83" s="9" t="s">
        <v>226</v>
      </c>
      <c r="D83" s="8">
        <v>3</v>
      </c>
      <c r="E83" s="8">
        <v>3.7211873007293401</v>
      </c>
      <c r="F83" s="8">
        <v>-0.72118730072934012</v>
      </c>
    </row>
    <row r="84" spans="3:6" x14ac:dyDescent="0.25">
      <c r="C84" s="9" t="s">
        <v>458</v>
      </c>
      <c r="D84" s="8">
        <v>4</v>
      </c>
      <c r="E84" s="8">
        <v>4.0723176142135094</v>
      </c>
      <c r="F84" s="8">
        <v>-7.2317614213509351E-2</v>
      </c>
    </row>
    <row r="85" spans="3:6" x14ac:dyDescent="0.25">
      <c r="C85" s="9" t="s">
        <v>427</v>
      </c>
      <c r="D85" s="8">
        <v>4</v>
      </c>
      <c r="E85" s="8">
        <v>4.6662570240531114</v>
      </c>
      <c r="F85" s="8">
        <v>-0.66625702405311138</v>
      </c>
    </row>
    <row r="86" spans="3:6" x14ac:dyDescent="0.25">
      <c r="C86" s="9" t="s">
        <v>227</v>
      </c>
      <c r="D86" s="8">
        <v>3</v>
      </c>
      <c r="E86" s="8">
        <v>4.0891819123272102</v>
      </c>
      <c r="F86" s="8">
        <v>-1.0891819123272102</v>
      </c>
    </row>
    <row r="87" spans="3:6" x14ac:dyDescent="0.25">
      <c r="C87" s="9" t="s">
        <v>420</v>
      </c>
      <c r="D87" s="8">
        <v>4</v>
      </c>
      <c r="E87" s="8">
        <v>3.9499435833003931</v>
      </c>
      <c r="F87" s="8">
        <v>5.005641669960692E-2</v>
      </c>
    </row>
    <row r="88" spans="3:6" x14ac:dyDescent="0.25">
      <c r="C88" s="9" t="s">
        <v>228</v>
      </c>
      <c r="D88" s="8">
        <v>4</v>
      </c>
      <c r="E88" s="8">
        <v>4.1099261235093367</v>
      </c>
      <c r="F88" s="8">
        <v>-0.10992612350933673</v>
      </c>
    </row>
    <row r="89" spans="3:6" x14ac:dyDescent="0.25">
      <c r="C89" s="9" t="s">
        <v>229</v>
      </c>
      <c r="D89" s="8">
        <v>4</v>
      </c>
      <c r="E89" s="8">
        <v>3.9394225882506033</v>
      </c>
      <c r="F89" s="8">
        <v>6.0577411749396681E-2</v>
      </c>
    </row>
    <row r="90" spans="3:6" x14ac:dyDescent="0.25">
      <c r="C90" s="9" t="s">
        <v>230</v>
      </c>
      <c r="D90" s="8">
        <v>5</v>
      </c>
      <c r="E90" s="8">
        <v>4.4004595595082323</v>
      </c>
      <c r="F90" s="8">
        <v>0.59954044049176769</v>
      </c>
    </row>
    <row r="91" spans="3:6" x14ac:dyDescent="0.25">
      <c r="C91" s="9" t="s">
        <v>231</v>
      </c>
      <c r="D91" s="8">
        <v>4</v>
      </c>
      <c r="E91" s="8">
        <v>4.4182116180098703</v>
      </c>
      <c r="F91" s="8">
        <v>-0.41821161800987028</v>
      </c>
    </row>
    <row r="92" spans="3:6" x14ac:dyDescent="0.25">
      <c r="C92" s="9" t="s">
        <v>232</v>
      </c>
      <c r="D92" s="8">
        <v>4</v>
      </c>
      <c r="E92" s="8">
        <v>3.724182702792751</v>
      </c>
      <c r="F92" s="8">
        <v>0.27581729720724901</v>
      </c>
    </row>
    <row r="93" spans="3:6" x14ac:dyDescent="0.25">
      <c r="C93" s="9" t="s">
        <v>233</v>
      </c>
      <c r="D93" s="8">
        <v>3</v>
      </c>
      <c r="E93" s="8">
        <v>3.1632822004102898</v>
      </c>
      <c r="F93" s="8">
        <v>-0.16328220041028985</v>
      </c>
    </row>
    <row r="94" spans="3:6" x14ac:dyDescent="0.25">
      <c r="C94" s="9" t="s">
        <v>234</v>
      </c>
      <c r="D94" s="8">
        <v>5</v>
      </c>
      <c r="E94" s="8">
        <v>4.3670857138324131</v>
      </c>
      <c r="F94" s="8">
        <v>0.63291428616758694</v>
      </c>
    </row>
    <row r="95" spans="3:6" x14ac:dyDescent="0.25">
      <c r="C95" s="9" t="s">
        <v>441</v>
      </c>
      <c r="D95" s="8">
        <v>3</v>
      </c>
      <c r="E95" s="8">
        <v>4.3488673979263641</v>
      </c>
      <c r="F95" s="8">
        <v>-1.3488673979263641</v>
      </c>
    </row>
    <row r="96" spans="3:6" x14ac:dyDescent="0.25">
      <c r="C96" s="9" t="s">
        <v>235</v>
      </c>
      <c r="D96" s="8">
        <v>5</v>
      </c>
      <c r="E96" s="8">
        <v>3.4198920568051352</v>
      </c>
      <c r="F96" s="8">
        <v>1.5801079431948648</v>
      </c>
    </row>
    <row r="97" spans="3:6" x14ac:dyDescent="0.25">
      <c r="C97" s="9" t="s">
        <v>236</v>
      </c>
      <c r="D97" s="8">
        <v>5</v>
      </c>
      <c r="E97" s="8">
        <v>4.6084674919806243</v>
      </c>
      <c r="F97" s="8">
        <v>0.39153250801937567</v>
      </c>
    </row>
    <row r="98" spans="3:6" x14ac:dyDescent="0.25">
      <c r="C98" s="9" t="s">
        <v>237</v>
      </c>
      <c r="D98" s="8">
        <v>4</v>
      </c>
      <c r="E98" s="8">
        <v>4.2515609860664529</v>
      </c>
      <c r="F98" s="8">
        <v>-0.25156098606645294</v>
      </c>
    </row>
    <row r="99" spans="3:6" x14ac:dyDescent="0.25">
      <c r="C99" s="9" t="s">
        <v>238</v>
      </c>
      <c r="D99" s="8">
        <v>5</v>
      </c>
      <c r="E99" s="8">
        <v>4.3181993197669444</v>
      </c>
      <c r="F99" s="8">
        <v>0.68180068023305562</v>
      </c>
    </row>
    <row r="100" spans="3:6" x14ac:dyDescent="0.25">
      <c r="C100" s="9" t="s">
        <v>239</v>
      </c>
      <c r="D100" s="8">
        <v>4</v>
      </c>
      <c r="E100" s="8">
        <v>3.698248153856996</v>
      </c>
      <c r="F100" s="8">
        <v>0.30175184614300399</v>
      </c>
    </row>
    <row r="101" spans="3:6" x14ac:dyDescent="0.25">
      <c r="C101" s="9" t="s">
        <v>449</v>
      </c>
      <c r="D101" s="8">
        <v>4</v>
      </c>
      <c r="E101" s="8">
        <v>3.9067633485090862</v>
      </c>
      <c r="F101" s="8">
        <v>9.3236651490913758E-2</v>
      </c>
    </row>
    <row r="102" spans="3:6" x14ac:dyDescent="0.25">
      <c r="C102" s="9" t="s">
        <v>467</v>
      </c>
      <c r="D102" s="8">
        <v>3</v>
      </c>
      <c r="E102" s="8">
        <v>3.6269253221340927</v>
      </c>
      <c r="F102" s="8">
        <v>-0.62692532213409269</v>
      </c>
    </row>
    <row r="103" spans="3:6" x14ac:dyDescent="0.25">
      <c r="C103" s="9" t="s">
        <v>240</v>
      </c>
      <c r="D103" s="8">
        <v>4</v>
      </c>
      <c r="E103" s="8">
        <v>4.1236195737150556</v>
      </c>
      <c r="F103" s="8">
        <v>-0.12361957371505561</v>
      </c>
    </row>
    <row r="104" spans="3:6" x14ac:dyDescent="0.25">
      <c r="C104" s="9" t="s">
        <v>241</v>
      </c>
      <c r="D104" s="8">
        <v>2</v>
      </c>
      <c r="E104" s="8">
        <v>4.3160957370637743</v>
      </c>
      <c r="F104" s="8">
        <v>-2.3160957370637743</v>
      </c>
    </row>
    <row r="105" spans="3:6" x14ac:dyDescent="0.25">
      <c r="C105" s="9" t="s">
        <v>417</v>
      </c>
      <c r="D105" s="8">
        <v>4</v>
      </c>
      <c r="E105" s="8">
        <v>4.3670857138324131</v>
      </c>
      <c r="F105" s="8">
        <v>-0.36708571383241306</v>
      </c>
    </row>
    <row r="106" spans="3:6" x14ac:dyDescent="0.25">
      <c r="C106" s="9" t="s">
        <v>242</v>
      </c>
      <c r="D106" s="8">
        <v>4</v>
      </c>
      <c r="E106" s="8">
        <v>3.5581031380716217</v>
      </c>
      <c r="F106" s="8">
        <v>0.44189686192837829</v>
      </c>
    </row>
    <row r="107" spans="3:6" x14ac:dyDescent="0.25">
      <c r="C107" s="9" t="s">
        <v>243</v>
      </c>
      <c r="D107" s="8">
        <v>4</v>
      </c>
      <c r="E107" s="8">
        <v>4.2515609860664529</v>
      </c>
      <c r="F107" s="8">
        <v>-0.25156098606645294</v>
      </c>
    </row>
    <row r="108" spans="3:6" x14ac:dyDescent="0.25">
      <c r="C108" s="9" t="s">
        <v>244</v>
      </c>
      <c r="D108" s="8">
        <v>5</v>
      </c>
      <c r="E108" s="8">
        <v>3.9067633485090862</v>
      </c>
      <c r="F108" s="8">
        <v>1.0932366514909138</v>
      </c>
    </row>
    <row r="109" spans="3:6" x14ac:dyDescent="0.25">
      <c r="C109" s="9" t="s">
        <v>245</v>
      </c>
      <c r="D109" s="8">
        <v>4</v>
      </c>
      <c r="E109" s="8">
        <v>4.1533990099303102</v>
      </c>
      <c r="F109" s="8">
        <v>-0.15339900993031019</v>
      </c>
    </row>
    <row r="110" spans="3:6" x14ac:dyDescent="0.25">
      <c r="C110" s="9" t="s">
        <v>246</v>
      </c>
      <c r="D110" s="8">
        <v>4</v>
      </c>
      <c r="E110" s="8">
        <v>4.1761580650330048</v>
      </c>
      <c r="F110" s="8">
        <v>-0.1761580650330048</v>
      </c>
    </row>
    <row r="111" spans="3:6" x14ac:dyDescent="0.25">
      <c r="C111" s="9" t="s">
        <v>247</v>
      </c>
      <c r="D111" s="8">
        <v>4</v>
      </c>
      <c r="E111" s="8">
        <v>3.8055590565577258</v>
      </c>
      <c r="F111" s="8">
        <v>0.19444094344227425</v>
      </c>
    </row>
    <row r="112" spans="3:6" x14ac:dyDescent="0.25">
      <c r="C112" s="9" t="s">
        <v>248</v>
      </c>
      <c r="D112" s="8">
        <v>3</v>
      </c>
      <c r="E112" s="8">
        <v>3.9628809863572494</v>
      </c>
      <c r="F112" s="8">
        <v>-0.96288098635724939</v>
      </c>
    </row>
    <row r="113" spans="3:6" x14ac:dyDescent="0.25">
      <c r="C113" s="9" t="s">
        <v>410</v>
      </c>
      <c r="D113" s="8">
        <v>5</v>
      </c>
      <c r="E113" s="8">
        <v>4.1375129121559686</v>
      </c>
      <c r="F113" s="8">
        <v>0.86248708784403139</v>
      </c>
    </row>
    <row r="114" spans="3:6" x14ac:dyDescent="0.25">
      <c r="C114" s="9" t="s">
        <v>249</v>
      </c>
      <c r="D114" s="8">
        <v>4</v>
      </c>
      <c r="E114" s="8">
        <v>3.8462011645945982</v>
      </c>
      <c r="F114" s="8">
        <v>0.15379883540540185</v>
      </c>
    </row>
    <row r="115" spans="3:6" x14ac:dyDescent="0.25">
      <c r="C115" s="9" t="s">
        <v>250</v>
      </c>
      <c r="D115" s="8">
        <v>2</v>
      </c>
      <c r="E115" s="8">
        <v>4.3375577536796541</v>
      </c>
      <c r="F115" s="8">
        <v>-2.3375577536796541</v>
      </c>
    </row>
    <row r="116" spans="3:6" x14ac:dyDescent="0.25">
      <c r="C116" s="9" t="s">
        <v>251</v>
      </c>
      <c r="D116" s="8">
        <v>4</v>
      </c>
      <c r="E116" s="8">
        <v>4.1311589421461719</v>
      </c>
      <c r="F116" s="8">
        <v>-0.13115894214617185</v>
      </c>
    </row>
    <row r="117" spans="3:6" x14ac:dyDescent="0.25">
      <c r="C117" s="9" t="s">
        <v>252</v>
      </c>
      <c r="D117" s="8">
        <v>5</v>
      </c>
      <c r="E117" s="8">
        <v>4.2056167822978088</v>
      </c>
      <c r="F117" s="8">
        <v>0.79438321770219122</v>
      </c>
    </row>
    <row r="118" spans="3:6" x14ac:dyDescent="0.25">
      <c r="C118" s="9" t="s">
        <v>451</v>
      </c>
      <c r="D118" s="8">
        <v>3</v>
      </c>
      <c r="E118" s="8">
        <v>3.6520865814284003</v>
      </c>
      <c r="F118" s="8">
        <v>-0.65208658142840026</v>
      </c>
    </row>
    <row r="119" spans="3:6" x14ac:dyDescent="0.25">
      <c r="C119" s="9" t="s">
        <v>253</v>
      </c>
      <c r="D119" s="8">
        <v>4</v>
      </c>
      <c r="E119" s="8">
        <v>3.7917408817074629</v>
      </c>
      <c r="F119" s="8">
        <v>0.20825911829253707</v>
      </c>
    </row>
    <row r="120" spans="3:6" x14ac:dyDescent="0.25">
      <c r="C120" s="9" t="s">
        <v>254</v>
      </c>
      <c r="D120" s="8">
        <v>4</v>
      </c>
      <c r="E120" s="8">
        <v>3.9579279629970987</v>
      </c>
      <c r="F120" s="8">
        <v>4.2072037002901297E-2</v>
      </c>
    </row>
    <row r="121" spans="3:6" x14ac:dyDescent="0.25">
      <c r="C121" s="9" t="s">
        <v>424</v>
      </c>
      <c r="D121" s="8">
        <v>4</v>
      </c>
      <c r="E121" s="8">
        <v>4.1613145833690659</v>
      </c>
      <c r="F121" s="8">
        <v>-0.1613145833690659</v>
      </c>
    </row>
    <row r="122" spans="3:6" x14ac:dyDescent="0.25">
      <c r="C122" s="9" t="s">
        <v>255</v>
      </c>
      <c r="D122" s="8">
        <v>5</v>
      </c>
      <c r="E122" s="8">
        <v>4.9107842377506365</v>
      </c>
      <c r="F122" s="8">
        <v>8.9215762249363451E-2</v>
      </c>
    </row>
    <row r="123" spans="3:6" x14ac:dyDescent="0.25">
      <c r="C123" s="9" t="s">
        <v>256</v>
      </c>
      <c r="D123" s="8">
        <v>5</v>
      </c>
      <c r="E123" s="8">
        <v>4.6744685671162713</v>
      </c>
      <c r="F123" s="8">
        <v>0.32553143288372866</v>
      </c>
    </row>
    <row r="124" spans="3:6" x14ac:dyDescent="0.25">
      <c r="C124" s="9" t="s">
        <v>459</v>
      </c>
      <c r="D124" s="8">
        <v>3</v>
      </c>
      <c r="E124" s="8">
        <v>3.7137445804713223</v>
      </c>
      <c r="F124" s="8">
        <v>-0.71374458047132228</v>
      </c>
    </row>
    <row r="125" spans="3:6" x14ac:dyDescent="0.25">
      <c r="C125" s="9" t="s">
        <v>257</v>
      </c>
      <c r="D125" s="8">
        <v>3</v>
      </c>
      <c r="E125" s="8">
        <v>4.3272373846458958</v>
      </c>
      <c r="F125" s="8">
        <v>-1.3272373846458958</v>
      </c>
    </row>
    <row r="126" spans="3:6" x14ac:dyDescent="0.25">
      <c r="C126" s="9" t="s">
        <v>258</v>
      </c>
      <c r="D126" s="8">
        <v>4</v>
      </c>
      <c r="E126" s="8">
        <v>3.9784656431677665</v>
      </c>
      <c r="F126" s="8">
        <v>2.1534356832233481E-2</v>
      </c>
    </row>
    <row r="127" spans="3:6" x14ac:dyDescent="0.25">
      <c r="C127" s="9" t="s">
        <v>259</v>
      </c>
      <c r="D127" s="8">
        <v>4</v>
      </c>
      <c r="E127" s="8">
        <v>4.1941731546931775</v>
      </c>
      <c r="F127" s="8">
        <v>-0.19417315469317753</v>
      </c>
    </row>
    <row r="128" spans="3:6" x14ac:dyDescent="0.25">
      <c r="C128" s="9" t="s">
        <v>415</v>
      </c>
      <c r="D128" s="8">
        <v>4</v>
      </c>
      <c r="E128" s="8">
        <v>4.1682926134131009</v>
      </c>
      <c r="F128" s="8">
        <v>-0.16829261341310087</v>
      </c>
    </row>
    <row r="129" spans="3:6" x14ac:dyDescent="0.25">
      <c r="C129" s="9" t="s">
        <v>260</v>
      </c>
      <c r="D129" s="8">
        <v>5</v>
      </c>
      <c r="E129" s="8">
        <v>4.3773746552272916</v>
      </c>
      <c r="F129" s="8">
        <v>0.62262534477270837</v>
      </c>
    </row>
    <row r="130" spans="3:6" x14ac:dyDescent="0.25">
      <c r="C130" s="9" t="s">
        <v>473</v>
      </c>
      <c r="D130" s="8">
        <v>3</v>
      </c>
      <c r="E130" s="8">
        <v>3.9739828593138951</v>
      </c>
      <c r="F130" s="8">
        <v>-0.97398285931389506</v>
      </c>
    </row>
    <row r="131" spans="3:6" x14ac:dyDescent="0.25">
      <c r="C131" s="9" t="s">
        <v>261</v>
      </c>
      <c r="D131" s="8">
        <v>5</v>
      </c>
      <c r="E131" s="8">
        <v>4.4284704634573542</v>
      </c>
      <c r="F131" s="8">
        <v>0.57152953654264582</v>
      </c>
    </row>
    <row r="132" spans="3:6" x14ac:dyDescent="0.25">
      <c r="C132" s="9" t="s">
        <v>262</v>
      </c>
      <c r="D132" s="8">
        <v>3</v>
      </c>
      <c r="E132" s="8">
        <v>3.4198920568051352</v>
      </c>
      <c r="F132" s="8">
        <v>-0.41989205680513519</v>
      </c>
    </row>
    <row r="133" spans="3:6" x14ac:dyDescent="0.25">
      <c r="C133" s="9" t="s">
        <v>263</v>
      </c>
      <c r="D133" s="8">
        <v>4</v>
      </c>
      <c r="E133" s="8">
        <v>4.3907814263325378</v>
      </c>
      <c r="F133" s="8">
        <v>-0.39078142633253776</v>
      </c>
    </row>
    <row r="134" spans="3:6" x14ac:dyDescent="0.25">
      <c r="C134" s="9" t="s">
        <v>264</v>
      </c>
      <c r="D134" s="8">
        <v>4</v>
      </c>
      <c r="E134" s="8">
        <v>5.022012550864452</v>
      </c>
      <c r="F134" s="8">
        <v>-1.022012550864452</v>
      </c>
    </row>
    <row r="135" spans="3:6" x14ac:dyDescent="0.25">
      <c r="C135" s="9" t="s">
        <v>265</v>
      </c>
      <c r="D135" s="8">
        <v>1</v>
      </c>
      <c r="E135" s="8">
        <v>4.0244098469364111</v>
      </c>
      <c r="F135" s="8">
        <v>-3.0244098469364111</v>
      </c>
    </row>
    <row r="136" spans="3:6" x14ac:dyDescent="0.25">
      <c r="C136" s="9" t="s">
        <v>455</v>
      </c>
      <c r="D136" s="8">
        <v>1</v>
      </c>
      <c r="E136" s="8">
        <v>4.4869144689575124</v>
      </c>
      <c r="F136" s="8">
        <v>-3.4869144689575124</v>
      </c>
    </row>
    <row r="137" spans="3:6" x14ac:dyDescent="0.25">
      <c r="C137" s="9" t="s">
        <v>266</v>
      </c>
      <c r="D137" s="8">
        <v>5</v>
      </c>
      <c r="E137" s="8">
        <v>4.1336997182509876</v>
      </c>
      <c r="F137" s="8">
        <v>0.86630028174901241</v>
      </c>
    </row>
    <row r="138" spans="3:6" x14ac:dyDescent="0.25">
      <c r="C138" s="9" t="s">
        <v>267</v>
      </c>
      <c r="D138" s="8">
        <v>2</v>
      </c>
      <c r="E138" s="8">
        <v>4.02880094514801</v>
      </c>
      <c r="F138" s="8">
        <v>-2.02880094514801</v>
      </c>
    </row>
    <row r="139" spans="3:6" x14ac:dyDescent="0.25">
      <c r="C139" s="9" t="s">
        <v>268</v>
      </c>
      <c r="D139" s="8">
        <v>3</v>
      </c>
      <c r="E139" s="8">
        <v>3.7942816578122787</v>
      </c>
      <c r="F139" s="8">
        <v>-0.79428165781227866</v>
      </c>
    </row>
    <row r="140" spans="3:6" x14ac:dyDescent="0.25">
      <c r="C140" s="9" t="s">
        <v>269</v>
      </c>
      <c r="D140" s="8">
        <v>3</v>
      </c>
      <c r="E140" s="8">
        <v>3.6269253221340927</v>
      </c>
      <c r="F140" s="8">
        <v>-0.62692532213409269</v>
      </c>
    </row>
    <row r="141" spans="3:6" x14ac:dyDescent="0.25">
      <c r="C141" s="9" t="s">
        <v>270</v>
      </c>
      <c r="D141" s="8">
        <v>4</v>
      </c>
      <c r="E141" s="8">
        <v>3.3806116874944934</v>
      </c>
      <c r="F141" s="8">
        <v>0.61938831250550663</v>
      </c>
    </row>
    <row r="142" spans="3:6" x14ac:dyDescent="0.25">
      <c r="C142" s="9" t="s">
        <v>271</v>
      </c>
      <c r="D142" s="8">
        <v>4</v>
      </c>
      <c r="E142" s="8">
        <v>3.7294783964818343</v>
      </c>
      <c r="F142" s="8">
        <v>0.27052160351816568</v>
      </c>
    </row>
    <row r="143" spans="3:6" x14ac:dyDescent="0.25">
      <c r="C143" s="9" t="s">
        <v>272</v>
      </c>
      <c r="D143" s="8">
        <v>3</v>
      </c>
      <c r="E143" s="8">
        <v>3.4940361615992983</v>
      </c>
      <c r="F143" s="8">
        <v>-0.49403616159929831</v>
      </c>
    </row>
    <row r="144" spans="3:6" x14ac:dyDescent="0.25">
      <c r="C144" s="9" t="s">
        <v>273</v>
      </c>
      <c r="D144" s="8">
        <v>4</v>
      </c>
      <c r="E144" s="8">
        <v>4.429488519324452</v>
      </c>
      <c r="F144" s="8">
        <v>-0.42948851932445198</v>
      </c>
    </row>
    <row r="145" spans="3:6" x14ac:dyDescent="0.25">
      <c r="C145" s="9" t="s">
        <v>419</v>
      </c>
      <c r="D145" s="8">
        <v>5</v>
      </c>
      <c r="E145" s="8">
        <v>4.049955881543319</v>
      </c>
      <c r="F145" s="8">
        <v>0.95004411845668102</v>
      </c>
    </row>
    <row r="146" spans="3:6" x14ac:dyDescent="0.25">
      <c r="C146" s="9" t="s">
        <v>274</v>
      </c>
      <c r="D146" s="8">
        <v>4</v>
      </c>
      <c r="E146" s="8">
        <v>4.0375006139130427</v>
      </c>
      <c r="F146" s="8">
        <v>-3.7500613913042713E-2</v>
      </c>
    </row>
    <row r="147" spans="3:6" x14ac:dyDescent="0.25">
      <c r="C147" s="9" t="s">
        <v>275</v>
      </c>
      <c r="D147" s="8">
        <v>3</v>
      </c>
      <c r="E147" s="8">
        <v>4.3294762210815261</v>
      </c>
      <c r="F147" s="8">
        <v>-1.3294762210815261</v>
      </c>
    </row>
    <row r="148" spans="3:6" x14ac:dyDescent="0.25">
      <c r="C148" s="9" t="s">
        <v>276</v>
      </c>
      <c r="D148" s="8">
        <v>4</v>
      </c>
      <c r="E148" s="8">
        <v>4.1375129121559686</v>
      </c>
      <c r="F148" s="8">
        <v>-0.13751291215596861</v>
      </c>
    </row>
    <row r="149" spans="3:6" x14ac:dyDescent="0.25">
      <c r="C149" s="9" t="s">
        <v>277</v>
      </c>
      <c r="D149" s="8">
        <v>5</v>
      </c>
      <c r="E149" s="8">
        <v>4.5817886195058755</v>
      </c>
      <c r="F149" s="8">
        <v>0.41821138049412454</v>
      </c>
    </row>
    <row r="150" spans="3:6" x14ac:dyDescent="0.25">
      <c r="C150" s="9" t="s">
        <v>471</v>
      </c>
      <c r="D150" s="8">
        <v>5</v>
      </c>
      <c r="E150" s="8">
        <v>4.2787715681790663</v>
      </c>
      <c r="F150" s="8">
        <v>0.72122843182093366</v>
      </c>
    </row>
    <row r="151" spans="3:6" x14ac:dyDescent="0.25">
      <c r="C151" s="9" t="s">
        <v>278</v>
      </c>
      <c r="D151" s="8">
        <v>4</v>
      </c>
      <c r="E151" s="8">
        <v>4.4498582040910453</v>
      </c>
      <c r="F151" s="8">
        <v>-0.44985820409104527</v>
      </c>
    </row>
    <row r="152" spans="3:6" x14ac:dyDescent="0.25">
      <c r="C152" s="9" t="s">
        <v>463</v>
      </c>
      <c r="D152" s="8">
        <v>5</v>
      </c>
      <c r="E152" s="8">
        <v>4.3488673979263641</v>
      </c>
      <c r="F152" s="8">
        <v>0.65113260207363588</v>
      </c>
    </row>
    <row r="153" spans="3:6" x14ac:dyDescent="0.25">
      <c r="C153" s="9" t="s">
        <v>450</v>
      </c>
      <c r="D153" s="8">
        <v>2</v>
      </c>
      <c r="E153" s="8">
        <v>3.9499435833003931</v>
      </c>
      <c r="F153" s="8">
        <v>-1.9499435833003931</v>
      </c>
    </row>
    <row r="154" spans="3:6" x14ac:dyDescent="0.25">
      <c r="C154" s="9" t="s">
        <v>279</v>
      </c>
      <c r="D154" s="8">
        <v>5</v>
      </c>
      <c r="E154" s="8">
        <v>4.8030729547975701</v>
      </c>
      <c r="F154" s="8">
        <v>0.19692704520242987</v>
      </c>
    </row>
    <row r="155" spans="3:6" x14ac:dyDescent="0.25">
      <c r="C155" s="9" t="s">
        <v>280</v>
      </c>
      <c r="D155" s="8">
        <v>4</v>
      </c>
      <c r="E155" s="8">
        <v>4.2527119651692837</v>
      </c>
      <c r="F155" s="8">
        <v>-0.25271196516928374</v>
      </c>
    </row>
    <row r="156" spans="3:6" x14ac:dyDescent="0.25">
      <c r="C156" s="9" t="s">
        <v>281</v>
      </c>
      <c r="D156" s="8">
        <v>5</v>
      </c>
      <c r="E156" s="8">
        <v>4.354615600124597</v>
      </c>
      <c r="F156" s="8">
        <v>0.64538439987540297</v>
      </c>
    </row>
    <row r="157" spans="3:6" x14ac:dyDescent="0.25">
      <c r="C157" s="9" t="s">
        <v>282</v>
      </c>
      <c r="D157" s="8">
        <v>2</v>
      </c>
      <c r="E157" s="8">
        <v>3.2611220177045781</v>
      </c>
      <c r="F157" s="8">
        <v>-1.2611220177045781</v>
      </c>
    </row>
    <row r="158" spans="3:6" x14ac:dyDescent="0.25">
      <c r="C158" s="9" t="s">
        <v>422</v>
      </c>
      <c r="D158" s="8">
        <v>3</v>
      </c>
      <c r="E158" s="8">
        <v>3.775639968910431</v>
      </c>
      <c r="F158" s="8">
        <v>-0.77563996891043097</v>
      </c>
    </row>
    <row r="159" spans="3:6" x14ac:dyDescent="0.25">
      <c r="C159" s="9" t="s">
        <v>283</v>
      </c>
      <c r="D159" s="8">
        <v>4</v>
      </c>
      <c r="E159" s="8">
        <v>3.7211873007293401</v>
      </c>
      <c r="F159" s="8">
        <v>0.27881269927065988</v>
      </c>
    </row>
    <row r="160" spans="3:6" x14ac:dyDescent="0.25">
      <c r="C160" s="9" t="s">
        <v>284</v>
      </c>
      <c r="D160" s="8">
        <v>5</v>
      </c>
      <c r="E160" s="8">
        <v>4.8185571242345349</v>
      </c>
      <c r="F160" s="8">
        <v>0.18144287576546514</v>
      </c>
    </row>
    <row r="161" spans="3:6" x14ac:dyDescent="0.25">
      <c r="C161" s="9" t="s">
        <v>423</v>
      </c>
      <c r="D161" s="8">
        <v>3</v>
      </c>
      <c r="E161" s="8">
        <v>3.3767309568509059</v>
      </c>
      <c r="F161" s="8">
        <v>-0.37673095685090585</v>
      </c>
    </row>
    <row r="162" spans="3:6" x14ac:dyDescent="0.25">
      <c r="C162" s="9" t="s">
        <v>285</v>
      </c>
      <c r="D162" s="8">
        <v>5</v>
      </c>
      <c r="E162" s="8">
        <v>4.2440754871429922</v>
      </c>
      <c r="F162" s="8">
        <v>0.75592451285700779</v>
      </c>
    </row>
    <row r="163" spans="3:6" x14ac:dyDescent="0.25">
      <c r="C163" s="9" t="s">
        <v>286</v>
      </c>
      <c r="D163" s="8">
        <v>5</v>
      </c>
      <c r="E163" s="8">
        <v>3.9353784695183798</v>
      </c>
      <c r="F163" s="8">
        <v>1.0646215304816202</v>
      </c>
    </row>
    <row r="164" spans="3:6" x14ac:dyDescent="0.25">
      <c r="C164" s="9" t="s">
        <v>416</v>
      </c>
      <c r="D164" s="8">
        <v>3</v>
      </c>
      <c r="E164" s="8">
        <v>3.9233096913606857</v>
      </c>
      <c r="F164" s="8">
        <v>-0.92330969136068575</v>
      </c>
    </row>
    <row r="165" spans="3:6" x14ac:dyDescent="0.25">
      <c r="C165" s="9" t="s">
        <v>452</v>
      </c>
      <c r="D165" s="8">
        <v>3</v>
      </c>
      <c r="E165" s="8">
        <v>4.2356504582931525</v>
      </c>
      <c r="F165" s="8">
        <v>-1.2356504582931525</v>
      </c>
    </row>
    <row r="166" spans="3:6" x14ac:dyDescent="0.25">
      <c r="C166" s="9" t="s">
        <v>476</v>
      </c>
      <c r="D166" s="8">
        <v>4</v>
      </c>
      <c r="E166" s="8">
        <v>3.9787029575612443</v>
      </c>
      <c r="F166" s="8">
        <v>2.1297042438755742E-2</v>
      </c>
    </row>
    <row r="167" spans="3:6" x14ac:dyDescent="0.25">
      <c r="C167" s="9" t="s">
        <v>436</v>
      </c>
      <c r="D167" s="8">
        <v>4</v>
      </c>
      <c r="E167" s="8">
        <v>4.3159604833313141</v>
      </c>
      <c r="F167" s="8">
        <v>-0.3159604833313141</v>
      </c>
    </row>
    <row r="168" spans="3:6" x14ac:dyDescent="0.25">
      <c r="C168" s="9" t="s">
        <v>469</v>
      </c>
      <c r="D168" s="8">
        <v>2</v>
      </c>
      <c r="E168" s="8">
        <v>4.0606053611680499</v>
      </c>
      <c r="F168" s="8">
        <v>-2.0606053611680499</v>
      </c>
    </row>
    <row r="169" spans="3:6" x14ac:dyDescent="0.25">
      <c r="C169" s="9" t="s">
        <v>457</v>
      </c>
      <c r="D169" s="8">
        <v>1</v>
      </c>
      <c r="E169" s="8">
        <v>4.1365950597126666</v>
      </c>
      <c r="F169" s="8">
        <v>-3.1365950597126666</v>
      </c>
    </row>
    <row r="170" spans="3:6" x14ac:dyDescent="0.25">
      <c r="C170" s="9" t="s">
        <v>287</v>
      </c>
      <c r="D170" s="8">
        <v>4</v>
      </c>
      <c r="E170" s="8">
        <v>4.24102210225593</v>
      </c>
      <c r="F170" s="8">
        <v>-0.24102210225593002</v>
      </c>
    </row>
    <row r="171" spans="3:6" x14ac:dyDescent="0.25">
      <c r="C171" s="9" t="s">
        <v>288</v>
      </c>
      <c r="D171" s="8">
        <v>4</v>
      </c>
      <c r="E171" s="8">
        <v>3.6939010644131751</v>
      </c>
      <c r="F171" s="8">
        <v>0.30609893558682488</v>
      </c>
    </row>
    <row r="172" spans="3:6" x14ac:dyDescent="0.25">
      <c r="C172" s="9" t="s">
        <v>289</v>
      </c>
      <c r="D172" s="8">
        <v>4</v>
      </c>
      <c r="E172" s="8">
        <v>4.1147438931370273</v>
      </c>
      <c r="F172" s="8">
        <v>-0.11474389313702726</v>
      </c>
    </row>
    <row r="173" spans="3:6" x14ac:dyDescent="0.25">
      <c r="C173" s="9" t="s">
        <v>472</v>
      </c>
      <c r="D173" s="8">
        <v>4</v>
      </c>
      <c r="E173" s="8">
        <v>3.8225054520944735</v>
      </c>
      <c r="F173" s="8">
        <v>0.17749454790552655</v>
      </c>
    </row>
    <row r="174" spans="3:6" x14ac:dyDescent="0.25">
      <c r="C174" s="9" t="s">
        <v>456</v>
      </c>
      <c r="D174" s="8">
        <v>4</v>
      </c>
      <c r="E174" s="8">
        <v>4.5604114348391995</v>
      </c>
      <c r="F174" s="8">
        <v>-0.56041143483919953</v>
      </c>
    </row>
    <row r="175" spans="3:6" x14ac:dyDescent="0.25">
      <c r="C175" s="9" t="s">
        <v>290</v>
      </c>
      <c r="D175" s="8">
        <v>5</v>
      </c>
      <c r="E175" s="8">
        <v>4.5942368529624549</v>
      </c>
      <c r="F175" s="8">
        <v>0.40576314703754512</v>
      </c>
    </row>
    <row r="176" spans="3:6" x14ac:dyDescent="0.25">
      <c r="C176" s="9" t="s">
        <v>291</v>
      </c>
      <c r="D176" s="8">
        <v>4</v>
      </c>
      <c r="E176" s="8">
        <v>4.1739192285973745</v>
      </c>
      <c r="F176" s="8">
        <v>-0.17391922859737452</v>
      </c>
    </row>
    <row r="177" spans="3:6" x14ac:dyDescent="0.25">
      <c r="C177" s="9" t="s">
        <v>292</v>
      </c>
      <c r="D177" s="8">
        <v>5</v>
      </c>
      <c r="E177" s="8">
        <v>3.9738602496384474</v>
      </c>
      <c r="F177" s="8">
        <v>1.0261397503615526</v>
      </c>
    </row>
    <row r="178" spans="3:6" x14ac:dyDescent="0.25">
      <c r="C178" s="9" t="s">
        <v>293</v>
      </c>
      <c r="D178" s="8">
        <v>1</v>
      </c>
      <c r="E178" s="8">
        <v>4.0941026772797047</v>
      </c>
      <c r="F178" s="8">
        <v>-3.0941026772797047</v>
      </c>
    </row>
    <row r="179" spans="3:6" x14ac:dyDescent="0.25">
      <c r="C179" s="9" t="s">
        <v>294</v>
      </c>
      <c r="D179" s="8">
        <v>5</v>
      </c>
      <c r="E179" s="8">
        <v>3.7299457075574298</v>
      </c>
      <c r="F179" s="8">
        <v>1.2700542924425702</v>
      </c>
    </row>
    <row r="180" spans="3:6" x14ac:dyDescent="0.25">
      <c r="C180" s="9" t="s">
        <v>418</v>
      </c>
      <c r="D180" s="8">
        <v>5</v>
      </c>
      <c r="E180" s="8">
        <v>4.5957034430749895</v>
      </c>
      <c r="F180" s="8">
        <v>0.40429655692501054</v>
      </c>
    </row>
    <row r="181" spans="3:6" x14ac:dyDescent="0.25">
      <c r="C181" s="9" t="s">
        <v>295</v>
      </c>
      <c r="D181" s="8">
        <v>5</v>
      </c>
      <c r="E181" s="8">
        <v>3.8571499345381324</v>
      </c>
      <c r="F181" s="8">
        <v>1.1428500654618676</v>
      </c>
    </row>
    <row r="182" spans="3:6" x14ac:dyDescent="0.25">
      <c r="C182" s="9" t="s">
        <v>296</v>
      </c>
      <c r="D182" s="8">
        <v>3</v>
      </c>
      <c r="E182" s="8">
        <v>3.8641203748235204</v>
      </c>
      <c r="F182" s="8">
        <v>-0.86412037482352044</v>
      </c>
    </row>
    <row r="183" spans="3:6" x14ac:dyDescent="0.25">
      <c r="C183" s="9" t="s">
        <v>297</v>
      </c>
      <c r="D183" s="8">
        <v>3</v>
      </c>
      <c r="E183" s="8">
        <v>4.4694138931122955</v>
      </c>
      <c r="F183" s="8">
        <v>-1.4694138931122955</v>
      </c>
    </row>
    <row r="184" spans="3:6" x14ac:dyDescent="0.25">
      <c r="C184" s="9" t="s">
        <v>439</v>
      </c>
      <c r="D184" s="8">
        <v>4</v>
      </c>
      <c r="E184" s="8">
        <v>4.0787090608491781</v>
      </c>
      <c r="F184" s="8">
        <v>-7.8709060849178059E-2</v>
      </c>
    </row>
    <row r="185" spans="3:6" x14ac:dyDescent="0.25">
      <c r="C185" s="9" t="s">
        <v>298</v>
      </c>
      <c r="D185" s="8">
        <v>4</v>
      </c>
      <c r="E185" s="8">
        <v>3.8792377205584421</v>
      </c>
      <c r="F185" s="8">
        <v>0.12076227944155793</v>
      </c>
    </row>
    <row r="186" spans="3:6" x14ac:dyDescent="0.25">
      <c r="C186" s="9" t="s">
        <v>299</v>
      </c>
      <c r="D186" s="8">
        <v>1</v>
      </c>
      <c r="E186" s="8">
        <v>4.134102327049737</v>
      </c>
      <c r="F186" s="8">
        <v>-3.134102327049737</v>
      </c>
    </row>
    <row r="187" spans="3:6" x14ac:dyDescent="0.25">
      <c r="C187" s="9" t="s">
        <v>443</v>
      </c>
      <c r="D187" s="8">
        <v>5</v>
      </c>
      <c r="E187" s="8">
        <v>4.1147438931370273</v>
      </c>
      <c r="F187" s="8">
        <v>0.88525610686297274</v>
      </c>
    </row>
    <row r="188" spans="3:6" x14ac:dyDescent="0.25">
      <c r="C188" s="9" t="s">
        <v>444</v>
      </c>
      <c r="D188" s="8">
        <v>5</v>
      </c>
      <c r="E188" s="8">
        <v>3.8777711019611472</v>
      </c>
      <c r="F188" s="8">
        <v>1.1222288980388528</v>
      </c>
    </row>
    <row r="189" spans="3:6" x14ac:dyDescent="0.25">
      <c r="C189" s="9" t="s">
        <v>300</v>
      </c>
      <c r="D189" s="8">
        <v>4</v>
      </c>
      <c r="E189" s="8">
        <v>4.3589349383463301</v>
      </c>
      <c r="F189" s="8">
        <v>-0.35893493834633006</v>
      </c>
    </row>
    <row r="190" spans="3:6" x14ac:dyDescent="0.25">
      <c r="C190" s="9" t="s">
        <v>301</v>
      </c>
      <c r="D190" s="8">
        <v>5</v>
      </c>
      <c r="E190" s="8">
        <v>3.7211873007293401</v>
      </c>
      <c r="F190" s="8">
        <v>1.2788126992706599</v>
      </c>
    </row>
    <row r="191" spans="3:6" x14ac:dyDescent="0.25">
      <c r="C191" s="9" t="s">
        <v>302</v>
      </c>
      <c r="D191" s="8">
        <v>5</v>
      </c>
      <c r="E191" s="8">
        <v>4.1099261235093367</v>
      </c>
      <c r="F191" s="8">
        <v>0.89007387649066327</v>
      </c>
    </row>
    <row r="192" spans="3:6" x14ac:dyDescent="0.25">
      <c r="C192" s="9" t="s">
        <v>303</v>
      </c>
      <c r="D192" s="8">
        <v>5</v>
      </c>
      <c r="E192" s="8">
        <v>4.0496565912245153</v>
      </c>
      <c r="F192" s="8">
        <v>0.95034340877548473</v>
      </c>
    </row>
    <row r="193" spans="3:6" x14ac:dyDescent="0.25">
      <c r="C193" s="9" t="s">
        <v>304</v>
      </c>
      <c r="D193" s="8">
        <v>5</v>
      </c>
      <c r="E193" s="8">
        <v>4.0352617774774124</v>
      </c>
      <c r="F193" s="8">
        <v>0.96473822252258756</v>
      </c>
    </row>
    <row r="194" spans="3:6" x14ac:dyDescent="0.25">
      <c r="C194" s="9" t="s">
        <v>305</v>
      </c>
      <c r="D194" s="8">
        <v>5</v>
      </c>
      <c r="E194" s="8">
        <v>3.7055467583147994</v>
      </c>
      <c r="F194" s="8">
        <v>1.2944532416852006</v>
      </c>
    </row>
    <row r="195" spans="3:6" x14ac:dyDescent="0.25">
      <c r="C195" s="9" t="s">
        <v>306</v>
      </c>
      <c r="D195" s="8">
        <v>5</v>
      </c>
      <c r="E195" s="8">
        <v>3.6246864856984624</v>
      </c>
      <c r="F195" s="8">
        <v>1.3753135143015376</v>
      </c>
    </row>
    <row r="196" spans="3:6" x14ac:dyDescent="0.25">
      <c r="C196" s="9" t="s">
        <v>307</v>
      </c>
      <c r="D196" s="8">
        <v>5</v>
      </c>
      <c r="E196" s="8">
        <v>4.0014008494180722</v>
      </c>
      <c r="F196" s="8">
        <v>0.99859915058192783</v>
      </c>
    </row>
    <row r="197" spans="3:6" x14ac:dyDescent="0.25">
      <c r="C197" s="9" t="s">
        <v>308</v>
      </c>
      <c r="D197" s="8">
        <v>5</v>
      </c>
      <c r="E197" s="8">
        <v>4.4224581083611074</v>
      </c>
      <c r="F197" s="8">
        <v>0.57754189163889258</v>
      </c>
    </row>
    <row r="198" spans="3:6" x14ac:dyDescent="0.25">
      <c r="C198" s="9" t="s">
        <v>309</v>
      </c>
      <c r="D198" s="8">
        <v>3</v>
      </c>
      <c r="E198" s="8">
        <v>4.1126403104338571</v>
      </c>
      <c r="F198" s="8">
        <v>-1.1126403104338571</v>
      </c>
    </row>
    <row r="199" spans="3:6" x14ac:dyDescent="0.25">
      <c r="C199" s="9" t="s">
        <v>310</v>
      </c>
      <c r="D199" s="8">
        <v>4</v>
      </c>
      <c r="E199" s="8">
        <v>4.6091668349845767</v>
      </c>
      <c r="F199" s="8">
        <v>-0.60916683498457669</v>
      </c>
    </row>
    <row r="200" spans="3:6" x14ac:dyDescent="0.25">
      <c r="C200" s="9" t="s">
        <v>311</v>
      </c>
      <c r="D200" s="8">
        <v>4</v>
      </c>
      <c r="E200" s="8">
        <v>4.1679277451729924</v>
      </c>
      <c r="F200" s="8">
        <v>-0.16792774517299236</v>
      </c>
    </row>
    <row r="201" spans="3:6" x14ac:dyDescent="0.25">
      <c r="C201" s="9" t="s">
        <v>312</v>
      </c>
      <c r="D201" s="8">
        <v>4</v>
      </c>
      <c r="E201" s="8">
        <v>4.4628015974231943</v>
      </c>
      <c r="F201" s="8">
        <v>-0.46280159742319427</v>
      </c>
    </row>
    <row r="202" spans="3:6" x14ac:dyDescent="0.25">
      <c r="C202" s="9" t="s">
        <v>313</v>
      </c>
      <c r="D202" s="8">
        <v>5</v>
      </c>
      <c r="E202" s="8">
        <v>3.7350054755796029</v>
      </c>
      <c r="F202" s="8">
        <v>1.2649945244203971</v>
      </c>
    </row>
    <row r="203" spans="3:6" x14ac:dyDescent="0.25">
      <c r="C203" s="9" t="s">
        <v>440</v>
      </c>
      <c r="D203" s="8">
        <v>3</v>
      </c>
      <c r="E203" s="8">
        <v>3.7942816578122787</v>
      </c>
      <c r="F203" s="8">
        <v>-0.79428165781227866</v>
      </c>
    </row>
    <row r="204" spans="3:6" x14ac:dyDescent="0.25">
      <c r="C204" s="9" t="s">
        <v>314</v>
      </c>
      <c r="D204" s="8">
        <v>3</v>
      </c>
      <c r="E204" s="8">
        <v>3.9739828593138951</v>
      </c>
      <c r="F204" s="8">
        <v>-0.97398285931389506</v>
      </c>
    </row>
    <row r="205" spans="3:6" x14ac:dyDescent="0.25">
      <c r="C205" s="9" t="s">
        <v>315</v>
      </c>
      <c r="D205" s="8">
        <v>4</v>
      </c>
      <c r="E205" s="8">
        <v>3.3817907248730776</v>
      </c>
      <c r="F205" s="8">
        <v>0.61820927512692236</v>
      </c>
    </row>
    <row r="206" spans="3:6" x14ac:dyDescent="0.25">
      <c r="C206" s="9" t="s">
        <v>462</v>
      </c>
      <c r="D206" s="8">
        <v>4</v>
      </c>
      <c r="E206" s="8">
        <v>3.8620307731971684</v>
      </c>
      <c r="F206" s="8">
        <v>0.13796922680283163</v>
      </c>
    </row>
    <row r="207" spans="3:6" x14ac:dyDescent="0.25">
      <c r="C207" s="9" t="s">
        <v>316</v>
      </c>
      <c r="D207" s="8">
        <v>4</v>
      </c>
      <c r="E207" s="8">
        <v>3.9203452693887613</v>
      </c>
      <c r="F207" s="8">
        <v>7.9654730611238733E-2</v>
      </c>
    </row>
    <row r="208" spans="3:6" x14ac:dyDescent="0.25">
      <c r="C208" s="9" t="s">
        <v>317</v>
      </c>
      <c r="D208" s="8">
        <v>3</v>
      </c>
      <c r="E208" s="8">
        <v>3.2737105714275678</v>
      </c>
      <c r="F208" s="8">
        <v>-0.27371057142756783</v>
      </c>
    </row>
    <row r="209" spans="3:6" x14ac:dyDescent="0.25">
      <c r="C209" s="9" t="s">
        <v>435</v>
      </c>
      <c r="D209" s="8">
        <v>5</v>
      </c>
      <c r="E209" s="8">
        <v>4.4001693574279104</v>
      </c>
      <c r="F209" s="8">
        <v>0.59983064257208962</v>
      </c>
    </row>
    <row r="210" spans="3:6" x14ac:dyDescent="0.25">
      <c r="C210" s="9" t="s">
        <v>318</v>
      </c>
      <c r="D210" s="8">
        <v>4</v>
      </c>
      <c r="E210" s="8">
        <v>4.0898812553311625</v>
      </c>
      <c r="F210" s="8">
        <v>-8.9881255331162535E-2</v>
      </c>
    </row>
    <row r="211" spans="3:6" x14ac:dyDescent="0.25">
      <c r="C211" s="9" t="s">
        <v>319</v>
      </c>
      <c r="D211" s="8">
        <v>4</v>
      </c>
      <c r="E211" s="8">
        <v>3.8571499345381324</v>
      </c>
      <c r="F211" s="8">
        <v>0.14285006546186763</v>
      </c>
    </row>
    <row r="212" spans="3:6" x14ac:dyDescent="0.25">
      <c r="C212" s="9" t="s">
        <v>320</v>
      </c>
      <c r="D212" s="8">
        <v>5</v>
      </c>
      <c r="E212" s="8">
        <v>4.3488673979263641</v>
      </c>
      <c r="F212" s="8">
        <v>0.65113260207363588</v>
      </c>
    </row>
    <row r="213" spans="3:6" x14ac:dyDescent="0.25">
      <c r="C213" s="9" t="s">
        <v>321</v>
      </c>
      <c r="D213" s="8">
        <v>2</v>
      </c>
      <c r="E213" s="8">
        <v>4.134102327049737</v>
      </c>
      <c r="F213" s="8">
        <v>-2.134102327049737</v>
      </c>
    </row>
    <row r="214" spans="3:6" x14ac:dyDescent="0.25">
      <c r="C214" s="9" t="s">
        <v>322</v>
      </c>
      <c r="D214" s="8">
        <v>4</v>
      </c>
      <c r="E214" s="8">
        <v>4.1236195737150556</v>
      </c>
      <c r="F214" s="8">
        <v>-0.12361957371505561</v>
      </c>
    </row>
    <row r="215" spans="3:6" x14ac:dyDescent="0.25">
      <c r="C215" s="9" t="s">
        <v>414</v>
      </c>
      <c r="D215" s="8">
        <v>5</v>
      </c>
      <c r="E215" s="8">
        <v>4.0069473893509793</v>
      </c>
      <c r="F215" s="8">
        <v>0.99305261064902073</v>
      </c>
    </row>
    <row r="216" spans="3:6" x14ac:dyDescent="0.25">
      <c r="C216" s="9" t="s">
        <v>323</v>
      </c>
      <c r="D216" s="8">
        <v>2</v>
      </c>
      <c r="E216" s="8">
        <v>3.8055590565577258</v>
      </c>
      <c r="F216" s="8">
        <v>-1.8055590565577258</v>
      </c>
    </row>
    <row r="217" spans="3:6" x14ac:dyDescent="0.25">
      <c r="C217" s="9" t="s">
        <v>324</v>
      </c>
      <c r="D217" s="8">
        <v>4</v>
      </c>
      <c r="E217" s="8">
        <v>3.5571470223194033</v>
      </c>
      <c r="F217" s="8">
        <v>0.44285297768059673</v>
      </c>
    </row>
    <row r="218" spans="3:6" x14ac:dyDescent="0.25">
      <c r="C218" s="9" t="s">
        <v>325</v>
      </c>
      <c r="D218" s="8">
        <v>5</v>
      </c>
      <c r="E218" s="8">
        <v>3.6233474834350523</v>
      </c>
      <c r="F218" s="8">
        <v>1.3766525165649477</v>
      </c>
    </row>
    <row r="219" spans="3:6" x14ac:dyDescent="0.25">
      <c r="C219" s="9" t="s">
        <v>326</v>
      </c>
      <c r="D219" s="8">
        <v>3</v>
      </c>
      <c r="E219" s="8">
        <v>4.126020794451609</v>
      </c>
      <c r="F219" s="8">
        <v>-1.126020794451609</v>
      </c>
    </row>
    <row r="220" spans="3:6" x14ac:dyDescent="0.25">
      <c r="C220" s="9" t="s">
        <v>327</v>
      </c>
      <c r="D220" s="8">
        <v>2</v>
      </c>
      <c r="E220" s="8">
        <v>3.2701327327285274</v>
      </c>
      <c r="F220" s="8">
        <v>-1.2701327327285274</v>
      </c>
    </row>
    <row r="221" spans="3:6" x14ac:dyDescent="0.25">
      <c r="C221" s="9" t="s">
        <v>328</v>
      </c>
      <c r="D221" s="8">
        <v>3</v>
      </c>
      <c r="E221" s="8">
        <v>3.8058861057728253</v>
      </c>
      <c r="F221" s="8">
        <v>-0.80588610577282527</v>
      </c>
    </row>
    <row r="222" spans="3:6" x14ac:dyDescent="0.25">
      <c r="C222" s="9" t="s">
        <v>329</v>
      </c>
      <c r="D222" s="8">
        <v>5</v>
      </c>
      <c r="E222" s="8">
        <v>4.2023373801944102</v>
      </c>
      <c r="F222" s="8">
        <v>0.79766261980558983</v>
      </c>
    </row>
    <row r="223" spans="3:6" x14ac:dyDescent="0.25">
      <c r="C223" s="9" t="s">
        <v>330</v>
      </c>
      <c r="D223" s="8">
        <v>4</v>
      </c>
      <c r="E223" s="8">
        <v>4.6084674919806243</v>
      </c>
      <c r="F223" s="8">
        <v>-0.60846749198062433</v>
      </c>
    </row>
    <row r="224" spans="3:6" x14ac:dyDescent="0.25">
      <c r="C224" s="9" t="s">
        <v>331</v>
      </c>
      <c r="D224" s="8">
        <v>5</v>
      </c>
      <c r="E224" s="8">
        <v>4.2384813261511143</v>
      </c>
      <c r="F224" s="8">
        <v>0.76151867384888572</v>
      </c>
    </row>
    <row r="225" spans="3:6" x14ac:dyDescent="0.25">
      <c r="C225" s="9" t="s">
        <v>332</v>
      </c>
      <c r="D225" s="8">
        <v>5</v>
      </c>
      <c r="E225" s="8">
        <v>4.2130299751036606</v>
      </c>
      <c r="F225" s="8">
        <v>0.78697002489633938</v>
      </c>
    </row>
    <row r="226" spans="3:6" x14ac:dyDescent="0.25">
      <c r="C226" s="9" t="s">
        <v>333</v>
      </c>
      <c r="D226" s="8">
        <v>5</v>
      </c>
      <c r="E226" s="8">
        <v>4.2716817341444138</v>
      </c>
      <c r="F226" s="8">
        <v>0.72831826585558623</v>
      </c>
    </row>
    <row r="227" spans="3:6" x14ac:dyDescent="0.25">
      <c r="C227" s="9" t="s">
        <v>334</v>
      </c>
      <c r="D227" s="8">
        <v>5</v>
      </c>
      <c r="E227" s="8">
        <v>3.7073906104615246</v>
      </c>
      <c r="F227" s="8">
        <v>1.2926093895384754</v>
      </c>
    </row>
    <row r="228" spans="3:6" x14ac:dyDescent="0.25">
      <c r="C228" s="9" t="s">
        <v>464</v>
      </c>
      <c r="D228" s="8">
        <v>5</v>
      </c>
      <c r="E228" s="8">
        <v>4.4004595595082323</v>
      </c>
      <c r="F228" s="8">
        <v>0.59954044049176769</v>
      </c>
    </row>
    <row r="229" spans="3:6" x14ac:dyDescent="0.25">
      <c r="C229" s="9" t="s">
        <v>335</v>
      </c>
      <c r="D229" s="8">
        <v>3</v>
      </c>
      <c r="E229" s="8">
        <v>3.1927409176750934</v>
      </c>
      <c r="F229" s="8">
        <v>-0.19274091767509338</v>
      </c>
    </row>
    <row r="230" spans="3:6" x14ac:dyDescent="0.25">
      <c r="C230" s="9" t="s">
        <v>425</v>
      </c>
      <c r="D230" s="8">
        <v>4</v>
      </c>
      <c r="E230" s="8">
        <v>3.8030400646403688</v>
      </c>
      <c r="F230" s="8">
        <v>0.19695993535963119</v>
      </c>
    </row>
    <row r="231" spans="3:6" x14ac:dyDescent="0.25">
      <c r="C231" s="9" t="s">
        <v>336</v>
      </c>
      <c r="D231" s="8">
        <v>5</v>
      </c>
      <c r="E231" s="8">
        <v>4.4050120653507072</v>
      </c>
      <c r="F231" s="8">
        <v>0.59498793464929278</v>
      </c>
    </row>
    <row r="232" spans="3:6" x14ac:dyDescent="0.25">
      <c r="C232" s="9" t="s">
        <v>337</v>
      </c>
      <c r="D232" s="8">
        <v>4</v>
      </c>
      <c r="E232" s="8">
        <v>3.9017035804869131</v>
      </c>
      <c r="F232" s="8">
        <v>9.8296419513086875E-2</v>
      </c>
    </row>
    <row r="233" spans="3:6" x14ac:dyDescent="0.25">
      <c r="C233" s="9" t="s">
        <v>338</v>
      </c>
      <c r="D233" s="8">
        <v>5</v>
      </c>
      <c r="E233" s="8">
        <v>4.4001693574279104</v>
      </c>
      <c r="F233" s="8">
        <v>0.59983064257208962</v>
      </c>
    </row>
    <row r="234" spans="3:6" x14ac:dyDescent="0.25">
      <c r="C234" s="9" t="s">
        <v>429</v>
      </c>
      <c r="D234" s="8">
        <v>5</v>
      </c>
      <c r="E234" s="8">
        <v>4.7533841081344352</v>
      </c>
      <c r="F234" s="8">
        <v>0.24661589186556476</v>
      </c>
    </row>
    <row r="235" spans="3:6" x14ac:dyDescent="0.25">
      <c r="C235" s="9" t="s">
        <v>339</v>
      </c>
      <c r="D235" s="8">
        <v>5</v>
      </c>
      <c r="E235" s="8">
        <v>4.1774382859438122</v>
      </c>
      <c r="F235" s="8">
        <v>0.82256171405618783</v>
      </c>
    </row>
    <row r="236" spans="3:6" x14ac:dyDescent="0.25">
      <c r="C236" s="9" t="s">
        <v>340</v>
      </c>
      <c r="D236" s="8">
        <v>4</v>
      </c>
      <c r="E236" s="8">
        <v>3.6520865814284003</v>
      </c>
      <c r="F236" s="8">
        <v>0.34791341857159974</v>
      </c>
    </row>
    <row r="237" spans="3:6" x14ac:dyDescent="0.25">
      <c r="C237" s="9" t="s">
        <v>341</v>
      </c>
      <c r="D237" s="8">
        <v>5</v>
      </c>
      <c r="E237" s="8">
        <v>4.0948219577390947</v>
      </c>
      <c r="F237" s="8">
        <v>0.90517804226090526</v>
      </c>
    </row>
    <row r="238" spans="3:6" x14ac:dyDescent="0.25">
      <c r="C238" s="9" t="s">
        <v>342</v>
      </c>
      <c r="D238" s="8">
        <v>2</v>
      </c>
      <c r="E238" s="8">
        <v>4.3080990364148501</v>
      </c>
      <c r="F238" s="8">
        <v>-2.3080990364148501</v>
      </c>
    </row>
    <row r="239" spans="3:6" x14ac:dyDescent="0.25">
      <c r="C239" s="9" t="s">
        <v>343</v>
      </c>
      <c r="D239" s="8">
        <v>5</v>
      </c>
      <c r="E239" s="8">
        <v>4.1393848407741407</v>
      </c>
      <c r="F239" s="8">
        <v>0.86061515922585929</v>
      </c>
    </row>
    <row r="240" spans="3:6" x14ac:dyDescent="0.25">
      <c r="C240" s="9" t="s">
        <v>470</v>
      </c>
      <c r="D240" s="8">
        <v>2</v>
      </c>
      <c r="E240" s="8">
        <v>3.8001842592237853</v>
      </c>
      <c r="F240" s="8">
        <v>-1.8001842592237853</v>
      </c>
    </row>
    <row r="241" spans="3:6" x14ac:dyDescent="0.25">
      <c r="C241" s="9" t="s">
        <v>344</v>
      </c>
      <c r="D241" s="8">
        <v>4</v>
      </c>
      <c r="E241" s="8">
        <v>3.724182702792751</v>
      </c>
      <c r="F241" s="8">
        <v>0.27581729720724901</v>
      </c>
    </row>
    <row r="242" spans="3:6" x14ac:dyDescent="0.25">
      <c r="C242" s="9" t="s">
        <v>345</v>
      </c>
      <c r="D242" s="8">
        <v>5</v>
      </c>
      <c r="E242" s="8">
        <v>4.1936012549846442</v>
      </c>
      <c r="F242" s="8">
        <v>0.8063987450153558</v>
      </c>
    </row>
    <row r="243" spans="3:6" x14ac:dyDescent="0.25">
      <c r="C243" s="9" t="s">
        <v>465</v>
      </c>
      <c r="D243" s="8">
        <v>5</v>
      </c>
      <c r="E243" s="8">
        <v>3.5590189509375736</v>
      </c>
      <c r="F243" s="8">
        <v>1.4409810490624264</v>
      </c>
    </row>
    <row r="244" spans="3:6" x14ac:dyDescent="0.25">
      <c r="C244" s="9" t="s">
        <v>346</v>
      </c>
      <c r="D244" s="8">
        <v>4</v>
      </c>
      <c r="E244" s="8">
        <v>4.4527775762607398</v>
      </c>
      <c r="F244" s="8">
        <v>-0.45277757626073978</v>
      </c>
    </row>
    <row r="245" spans="3:6" x14ac:dyDescent="0.25">
      <c r="C245" s="9" t="s">
        <v>347</v>
      </c>
      <c r="D245" s="8">
        <v>5</v>
      </c>
      <c r="E245" s="8">
        <v>3.9277035155162552</v>
      </c>
      <c r="F245" s="8">
        <v>1.0722964844837448</v>
      </c>
    </row>
    <row r="246" spans="3:6" x14ac:dyDescent="0.25">
      <c r="C246" s="9" t="s">
        <v>348</v>
      </c>
      <c r="D246" s="8">
        <v>5</v>
      </c>
      <c r="E246" s="8">
        <v>4.3080990364148501</v>
      </c>
      <c r="F246" s="8">
        <v>0.69190096358514985</v>
      </c>
    </row>
    <row r="247" spans="3:6" x14ac:dyDescent="0.25">
      <c r="C247" s="9" t="s">
        <v>349</v>
      </c>
      <c r="D247" s="8">
        <v>4</v>
      </c>
      <c r="E247" s="8">
        <v>3.6917285834645366</v>
      </c>
      <c r="F247" s="8">
        <v>0.30827141653546342</v>
      </c>
    </row>
    <row r="248" spans="3:6" x14ac:dyDescent="0.25">
      <c r="C248" s="9" t="s">
        <v>431</v>
      </c>
      <c r="D248" s="8">
        <v>4</v>
      </c>
      <c r="E248" s="8">
        <v>4.1799505278470175</v>
      </c>
      <c r="F248" s="8">
        <v>-0.17995052784701748</v>
      </c>
    </row>
    <row r="249" spans="3:6" x14ac:dyDescent="0.25">
      <c r="C249" s="9" t="s">
        <v>350</v>
      </c>
      <c r="D249" s="8">
        <v>4</v>
      </c>
      <c r="E249" s="8">
        <v>3.3644987906045767</v>
      </c>
      <c r="F249" s="8">
        <v>0.63550120939542332</v>
      </c>
    </row>
    <row r="250" spans="3:6" x14ac:dyDescent="0.25">
      <c r="C250" s="9" t="s">
        <v>351</v>
      </c>
      <c r="D250" s="8">
        <v>5</v>
      </c>
      <c r="E250" s="8">
        <v>4.2515609860664529</v>
      </c>
      <c r="F250" s="8">
        <v>0.74843901393354706</v>
      </c>
    </row>
    <row r="251" spans="3:6" x14ac:dyDescent="0.25">
      <c r="C251" s="9" t="s">
        <v>352</v>
      </c>
      <c r="D251" s="8">
        <v>4</v>
      </c>
      <c r="E251" s="8">
        <v>3.7033079218791691</v>
      </c>
      <c r="F251" s="8">
        <v>0.29669207812083087</v>
      </c>
    </row>
    <row r="252" spans="3:6" x14ac:dyDescent="0.25">
      <c r="C252" s="9" t="s">
        <v>426</v>
      </c>
      <c r="D252" s="8">
        <v>4</v>
      </c>
      <c r="E252" s="8">
        <v>4.4473174279862295</v>
      </c>
      <c r="F252" s="8">
        <v>-0.44731742798622953</v>
      </c>
    </row>
    <row r="253" spans="3:6" x14ac:dyDescent="0.25">
      <c r="C253" s="9" t="s">
        <v>353</v>
      </c>
      <c r="D253" s="8">
        <v>5</v>
      </c>
      <c r="E253" s="8">
        <v>4.1613145833690659</v>
      </c>
      <c r="F253" s="8">
        <v>0.8386854166309341</v>
      </c>
    </row>
    <row r="254" spans="3:6" x14ac:dyDescent="0.25">
      <c r="C254" s="9" t="s">
        <v>354</v>
      </c>
      <c r="D254" s="8">
        <v>5</v>
      </c>
      <c r="E254" s="8">
        <v>3.9492442402964407</v>
      </c>
      <c r="F254" s="8">
        <v>1.0507557597035593</v>
      </c>
    </row>
    <row r="255" spans="3:6" x14ac:dyDescent="0.25">
      <c r="C255" s="9" t="s">
        <v>355</v>
      </c>
      <c r="D255" s="8">
        <v>5</v>
      </c>
      <c r="E255" s="8">
        <v>4.2384813261511143</v>
      </c>
      <c r="F255" s="8">
        <v>0.76151867384888572</v>
      </c>
    </row>
    <row r="256" spans="3:6" x14ac:dyDescent="0.25">
      <c r="C256" s="9" t="s">
        <v>356</v>
      </c>
      <c r="D256" s="8">
        <v>5</v>
      </c>
      <c r="E256" s="8">
        <v>4.3813163528505825</v>
      </c>
      <c r="F256" s="8">
        <v>0.61868364714941748</v>
      </c>
    </row>
    <row r="257" spans="3:6" x14ac:dyDescent="0.25">
      <c r="C257" s="9" t="s">
        <v>357</v>
      </c>
      <c r="D257" s="8">
        <v>5</v>
      </c>
      <c r="E257" s="8">
        <v>4.3589349383463301</v>
      </c>
      <c r="F257" s="8">
        <v>0.64106506165366994</v>
      </c>
    </row>
    <row r="258" spans="3:6" x14ac:dyDescent="0.25">
      <c r="C258" s="9" t="s">
        <v>358</v>
      </c>
      <c r="D258" s="8">
        <v>5</v>
      </c>
      <c r="E258" s="8">
        <v>4.4182116180098703</v>
      </c>
      <c r="F258" s="8">
        <v>0.58178838199012972</v>
      </c>
    </row>
    <row r="259" spans="3:6" x14ac:dyDescent="0.25">
      <c r="C259" s="9" t="s">
        <v>359</v>
      </c>
      <c r="D259" s="8">
        <v>5</v>
      </c>
      <c r="E259" s="8">
        <v>4.1161991424057707</v>
      </c>
      <c r="F259" s="8">
        <v>0.88380085759422933</v>
      </c>
    </row>
    <row r="260" spans="3:6" x14ac:dyDescent="0.25">
      <c r="C260" s="9" t="s">
        <v>360</v>
      </c>
      <c r="D260" s="8">
        <v>5</v>
      </c>
      <c r="E260" s="8">
        <v>4.1679277451729924</v>
      </c>
      <c r="F260" s="8">
        <v>0.83207225482700764</v>
      </c>
    </row>
    <row r="261" spans="3:6" x14ac:dyDescent="0.25">
      <c r="C261" s="9" t="s">
        <v>361</v>
      </c>
      <c r="D261" s="8">
        <v>5</v>
      </c>
      <c r="E261" s="8">
        <v>4.6662570240531114</v>
      </c>
      <c r="F261" s="8">
        <v>0.33374297594688862</v>
      </c>
    </row>
    <row r="262" spans="3:6" x14ac:dyDescent="0.25">
      <c r="C262" s="9" t="s">
        <v>468</v>
      </c>
      <c r="D262" s="8">
        <v>3</v>
      </c>
      <c r="E262" s="8">
        <v>4.2018139602327711</v>
      </c>
      <c r="F262" s="8">
        <v>-1.2018139602327711</v>
      </c>
    </row>
    <row r="263" spans="3:6" x14ac:dyDescent="0.25">
      <c r="C263" s="9" t="s">
        <v>362</v>
      </c>
      <c r="D263" s="8">
        <v>4</v>
      </c>
      <c r="E263" s="8">
        <v>3.9276381294226681</v>
      </c>
      <c r="F263" s="8">
        <v>7.2361870577331899E-2</v>
      </c>
    </row>
    <row r="264" spans="3:6" x14ac:dyDescent="0.25">
      <c r="C264" s="9" t="s">
        <v>363</v>
      </c>
      <c r="D264" s="8">
        <v>5</v>
      </c>
      <c r="E264" s="8">
        <v>3.8454844303455689</v>
      </c>
      <c r="F264" s="8">
        <v>1.1545155696544311</v>
      </c>
    </row>
    <row r="265" spans="3:6" x14ac:dyDescent="0.25">
      <c r="C265" s="9" t="s">
        <v>432</v>
      </c>
      <c r="D265" s="8">
        <v>5</v>
      </c>
      <c r="E265" s="8">
        <v>3.9064706968794196</v>
      </c>
      <c r="F265" s="8">
        <v>1.0935293031205804</v>
      </c>
    </row>
    <row r="266" spans="3:6" x14ac:dyDescent="0.25">
      <c r="C266" s="9" t="s">
        <v>364</v>
      </c>
      <c r="D266" s="8">
        <v>5</v>
      </c>
      <c r="E266" s="8">
        <v>3.7307768238670569</v>
      </c>
      <c r="F266" s="8">
        <v>1.2692231761329431</v>
      </c>
    </row>
    <row r="267" spans="3:6" x14ac:dyDescent="0.25">
      <c r="C267" s="9" t="s">
        <v>411</v>
      </c>
      <c r="D267" s="8">
        <v>4</v>
      </c>
      <c r="E267" s="8">
        <v>3.8641203748235204</v>
      </c>
      <c r="F267" s="8">
        <v>0.13587962517647956</v>
      </c>
    </row>
    <row r="268" spans="3:6" x14ac:dyDescent="0.25">
      <c r="C268" s="9" t="s">
        <v>437</v>
      </c>
      <c r="D268" s="8">
        <v>5</v>
      </c>
      <c r="E268" s="8">
        <v>3.8296429764885889</v>
      </c>
      <c r="F268" s="8">
        <v>1.1703570235114111</v>
      </c>
    </row>
    <row r="269" spans="3:6" x14ac:dyDescent="0.25">
      <c r="C269" s="9" t="s">
        <v>365</v>
      </c>
      <c r="D269" s="8">
        <v>5</v>
      </c>
      <c r="E269" s="8">
        <v>4.3463266218215484</v>
      </c>
      <c r="F269" s="8">
        <v>0.65367337817845161</v>
      </c>
    </row>
    <row r="270" spans="3:6" x14ac:dyDescent="0.25">
      <c r="C270" s="9" t="s">
        <v>366</v>
      </c>
      <c r="D270" s="8">
        <v>5</v>
      </c>
      <c r="E270" s="8">
        <v>4.1761580650330048</v>
      </c>
      <c r="F270" s="8">
        <v>0.8238419349669952</v>
      </c>
    </row>
    <row r="271" spans="3:6" x14ac:dyDescent="0.25">
      <c r="C271" s="9" t="s">
        <v>367</v>
      </c>
      <c r="D271" s="8">
        <v>4</v>
      </c>
      <c r="E271" s="8">
        <v>3.7942816578122787</v>
      </c>
      <c r="F271" s="8">
        <v>0.20571834218772134</v>
      </c>
    </row>
    <row r="272" spans="3:6" x14ac:dyDescent="0.25">
      <c r="C272" s="9" t="s">
        <v>368</v>
      </c>
      <c r="D272" s="8">
        <v>5</v>
      </c>
      <c r="E272" s="8">
        <v>3.7033079218791691</v>
      </c>
      <c r="F272" s="8">
        <v>1.2966920781208309</v>
      </c>
    </row>
    <row r="273" spans="3:6" x14ac:dyDescent="0.25">
      <c r="C273" s="9" t="s">
        <v>369</v>
      </c>
      <c r="D273" s="8">
        <v>5</v>
      </c>
      <c r="E273" s="8">
        <v>4.4475309137729093</v>
      </c>
      <c r="F273" s="8">
        <v>0.55246908622709068</v>
      </c>
    </row>
    <row r="274" spans="3:6" x14ac:dyDescent="0.25">
      <c r="C274" s="9" t="s">
        <v>370</v>
      </c>
      <c r="D274" s="8">
        <v>4</v>
      </c>
      <c r="E274" s="8">
        <v>3.9628809863572494</v>
      </c>
      <c r="F274" s="8">
        <v>3.7119013642750609E-2</v>
      </c>
    </row>
    <row r="275" spans="3:6" x14ac:dyDescent="0.25">
      <c r="C275" s="9" t="s">
        <v>371</v>
      </c>
      <c r="D275" s="8">
        <v>5</v>
      </c>
      <c r="E275" s="8">
        <v>4.4869144689575124</v>
      </c>
      <c r="F275" s="8">
        <v>0.51308553104248755</v>
      </c>
    </row>
    <row r="276" spans="3:6" x14ac:dyDescent="0.25">
      <c r="C276" s="9" t="s">
        <v>433</v>
      </c>
      <c r="D276" s="8">
        <v>5</v>
      </c>
      <c r="E276" s="8">
        <v>4.4988328732744556</v>
      </c>
      <c r="F276" s="8">
        <v>0.50116712672554442</v>
      </c>
    </row>
    <row r="277" spans="3:6" x14ac:dyDescent="0.25">
      <c r="C277" s="9" t="s">
        <v>372</v>
      </c>
      <c r="D277" s="8">
        <v>3</v>
      </c>
      <c r="E277" s="8">
        <v>3.6842858632065187</v>
      </c>
      <c r="F277" s="8">
        <v>-0.68428586320651874</v>
      </c>
    </row>
    <row r="278" spans="3:6" x14ac:dyDescent="0.25">
      <c r="C278" s="9" t="s">
        <v>373</v>
      </c>
      <c r="D278" s="8">
        <v>5</v>
      </c>
      <c r="E278" s="8">
        <v>4.3463266218215484</v>
      </c>
      <c r="F278" s="8">
        <v>0.65367337817845161</v>
      </c>
    </row>
    <row r="279" spans="3:6" x14ac:dyDescent="0.25">
      <c r="C279" s="9" t="s">
        <v>374</v>
      </c>
      <c r="D279" s="8">
        <v>4</v>
      </c>
      <c r="E279" s="8">
        <v>3.2737105714275678</v>
      </c>
      <c r="F279" s="8">
        <v>0.72628942857243217</v>
      </c>
    </row>
    <row r="280" spans="3:6" x14ac:dyDescent="0.25">
      <c r="C280" s="9" t="s">
        <v>460</v>
      </c>
      <c r="D280" s="8">
        <v>4</v>
      </c>
      <c r="E280" s="8">
        <v>3.5303710115711011</v>
      </c>
      <c r="F280" s="8">
        <v>0.46962898842889889</v>
      </c>
    </row>
    <row r="281" spans="3:6" x14ac:dyDescent="0.25">
      <c r="C281" s="9" t="s">
        <v>375</v>
      </c>
      <c r="D281" s="8">
        <v>5</v>
      </c>
      <c r="E281" s="8">
        <v>4.7533841081344352</v>
      </c>
      <c r="F281" s="8">
        <v>0.24661589186556476</v>
      </c>
    </row>
    <row r="282" spans="3:6" x14ac:dyDescent="0.25">
      <c r="C282" s="9" t="s">
        <v>376</v>
      </c>
      <c r="D282" s="8">
        <v>5</v>
      </c>
      <c r="E282" s="8">
        <v>4.7073288111207194</v>
      </c>
      <c r="F282" s="8">
        <v>0.29267118887928056</v>
      </c>
    </row>
    <row r="283" spans="3:6" x14ac:dyDescent="0.25">
      <c r="C283" s="9" t="s">
        <v>377</v>
      </c>
      <c r="D283" s="8">
        <v>5</v>
      </c>
      <c r="E283" s="8">
        <v>4.4628015974231943</v>
      </c>
      <c r="F283" s="8">
        <v>0.53719840257680573</v>
      </c>
    </row>
    <row r="284" spans="3:6" x14ac:dyDescent="0.25">
      <c r="C284" s="9" t="s">
        <v>378</v>
      </c>
      <c r="D284" s="8">
        <v>4</v>
      </c>
      <c r="E284" s="8">
        <v>4.1799505278470175</v>
      </c>
      <c r="F284" s="8">
        <v>-0.17995052784701748</v>
      </c>
    </row>
    <row r="285" spans="3:6" x14ac:dyDescent="0.25">
      <c r="C285" s="9" t="s">
        <v>379</v>
      </c>
      <c r="D285" s="8">
        <v>5</v>
      </c>
      <c r="E285" s="8">
        <v>4.1778609262206654</v>
      </c>
      <c r="F285" s="8">
        <v>0.82213907377933459</v>
      </c>
    </row>
    <row r="286" spans="3:6" x14ac:dyDescent="0.25">
      <c r="C286" s="9" t="s">
        <v>380</v>
      </c>
      <c r="D286" s="8">
        <v>4</v>
      </c>
      <c r="E286" s="8">
        <v>4.1785602692246178</v>
      </c>
      <c r="F286" s="8">
        <v>-0.17856026922461776</v>
      </c>
    </row>
    <row r="287" spans="3:6" x14ac:dyDescent="0.25">
      <c r="C287" s="9" t="s">
        <v>381</v>
      </c>
      <c r="D287" s="8">
        <v>5</v>
      </c>
      <c r="E287" s="8">
        <v>4.3907814263325378</v>
      </c>
      <c r="F287" s="8">
        <v>0.60921857366746224</v>
      </c>
    </row>
    <row r="288" spans="3:6" x14ac:dyDescent="0.25">
      <c r="C288" s="9" t="s">
        <v>446</v>
      </c>
      <c r="D288" s="8">
        <v>5</v>
      </c>
      <c r="E288" s="8">
        <v>4.2659584664823784</v>
      </c>
      <c r="F288" s="8">
        <v>0.73404153351762158</v>
      </c>
    </row>
    <row r="289" spans="3:6" x14ac:dyDescent="0.25">
      <c r="C289" s="9" t="s">
        <v>474</v>
      </c>
      <c r="D289" s="8">
        <v>2</v>
      </c>
      <c r="E289" s="8">
        <v>3.7668629941648621</v>
      </c>
      <c r="F289" s="8">
        <v>-1.7668629941648621</v>
      </c>
    </row>
    <row r="290" spans="3:6" x14ac:dyDescent="0.25">
      <c r="C290" s="9" t="s">
        <v>413</v>
      </c>
      <c r="D290" s="8">
        <v>5</v>
      </c>
      <c r="E290" s="8">
        <v>4.3773746552272916</v>
      </c>
      <c r="F290" s="8">
        <v>0.62262534477270837</v>
      </c>
    </row>
    <row r="291" spans="3:6" x14ac:dyDescent="0.25">
      <c r="C291" s="9" t="s">
        <v>453</v>
      </c>
      <c r="D291" s="8">
        <v>1</v>
      </c>
      <c r="E291" s="8">
        <v>3.4997864812469772</v>
      </c>
      <c r="F291" s="8">
        <v>-2.4997864812469772</v>
      </c>
    </row>
    <row r="292" spans="3:6" x14ac:dyDescent="0.25">
      <c r="C292" s="9" t="s">
        <v>382</v>
      </c>
      <c r="D292" s="8">
        <v>3</v>
      </c>
      <c r="E292" s="8">
        <v>3.6964418405179904</v>
      </c>
      <c r="F292" s="8">
        <v>-0.69644184051799041</v>
      </c>
    </row>
    <row r="293" spans="3:6" x14ac:dyDescent="0.25">
      <c r="C293" s="9" t="s">
        <v>383</v>
      </c>
      <c r="D293" s="8">
        <v>2</v>
      </c>
      <c r="E293" s="8">
        <v>3.9503269214392462</v>
      </c>
      <c r="F293" s="8">
        <v>-1.9503269214392462</v>
      </c>
    </row>
    <row r="294" spans="3:6" x14ac:dyDescent="0.25">
      <c r="C294" s="9" t="s">
        <v>384</v>
      </c>
      <c r="D294" s="8">
        <v>4</v>
      </c>
      <c r="E294" s="8">
        <v>4.3488673979263641</v>
      </c>
      <c r="F294" s="8">
        <v>-0.34886739792636412</v>
      </c>
    </row>
    <row r="295" spans="3:6" x14ac:dyDescent="0.25">
      <c r="C295" s="9" t="s">
        <v>385</v>
      </c>
      <c r="D295" s="8">
        <v>4</v>
      </c>
      <c r="E295" s="8">
        <v>4.0826931471883592</v>
      </c>
      <c r="F295" s="8">
        <v>-8.2693147188359184E-2</v>
      </c>
    </row>
    <row r="296" spans="3:6" x14ac:dyDescent="0.25">
      <c r="C296" s="9" t="s">
        <v>386</v>
      </c>
      <c r="D296" s="8">
        <v>4</v>
      </c>
      <c r="E296" s="8">
        <v>3.4234698955041756</v>
      </c>
      <c r="F296" s="8">
        <v>0.57653010449582442</v>
      </c>
    </row>
    <row r="297" spans="3:6" x14ac:dyDescent="0.25">
      <c r="C297" s="9" t="s">
        <v>387</v>
      </c>
      <c r="D297" s="8">
        <v>2</v>
      </c>
      <c r="E297" s="8">
        <v>3.7350054755796029</v>
      </c>
      <c r="F297" s="8">
        <v>-1.7350054755796029</v>
      </c>
    </row>
    <row r="298" spans="3:6" x14ac:dyDescent="0.25">
      <c r="C298" s="9" t="s">
        <v>421</v>
      </c>
      <c r="D298" s="8">
        <v>5</v>
      </c>
      <c r="E298" s="8">
        <v>4.1533990099303102</v>
      </c>
      <c r="F298" s="8">
        <v>0.84660099006968981</v>
      </c>
    </row>
    <row r="299" spans="3:6" x14ac:dyDescent="0.25">
      <c r="C299" s="9" t="s">
        <v>388</v>
      </c>
      <c r="D299" s="8">
        <v>5</v>
      </c>
      <c r="E299" s="8">
        <v>3.9550072450611196</v>
      </c>
      <c r="F299" s="8">
        <v>1.0449927549388804</v>
      </c>
    </row>
    <row r="300" spans="3:6" x14ac:dyDescent="0.25">
      <c r="C300" s="9" t="s">
        <v>389</v>
      </c>
      <c r="D300" s="8">
        <v>5</v>
      </c>
      <c r="E300" s="8">
        <v>4.4869144689575124</v>
      </c>
      <c r="F300" s="8">
        <v>0.51308553104248755</v>
      </c>
    </row>
    <row r="301" spans="3:6" x14ac:dyDescent="0.25">
      <c r="C301" s="9" t="s">
        <v>428</v>
      </c>
      <c r="D301" s="8">
        <v>3</v>
      </c>
      <c r="E301" s="8">
        <v>3.8225054520944735</v>
      </c>
      <c r="F301" s="8">
        <v>-0.82250545209447345</v>
      </c>
    </row>
    <row r="302" spans="3:6" x14ac:dyDescent="0.25">
      <c r="C302" s="9" t="s">
        <v>390</v>
      </c>
      <c r="D302" s="8">
        <v>4</v>
      </c>
      <c r="E302" s="8">
        <v>4.3911462945726463</v>
      </c>
      <c r="F302" s="8">
        <v>-0.39114629457264627</v>
      </c>
    </row>
    <row r="303" spans="3:6" x14ac:dyDescent="0.25">
      <c r="C303" s="9" t="s">
        <v>445</v>
      </c>
      <c r="D303" s="8">
        <v>5</v>
      </c>
      <c r="E303" s="8">
        <v>3.9648371867831833</v>
      </c>
      <c r="F303" s="8">
        <v>1.0351628132168167</v>
      </c>
    </row>
    <row r="304" spans="3:6" x14ac:dyDescent="0.25">
      <c r="C304" s="9" t="s">
        <v>391</v>
      </c>
      <c r="D304" s="8">
        <v>5</v>
      </c>
      <c r="E304" s="8">
        <v>4.2212415181668206</v>
      </c>
      <c r="F304" s="8">
        <v>0.77875848183317942</v>
      </c>
    </row>
    <row r="305" spans="3:6" x14ac:dyDescent="0.25">
      <c r="C305" s="9" t="s">
        <v>392</v>
      </c>
      <c r="D305" s="8">
        <v>5</v>
      </c>
      <c r="E305" s="8">
        <v>4.2784066999389578</v>
      </c>
      <c r="F305" s="8">
        <v>0.72159330006104216</v>
      </c>
    </row>
    <row r="306" spans="3:6" x14ac:dyDescent="0.25">
      <c r="C306" s="9" t="s">
        <v>393</v>
      </c>
      <c r="D306" s="8">
        <v>1</v>
      </c>
      <c r="E306" s="8">
        <v>3.2905807349693816</v>
      </c>
      <c r="F306" s="8">
        <v>-2.2905807349693816</v>
      </c>
    </row>
    <row r="307" spans="3:6" x14ac:dyDescent="0.25">
      <c r="C307" s="9" t="s">
        <v>394</v>
      </c>
      <c r="D307" s="8">
        <v>4</v>
      </c>
      <c r="E307" s="8">
        <v>4.3212538164097465</v>
      </c>
      <c r="F307" s="8">
        <v>-0.32125381640974648</v>
      </c>
    </row>
    <row r="308" spans="3:6" x14ac:dyDescent="0.25">
      <c r="C308" s="9" t="s">
        <v>430</v>
      </c>
      <c r="D308" s="8">
        <v>5</v>
      </c>
      <c r="E308" s="8">
        <v>4.1375129121559686</v>
      </c>
      <c r="F308" s="8">
        <v>0.86248708784403139</v>
      </c>
    </row>
    <row r="309" spans="3:6" x14ac:dyDescent="0.25">
      <c r="C309" s="9" t="s">
        <v>395</v>
      </c>
      <c r="D309" s="8">
        <v>5</v>
      </c>
      <c r="E309" s="8">
        <v>4.1126403104338571</v>
      </c>
      <c r="F309" s="8">
        <v>0.88735968956614286</v>
      </c>
    </row>
    <row r="310" spans="3:6" x14ac:dyDescent="0.25">
      <c r="C310" s="9" t="s">
        <v>396</v>
      </c>
      <c r="D310" s="8">
        <v>5</v>
      </c>
      <c r="E310" s="8">
        <v>4.0891819123272102</v>
      </c>
      <c r="F310" s="8">
        <v>0.91081808767278982</v>
      </c>
    </row>
    <row r="311" spans="3:6" x14ac:dyDescent="0.25">
      <c r="C311" s="9" t="s">
        <v>397</v>
      </c>
      <c r="D311" s="8">
        <v>5</v>
      </c>
      <c r="E311" s="8">
        <v>4.408111334657776</v>
      </c>
      <c r="F311" s="8">
        <v>0.59188866534222395</v>
      </c>
    </row>
    <row r="312" spans="3:6" x14ac:dyDescent="0.25">
      <c r="C312" s="9" t="s">
        <v>398</v>
      </c>
      <c r="D312" s="8">
        <v>4</v>
      </c>
      <c r="E312" s="8">
        <v>4.1682926134131009</v>
      </c>
      <c r="F312" s="8">
        <v>-0.16829261341310087</v>
      </c>
    </row>
    <row r="313" spans="3:6" x14ac:dyDescent="0.25">
      <c r="C313" s="9" t="s">
        <v>399</v>
      </c>
      <c r="D313" s="8">
        <v>3</v>
      </c>
      <c r="E313" s="8">
        <v>3.7073906104615246</v>
      </c>
      <c r="F313" s="8">
        <v>-0.70739061046152463</v>
      </c>
    </row>
    <row r="314" spans="3:6" x14ac:dyDescent="0.25">
      <c r="C314" s="9" t="s">
        <v>400</v>
      </c>
      <c r="D314" s="8">
        <v>4</v>
      </c>
      <c r="E314" s="8">
        <v>3.8228047424132776</v>
      </c>
      <c r="F314" s="8">
        <v>0.17719525758672239</v>
      </c>
    </row>
    <row r="315" spans="3:6" x14ac:dyDescent="0.25">
      <c r="C315" s="9" t="s">
        <v>401</v>
      </c>
      <c r="D315" s="8">
        <v>5</v>
      </c>
      <c r="E315" s="8">
        <v>3.8276912172733288</v>
      </c>
      <c r="F315" s="8">
        <v>1.1723087827266712</v>
      </c>
    </row>
    <row r="316" spans="3:6" x14ac:dyDescent="0.25">
      <c r="C316" s="9" t="s">
        <v>466</v>
      </c>
      <c r="D316" s="8">
        <v>5</v>
      </c>
      <c r="E316" s="8">
        <v>4.1562548153468928</v>
      </c>
      <c r="F316" s="8">
        <v>0.84374518465310722</v>
      </c>
    </row>
    <row r="317" spans="3:6" x14ac:dyDescent="0.25">
      <c r="C317" s="9" t="s">
        <v>461</v>
      </c>
      <c r="D317" s="8">
        <v>5</v>
      </c>
      <c r="E317" s="8">
        <v>4.1682926134131009</v>
      </c>
      <c r="F317" s="8">
        <v>0.83170738658689913</v>
      </c>
    </row>
    <row r="318" spans="3:6" x14ac:dyDescent="0.25">
      <c r="C318" s="9" t="s">
        <v>402</v>
      </c>
      <c r="D318" s="8">
        <v>2</v>
      </c>
      <c r="E318" s="8">
        <v>4.6039149861381494</v>
      </c>
      <c r="F318" s="8">
        <v>-2.6039149861381494</v>
      </c>
    </row>
    <row r="319" spans="3:6" x14ac:dyDescent="0.25">
      <c r="C319" s="9" t="s">
        <v>403</v>
      </c>
      <c r="D319" s="8">
        <v>5</v>
      </c>
      <c r="E319" s="8">
        <v>4.2388461943912228</v>
      </c>
      <c r="F319" s="8">
        <v>0.76115380560877721</v>
      </c>
    </row>
    <row r="320" spans="3:6" x14ac:dyDescent="0.25">
      <c r="C320" s="9" t="s">
        <v>404</v>
      </c>
      <c r="D320" s="8">
        <v>4</v>
      </c>
      <c r="E320" s="8">
        <v>3.8774924706548912</v>
      </c>
      <c r="F320" s="8">
        <v>0.12250752934510878</v>
      </c>
    </row>
    <row r="321" spans="3:6" x14ac:dyDescent="0.25">
      <c r="C321" s="9" t="s">
        <v>405</v>
      </c>
      <c r="D321" s="8">
        <v>3</v>
      </c>
      <c r="E321" s="8">
        <v>3.563407567534945</v>
      </c>
      <c r="F321" s="8">
        <v>-0.56340756753494503</v>
      </c>
    </row>
    <row r="322" spans="3:6" x14ac:dyDescent="0.25">
      <c r="C322" s="9" t="s">
        <v>477</v>
      </c>
      <c r="D322" s="8">
        <v>3</v>
      </c>
      <c r="E322" s="8">
        <v>4.7533841081344352</v>
      </c>
      <c r="F322" s="8">
        <v>-1.7533841081344352</v>
      </c>
    </row>
    <row r="323" spans="3:6" x14ac:dyDescent="0.25">
      <c r="C323" s="9" t="s">
        <v>478</v>
      </c>
      <c r="D323" s="8">
        <v>5</v>
      </c>
      <c r="E323" s="8">
        <v>3.9628809863572494</v>
      </c>
      <c r="F323" s="8">
        <v>1.0371190136427506</v>
      </c>
    </row>
    <row r="324" spans="3:6" x14ac:dyDescent="0.25">
      <c r="C324" s="9" t="s">
        <v>479</v>
      </c>
      <c r="D324" s="8">
        <v>5</v>
      </c>
      <c r="E324" s="8">
        <v>3.9644723185430748</v>
      </c>
      <c r="F324" s="8">
        <v>1.0355276814569252</v>
      </c>
    </row>
    <row r="325" spans="3:6" x14ac:dyDescent="0.25">
      <c r="C325" s="9" t="s">
        <v>480</v>
      </c>
      <c r="D325" s="8">
        <v>4</v>
      </c>
      <c r="E325" s="8">
        <v>4.0515600002507046</v>
      </c>
      <c r="F325" s="8">
        <v>-5.1560000250704618E-2</v>
      </c>
    </row>
    <row r="326" spans="3:6" x14ac:dyDescent="0.25">
      <c r="C326" s="9" t="s">
        <v>481</v>
      </c>
      <c r="D326" s="8">
        <v>4</v>
      </c>
      <c r="E326" s="8">
        <v>4.1474964085188031</v>
      </c>
      <c r="F326" s="8">
        <v>-0.14749640851880308</v>
      </c>
    </row>
    <row r="327" spans="3:6" x14ac:dyDescent="0.25">
      <c r="C327" s="9" t="s">
        <v>482</v>
      </c>
      <c r="D327" s="8">
        <v>4</v>
      </c>
      <c r="E327" s="8">
        <v>3.925548527796316</v>
      </c>
      <c r="F327" s="8">
        <v>7.4451472203683977E-2</v>
      </c>
    </row>
    <row r="328" spans="3:6" x14ac:dyDescent="0.25">
      <c r="C328" s="9" t="s">
        <v>483</v>
      </c>
      <c r="D328" s="8">
        <v>5</v>
      </c>
      <c r="E328" s="8">
        <v>4.4106521107625918</v>
      </c>
      <c r="F328" s="8">
        <v>0.58934788923740822</v>
      </c>
    </row>
    <row r="329" spans="3:6" x14ac:dyDescent="0.25">
      <c r="C329" s="9" t="s">
        <v>484</v>
      </c>
      <c r="D329" s="8">
        <v>3</v>
      </c>
      <c r="E329" s="8">
        <v>4.5194159099612312</v>
      </c>
      <c r="F329" s="8">
        <v>-1.5194159099612312</v>
      </c>
    </row>
    <row r="330" spans="3:6" x14ac:dyDescent="0.25">
      <c r="C330" s="9" t="s">
        <v>485</v>
      </c>
      <c r="D330" s="8">
        <v>5</v>
      </c>
      <c r="E330" s="8">
        <v>4.2417393340206146</v>
      </c>
      <c r="F330" s="8">
        <v>0.75826066597938535</v>
      </c>
    </row>
    <row r="331" spans="3:6" x14ac:dyDescent="0.25">
      <c r="C331" s="9" t="s">
        <v>486</v>
      </c>
      <c r="D331" s="8">
        <v>3</v>
      </c>
      <c r="E331" s="8">
        <v>4.1554795117164129</v>
      </c>
      <c r="F331" s="8">
        <v>-1.1554795117164129</v>
      </c>
    </row>
    <row r="332" spans="3:6" x14ac:dyDescent="0.25">
      <c r="C332" s="9" t="s">
        <v>487</v>
      </c>
      <c r="D332" s="8">
        <v>4</v>
      </c>
      <c r="E332" s="8">
        <v>3.7779441914396474</v>
      </c>
      <c r="F332" s="8">
        <v>0.22205580856035256</v>
      </c>
    </row>
    <row r="333" spans="3:6" x14ac:dyDescent="0.25">
      <c r="C333" s="9" t="s">
        <v>488</v>
      </c>
      <c r="D333" s="8">
        <v>3</v>
      </c>
      <c r="E333" s="8">
        <v>3.8030400646403688</v>
      </c>
      <c r="F333" s="8">
        <v>-0.80304006464036881</v>
      </c>
    </row>
    <row r="334" spans="3:6" x14ac:dyDescent="0.25">
      <c r="C334" s="9" t="s">
        <v>489</v>
      </c>
      <c r="D334" s="8">
        <v>4</v>
      </c>
      <c r="E334" s="8">
        <v>4.4375539551109382</v>
      </c>
      <c r="F334" s="8">
        <v>-0.4375539551109382</v>
      </c>
    </row>
    <row r="335" spans="3:6" x14ac:dyDescent="0.25">
      <c r="C335" s="9" t="s">
        <v>490</v>
      </c>
      <c r="D335" s="8">
        <v>5</v>
      </c>
      <c r="E335" s="8">
        <v>4.3678029455970977</v>
      </c>
      <c r="F335" s="8">
        <v>0.6321970544029023</v>
      </c>
    </row>
    <row r="336" spans="3:6" x14ac:dyDescent="0.25">
      <c r="C336" s="9" t="s">
        <v>491</v>
      </c>
      <c r="D336" s="8">
        <v>3</v>
      </c>
      <c r="E336" s="8">
        <v>3.8524020315912835</v>
      </c>
      <c r="F336" s="8">
        <v>-0.85240203159128347</v>
      </c>
    </row>
    <row r="337" spans="3:6" x14ac:dyDescent="0.25">
      <c r="C337" s="9" t="s">
        <v>492</v>
      </c>
      <c r="D337" s="8">
        <v>5</v>
      </c>
      <c r="E337" s="8">
        <v>4.2810197033312569</v>
      </c>
      <c r="F337" s="8">
        <v>0.71898029666874308</v>
      </c>
    </row>
    <row r="338" spans="3:6" x14ac:dyDescent="0.25">
      <c r="C338" s="9" t="s">
        <v>493</v>
      </c>
      <c r="D338" s="8">
        <v>5</v>
      </c>
      <c r="E338" s="8">
        <v>3.9069511879196948</v>
      </c>
      <c r="F338" s="8">
        <v>1.0930488120803052</v>
      </c>
    </row>
    <row r="339" spans="3:6" x14ac:dyDescent="0.25">
      <c r="C339" s="9" t="s">
        <v>494</v>
      </c>
      <c r="D339" s="8">
        <v>4</v>
      </c>
      <c r="E339" s="8">
        <v>4.3181993197669444</v>
      </c>
      <c r="F339" s="8">
        <v>-0.31819931976694438</v>
      </c>
    </row>
    <row r="340" spans="3:6" x14ac:dyDescent="0.25">
      <c r="C340" s="9" t="s">
        <v>495</v>
      </c>
      <c r="D340" s="8">
        <v>4</v>
      </c>
      <c r="E340" s="8">
        <v>4.2323632340975328</v>
      </c>
      <c r="F340" s="8">
        <v>-0.23236323409753279</v>
      </c>
    </row>
    <row r="341" spans="3:6" x14ac:dyDescent="0.25">
      <c r="C341" s="9" t="s">
        <v>496</v>
      </c>
      <c r="D341" s="8">
        <v>4</v>
      </c>
      <c r="E341" s="8">
        <v>4.6562330028906569</v>
      </c>
      <c r="F341" s="8">
        <v>-0.65623300289065689</v>
      </c>
    </row>
    <row r="342" spans="3:6" x14ac:dyDescent="0.25">
      <c r="C342" s="9" t="s">
        <v>497</v>
      </c>
      <c r="D342" s="8">
        <v>3</v>
      </c>
      <c r="E342" s="8">
        <v>4.0496565912245153</v>
      </c>
      <c r="F342" s="8">
        <v>-1.0496565912245153</v>
      </c>
    </row>
    <row r="343" spans="3:6" x14ac:dyDescent="0.25">
      <c r="C343" s="9" t="s">
        <v>498</v>
      </c>
      <c r="D343" s="8">
        <v>5</v>
      </c>
      <c r="E343" s="8">
        <v>3.9738602496384474</v>
      </c>
      <c r="F343" s="8">
        <v>1.0261397503615526</v>
      </c>
    </row>
    <row r="344" spans="3:6" x14ac:dyDescent="0.25">
      <c r="C344" s="9" t="s">
        <v>499</v>
      </c>
      <c r="D344" s="8">
        <v>5</v>
      </c>
      <c r="E344" s="8">
        <v>4.4001693574279104</v>
      </c>
      <c r="F344" s="8">
        <v>0.59983064257208962</v>
      </c>
    </row>
    <row r="345" spans="3:6" x14ac:dyDescent="0.25">
      <c r="C345" s="9" t="s">
        <v>500</v>
      </c>
      <c r="D345" s="8">
        <v>5</v>
      </c>
      <c r="E345" s="8">
        <v>4.2933366819610796</v>
      </c>
      <c r="F345" s="8">
        <v>0.70666331803892035</v>
      </c>
    </row>
    <row r="346" spans="3:6" x14ac:dyDescent="0.25">
      <c r="C346" s="9" t="s">
        <v>501</v>
      </c>
      <c r="D346" s="8">
        <v>4</v>
      </c>
      <c r="E346" s="8">
        <v>3.8221053994093253</v>
      </c>
      <c r="F346" s="8">
        <v>0.17789460059067475</v>
      </c>
    </row>
    <row r="347" spans="3:6" x14ac:dyDescent="0.25">
      <c r="C347" s="9" t="s">
        <v>502</v>
      </c>
      <c r="D347" s="8">
        <v>4</v>
      </c>
      <c r="E347" s="8">
        <v>3.6917285834645366</v>
      </c>
      <c r="F347" s="8">
        <v>0.30827141653546342</v>
      </c>
    </row>
    <row r="348" spans="3:6" x14ac:dyDescent="0.25">
      <c r="C348" s="9" t="s">
        <v>503</v>
      </c>
      <c r="D348" s="8">
        <v>4</v>
      </c>
      <c r="E348" s="8">
        <v>3.8791484833910079</v>
      </c>
      <c r="F348" s="8">
        <v>0.12085151660899207</v>
      </c>
    </row>
    <row r="349" spans="3:6" x14ac:dyDescent="0.25">
      <c r="C349" s="9" t="s">
        <v>504</v>
      </c>
      <c r="D349" s="8">
        <v>5</v>
      </c>
      <c r="E349" s="8">
        <v>4.1561008759026121</v>
      </c>
      <c r="F349" s="8">
        <v>0.84389912409738788</v>
      </c>
    </row>
    <row r="350" spans="3:6" x14ac:dyDescent="0.25">
      <c r="C350" s="9" t="s">
        <v>505</v>
      </c>
      <c r="D350" s="8">
        <v>4</v>
      </c>
      <c r="E350" s="8">
        <v>3.5882854550775463</v>
      </c>
      <c r="F350" s="8">
        <v>0.41171454492245374</v>
      </c>
    </row>
    <row r="351" spans="3:6" x14ac:dyDescent="0.25">
      <c r="C351" s="9" t="s">
        <v>506</v>
      </c>
      <c r="D351" s="8">
        <v>2</v>
      </c>
      <c r="E351" s="8">
        <v>3.7294783964818343</v>
      </c>
      <c r="F351" s="8">
        <v>-1.7294783964818343</v>
      </c>
    </row>
    <row r="352" spans="3:6" x14ac:dyDescent="0.25">
      <c r="C352" s="9" t="s">
        <v>507</v>
      </c>
      <c r="D352" s="8">
        <v>3</v>
      </c>
      <c r="E352" s="8">
        <v>3.8229433143264799</v>
      </c>
      <c r="F352" s="8">
        <v>-0.82294331432647994</v>
      </c>
    </row>
    <row r="353" spans="3:6" x14ac:dyDescent="0.25">
      <c r="C353" s="9" t="s">
        <v>508</v>
      </c>
      <c r="D353" s="8">
        <v>4</v>
      </c>
      <c r="E353" s="8">
        <v>4.4872428017740731</v>
      </c>
      <c r="F353" s="8">
        <v>-0.48724280177407309</v>
      </c>
    </row>
    <row r="354" spans="3:6" x14ac:dyDescent="0.25">
      <c r="C354" s="9" t="s">
        <v>509</v>
      </c>
      <c r="D354" s="8">
        <v>4</v>
      </c>
      <c r="E354" s="8">
        <v>4.2784066999389578</v>
      </c>
      <c r="F354" s="8">
        <v>-0.27840669993895784</v>
      </c>
    </row>
    <row r="355" spans="3:6" x14ac:dyDescent="0.25">
      <c r="C355" s="9" t="s">
        <v>510</v>
      </c>
      <c r="D355" s="8">
        <v>4</v>
      </c>
      <c r="E355" s="8">
        <v>4.2387172041073296</v>
      </c>
      <c r="F355" s="8">
        <v>-0.23871720410732955</v>
      </c>
    </row>
    <row r="356" spans="3:6" x14ac:dyDescent="0.25">
      <c r="C356" s="9" t="s">
        <v>511</v>
      </c>
      <c r="D356" s="8">
        <v>5</v>
      </c>
      <c r="E356" s="8">
        <v>4.3272373846458958</v>
      </c>
      <c r="F356" s="8">
        <v>0.6727626153541042</v>
      </c>
    </row>
    <row r="357" spans="3:6" x14ac:dyDescent="0.25">
      <c r="C357" s="9" t="s">
        <v>512</v>
      </c>
      <c r="D357" s="8">
        <v>5</v>
      </c>
      <c r="E357" s="8">
        <v>4.4550164126963701</v>
      </c>
      <c r="F357" s="8">
        <v>0.54498358730362995</v>
      </c>
    </row>
    <row r="358" spans="3:6" x14ac:dyDescent="0.25">
      <c r="C358" s="9" t="s">
        <v>513</v>
      </c>
      <c r="D358" s="8">
        <v>4</v>
      </c>
      <c r="E358" s="8">
        <v>4.225626437130698</v>
      </c>
      <c r="F358" s="8">
        <v>-0.22562643713069797</v>
      </c>
    </row>
    <row r="359" spans="3:6" x14ac:dyDescent="0.25">
      <c r="C359" s="9" t="s">
        <v>514</v>
      </c>
      <c r="D359" s="8">
        <v>2</v>
      </c>
      <c r="E359" s="8">
        <v>3.9648371867831833</v>
      </c>
      <c r="F359" s="8">
        <v>-1.9648371867831833</v>
      </c>
    </row>
    <row r="360" spans="3:6" x14ac:dyDescent="0.25">
      <c r="C360" s="9" t="s">
        <v>515</v>
      </c>
      <c r="D360" s="8">
        <v>4</v>
      </c>
      <c r="E360" s="8">
        <v>3.7294783964818343</v>
      </c>
      <c r="F360" s="8">
        <v>0.27052160351816568</v>
      </c>
    </row>
    <row r="361" spans="3:6" x14ac:dyDescent="0.25">
      <c r="C361" s="9" t="s">
        <v>516</v>
      </c>
      <c r="D361" s="8">
        <v>4</v>
      </c>
      <c r="E361" s="8">
        <v>4.0826931471883592</v>
      </c>
      <c r="F361" s="8">
        <v>-8.2693147188359184E-2</v>
      </c>
    </row>
    <row r="362" spans="3:6" x14ac:dyDescent="0.25">
      <c r="C362" s="9" t="s">
        <v>517</v>
      </c>
      <c r="D362" s="8">
        <v>5</v>
      </c>
      <c r="E362" s="8">
        <v>4.2898130123373921</v>
      </c>
      <c r="F362" s="8">
        <v>0.7101869876626079</v>
      </c>
    </row>
    <row r="363" spans="3:6" x14ac:dyDescent="0.25">
      <c r="C363" s="9" t="s">
        <v>518</v>
      </c>
      <c r="D363" s="8">
        <v>5</v>
      </c>
      <c r="E363" s="8">
        <v>4.8185571242345349</v>
      </c>
      <c r="F363" s="8">
        <v>0.18144287576546514</v>
      </c>
    </row>
    <row r="364" spans="3:6" x14ac:dyDescent="0.25">
      <c r="C364" s="9" t="s">
        <v>519</v>
      </c>
      <c r="D364" s="8">
        <v>4</v>
      </c>
      <c r="E364" s="8">
        <v>4.3834059544769346</v>
      </c>
      <c r="F364" s="8">
        <v>-0.3834059544769346</v>
      </c>
    </row>
    <row r="365" spans="3:6" x14ac:dyDescent="0.25">
      <c r="C365" s="9" t="s">
        <v>520</v>
      </c>
      <c r="D365" s="8">
        <v>5</v>
      </c>
      <c r="E365" s="8">
        <v>3.9277035155162552</v>
      </c>
      <c r="F365" s="8">
        <v>1.0722964844837448</v>
      </c>
    </row>
    <row r="366" spans="3:6" x14ac:dyDescent="0.25">
      <c r="C366" s="9" t="s">
        <v>521</v>
      </c>
      <c r="D366" s="8">
        <v>5</v>
      </c>
      <c r="E366" s="8">
        <v>4.3914986580972224</v>
      </c>
      <c r="F366" s="8">
        <v>0.6085013419027776</v>
      </c>
    </row>
    <row r="367" spans="3:6" x14ac:dyDescent="0.25">
      <c r="C367" s="9" t="s">
        <v>522</v>
      </c>
      <c r="D367" s="8">
        <v>5</v>
      </c>
      <c r="E367" s="8">
        <v>4.1613145833690659</v>
      </c>
      <c r="F367" s="8">
        <v>0.8386854166309341</v>
      </c>
    </row>
    <row r="368" spans="3:6" x14ac:dyDescent="0.25">
      <c r="C368" s="9" t="s">
        <v>523</v>
      </c>
      <c r="D368" s="8">
        <v>5</v>
      </c>
      <c r="E368" s="8">
        <v>4.5662447258101855</v>
      </c>
      <c r="F368" s="8">
        <v>0.43375527418981452</v>
      </c>
    </row>
    <row r="369" spans="3:6" x14ac:dyDescent="0.25">
      <c r="C369" s="9" t="s">
        <v>524</v>
      </c>
      <c r="D369" s="8">
        <v>5</v>
      </c>
      <c r="E369" s="8">
        <v>4.5942368529624549</v>
      </c>
      <c r="F369" s="8">
        <v>0.40576314703754512</v>
      </c>
    </row>
    <row r="370" spans="3:6" x14ac:dyDescent="0.25">
      <c r="C370" s="9" t="s">
        <v>525</v>
      </c>
      <c r="D370" s="8">
        <v>5</v>
      </c>
      <c r="E370" s="8">
        <v>4.6091668349845767</v>
      </c>
      <c r="F370" s="8">
        <v>0.39083316501542331</v>
      </c>
    </row>
    <row r="371" spans="3:6" x14ac:dyDescent="0.25">
      <c r="C371" s="9" t="s">
        <v>526</v>
      </c>
      <c r="D371" s="8">
        <v>3</v>
      </c>
      <c r="E371" s="8">
        <v>3.9550072450611196</v>
      </c>
      <c r="F371" s="8">
        <v>-0.95500724506111956</v>
      </c>
    </row>
    <row r="372" spans="3:6" x14ac:dyDescent="0.25">
      <c r="C372" s="9" t="s">
        <v>527</v>
      </c>
      <c r="D372" s="8">
        <v>3</v>
      </c>
      <c r="E372" s="8">
        <v>3.6246864856984624</v>
      </c>
      <c r="F372" s="8">
        <v>-0.62468648569846241</v>
      </c>
    </row>
    <row r="373" spans="3:6" x14ac:dyDescent="0.25">
      <c r="C373" s="9" t="s">
        <v>528</v>
      </c>
      <c r="D373" s="8">
        <v>5</v>
      </c>
      <c r="E373" s="8">
        <v>4.049955881543319</v>
      </c>
      <c r="F373" s="8">
        <v>0.95004411845668102</v>
      </c>
    </row>
    <row r="374" spans="3:6" x14ac:dyDescent="0.25">
      <c r="C374" s="9" t="s">
        <v>529</v>
      </c>
      <c r="D374" s="8">
        <v>5</v>
      </c>
      <c r="E374" s="8">
        <v>4.7143939409041149</v>
      </c>
      <c r="F374" s="8">
        <v>0.2856060590958851</v>
      </c>
    </row>
    <row r="375" spans="3:6" x14ac:dyDescent="0.25">
      <c r="C375" s="9" t="s">
        <v>530</v>
      </c>
      <c r="D375" s="8">
        <v>5</v>
      </c>
      <c r="E375" s="8">
        <v>3.7294783964818343</v>
      </c>
      <c r="F375" s="8">
        <v>1.2705216035181657</v>
      </c>
    </row>
    <row r="376" spans="3:6" x14ac:dyDescent="0.25">
      <c r="C376" s="9" t="s">
        <v>531</v>
      </c>
      <c r="D376" s="8">
        <v>5</v>
      </c>
      <c r="E376" s="8">
        <v>4.0787090608491781</v>
      </c>
      <c r="F376" s="8">
        <v>0.92129093915082194</v>
      </c>
    </row>
    <row r="377" spans="3:6" x14ac:dyDescent="0.25">
      <c r="C377" s="9" t="s">
        <v>532</v>
      </c>
      <c r="D377" s="8">
        <v>2</v>
      </c>
      <c r="E377" s="8">
        <v>3.6894897470289072</v>
      </c>
      <c r="F377" s="8">
        <v>-1.6894897470289072</v>
      </c>
    </row>
    <row r="378" spans="3:6" x14ac:dyDescent="0.25">
      <c r="C378" s="9" t="s">
        <v>533</v>
      </c>
      <c r="D378" s="8">
        <v>2</v>
      </c>
      <c r="E378" s="8">
        <v>3.7856191454417711</v>
      </c>
      <c r="F378" s="8">
        <v>-1.7856191454417711</v>
      </c>
    </row>
    <row r="379" spans="3:6" x14ac:dyDescent="0.25">
      <c r="C379" s="9" t="s">
        <v>534</v>
      </c>
      <c r="D379" s="8">
        <v>4</v>
      </c>
      <c r="E379" s="8">
        <v>3.9407766060429501</v>
      </c>
      <c r="F379" s="8">
        <v>5.9223393957049897E-2</v>
      </c>
    </row>
    <row r="380" spans="3:6" x14ac:dyDescent="0.25">
      <c r="C380" s="9" t="s">
        <v>535</v>
      </c>
      <c r="D380" s="8">
        <v>5</v>
      </c>
      <c r="E380" s="8">
        <v>4.7061823978409549</v>
      </c>
      <c r="F380" s="8">
        <v>0.29381760215904507</v>
      </c>
    </row>
    <row r="381" spans="3:6" x14ac:dyDescent="0.25">
      <c r="C381" s="9" t="s">
        <v>536</v>
      </c>
      <c r="D381" s="8">
        <v>1</v>
      </c>
      <c r="E381" s="8">
        <v>3.3031692886923714</v>
      </c>
      <c r="F381" s="8">
        <v>-2.3031692886923714</v>
      </c>
    </row>
    <row r="382" spans="3:6" x14ac:dyDescent="0.25">
      <c r="C382" s="9" t="s">
        <v>537</v>
      </c>
      <c r="D382" s="8">
        <v>4</v>
      </c>
      <c r="E382" s="8">
        <v>4.5817886195058755</v>
      </c>
      <c r="F382" s="8">
        <v>-0.58178861950587546</v>
      </c>
    </row>
    <row r="383" spans="3:6" x14ac:dyDescent="0.25">
      <c r="C383" s="9" t="s">
        <v>538</v>
      </c>
      <c r="D383" s="8">
        <v>5</v>
      </c>
      <c r="E383" s="8">
        <v>4.5662447258101855</v>
      </c>
      <c r="F383" s="8">
        <v>0.43375527418981452</v>
      </c>
    </row>
    <row r="384" spans="3:6" x14ac:dyDescent="0.25">
      <c r="C384" s="9" t="s">
        <v>539</v>
      </c>
      <c r="D384" s="8">
        <v>4</v>
      </c>
      <c r="E384" s="8">
        <v>4.3862519956093919</v>
      </c>
      <c r="F384" s="8">
        <v>-0.38625199560939194</v>
      </c>
    </row>
    <row r="385" spans="3:6" x14ac:dyDescent="0.25">
      <c r="C385" s="9" t="s">
        <v>540</v>
      </c>
      <c r="D385" s="8">
        <v>4</v>
      </c>
      <c r="E385" s="8">
        <v>4.702082148632889</v>
      </c>
      <c r="F385" s="8">
        <v>-0.70208214863288898</v>
      </c>
    </row>
    <row r="386" spans="3:6" x14ac:dyDescent="0.25">
      <c r="C386" s="9" t="s">
        <v>541</v>
      </c>
      <c r="D386" s="8">
        <v>5</v>
      </c>
      <c r="E386" s="8">
        <v>4.104922241091189</v>
      </c>
      <c r="F386" s="8">
        <v>0.89507775890881103</v>
      </c>
    </row>
    <row r="387" spans="3:6" x14ac:dyDescent="0.25">
      <c r="C387" s="9" t="s">
        <v>542</v>
      </c>
      <c r="D387" s="8">
        <v>2</v>
      </c>
      <c r="E387" s="8">
        <v>4.2787111393807464</v>
      </c>
      <c r="F387" s="8">
        <v>-2.2787111393807464</v>
      </c>
    </row>
    <row r="388" spans="3:6" x14ac:dyDescent="0.25">
      <c r="C388" s="9" t="s">
        <v>543</v>
      </c>
      <c r="D388" s="8">
        <v>5</v>
      </c>
      <c r="E388" s="8">
        <v>4.4057114083546596</v>
      </c>
      <c r="F388" s="8">
        <v>0.59428859164534042</v>
      </c>
    </row>
    <row r="389" spans="3:6" x14ac:dyDescent="0.25">
      <c r="C389" s="9" t="s">
        <v>544</v>
      </c>
      <c r="D389" s="8">
        <v>2</v>
      </c>
      <c r="E389" s="8">
        <v>4.4628015974231943</v>
      </c>
      <c r="F389" s="8">
        <v>-2.4628015974231943</v>
      </c>
    </row>
    <row r="390" spans="3:6" x14ac:dyDescent="0.25">
      <c r="C390" s="9" t="s">
        <v>545</v>
      </c>
      <c r="D390" s="8">
        <v>2</v>
      </c>
      <c r="E390" s="8">
        <v>3.4529286127689791</v>
      </c>
      <c r="F390" s="8">
        <v>-1.4529286127689791</v>
      </c>
    </row>
    <row r="391" spans="3:6" x14ac:dyDescent="0.25">
      <c r="C391" s="9" t="s">
        <v>546</v>
      </c>
      <c r="D391" s="8">
        <v>5</v>
      </c>
      <c r="E391" s="8">
        <v>3.7861700900676154</v>
      </c>
      <c r="F391" s="8">
        <v>1.2138299099323846</v>
      </c>
    </row>
    <row r="392" spans="3:6" x14ac:dyDescent="0.25">
      <c r="C392" s="9" t="s">
        <v>547</v>
      </c>
      <c r="D392" s="8">
        <v>4</v>
      </c>
      <c r="E392" s="8">
        <v>4.2147561913799532</v>
      </c>
      <c r="F392" s="8">
        <v>-0.21475619137995317</v>
      </c>
    </row>
    <row r="393" spans="3:6" x14ac:dyDescent="0.25">
      <c r="C393" s="9" t="s">
        <v>548</v>
      </c>
      <c r="D393" s="8">
        <v>5</v>
      </c>
      <c r="E393" s="8">
        <v>4.599617528167653</v>
      </c>
      <c r="F393" s="8">
        <v>0.40038247183234699</v>
      </c>
    </row>
    <row r="394" spans="3:6" x14ac:dyDescent="0.25">
      <c r="C394" s="9" t="s">
        <v>550</v>
      </c>
      <c r="D394" s="8">
        <v>4</v>
      </c>
      <c r="E394" s="8">
        <v>4.0352617774774124</v>
      </c>
      <c r="F394" s="8">
        <v>-3.5261777477412437E-2</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Output'!$B$10:$B$10" display="Inputs" xr:uid="{AFC85600-EAD9-45CA-8DDB-49E5CFFC5FA0}"/>
    <hyperlink ref="D4" location="'LinReg_Output'!$B$50:$B$50" display="Regression Summary" xr:uid="{01BCD11E-7604-477A-99EC-4271F3272217}"/>
    <hyperlink ref="F4" location="'LinReg_Output'!$B$59:$B$59" display="Predictor Screening" xr:uid="{644643CC-08BE-472E-97BE-B8216A08C22E}"/>
    <hyperlink ref="H4" location="'LinReg_Output'!$B$79:$B$79" display="Coefficients" xr:uid="{49B8B16B-D7D2-4662-BDAC-C6AF9ABE4ECB}"/>
    <hyperlink ref="J4" location="'LinReg_Stored1'!$B$10:$B$10" display="PMML Model" xr:uid="{3E635CF8-D40F-4118-B1B4-21B1885701A5}"/>
    <hyperlink ref="B5" location="'LinReg_TrainingScore1'!$B$10:$B$10" display="Training: Prediction Summary" xr:uid="{69F5E2D7-D1C9-4076-995E-880CC360DC49}"/>
    <hyperlink ref="D5" location="'LinReg_TrainingScore1'!$B$19:$B$19" display="Training: Prediction Details" xr:uid="{E970879E-6E4D-4504-8EAA-78E643FE94F6}"/>
    <hyperlink ref="F5" location="'LinReg_ValidationScore1'!$B$10:$B$10" display="Validation: Prediction Summary" xr:uid="{B97A338E-AE2A-4D34-832F-5E66236A3210}"/>
    <hyperlink ref="H5" location="'LinReg_ValidationScore1'!$B$19:$B$19" display="Validation: Prediction Details" xr:uid="{4A70FF7B-0B33-47DF-A478-125D3CAB22B9}"/>
  </hyperlinks>
  <pageMargins left="0.7" right="0.7" top="0.75" bottom="0.75" header="0.3" footer="0.3"/>
  <tableParts count="2">
    <tablePart r:id="rId1"/>
    <tablePart r:id="rId2"/>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67446-B420-4A13-9CD0-04F40FF5B8BC}">
  <sheetPr codeName="Sheet28">
    <tabColor theme="4" tint="0.59999389629810485"/>
  </sheetPr>
  <dimension ref="B1:Q114"/>
  <sheetViews>
    <sheetView showGridLines="0" workbookViewId="0">
      <selection activeCell="N35" sqref="N35"/>
    </sheetView>
  </sheetViews>
  <sheetFormatPr defaultRowHeight="15" x14ac:dyDescent="0.25"/>
  <cols>
    <col min="3" max="3" width="11.5703125" customWidth="1"/>
    <col min="5" max="5" width="18.140625" customWidth="1"/>
    <col min="6" max="6" width="10.7109375" customWidth="1"/>
    <col min="14" max="14" width="15.5703125" bestFit="1" customWidth="1"/>
  </cols>
  <sheetData>
    <row r="1" spans="2:17" ht="18.75" x14ac:dyDescent="0.3">
      <c r="B1" s="6" t="s">
        <v>725</v>
      </c>
      <c r="N1" t="s">
        <v>881</v>
      </c>
    </row>
    <row r="3" spans="2:17" ht="15.75" x14ac:dyDescent="0.25">
      <c r="B3" s="13" t="s">
        <v>147</v>
      </c>
      <c r="C3" s="14"/>
      <c r="D3" s="14"/>
      <c r="E3" s="14"/>
      <c r="F3" s="14"/>
      <c r="G3" s="14"/>
      <c r="H3" s="14"/>
      <c r="I3" s="14"/>
      <c r="J3" s="14"/>
      <c r="K3" s="15"/>
      <c r="N3" s="13" t="s">
        <v>148</v>
      </c>
      <c r="O3" s="14"/>
      <c r="P3" s="14"/>
      <c r="Q3" s="15"/>
    </row>
    <row r="4" spans="2:17" x14ac:dyDescent="0.25">
      <c r="B4" s="25" t="s">
        <v>153</v>
      </c>
      <c r="C4" s="21"/>
      <c r="D4" s="25" t="s">
        <v>720</v>
      </c>
      <c r="E4" s="21"/>
      <c r="F4" s="25" t="s">
        <v>721</v>
      </c>
      <c r="G4" s="21"/>
      <c r="H4" s="25" t="s">
        <v>722</v>
      </c>
      <c r="I4" s="21"/>
      <c r="J4" s="25" t="s">
        <v>645</v>
      </c>
      <c r="K4" s="21"/>
      <c r="N4" s="11" t="s">
        <v>149</v>
      </c>
      <c r="O4" s="11" t="s">
        <v>150</v>
      </c>
      <c r="P4" s="11" t="s">
        <v>151</v>
      </c>
      <c r="Q4" s="11" t="s">
        <v>152</v>
      </c>
    </row>
    <row r="5" spans="2:17" x14ac:dyDescent="0.25">
      <c r="B5" s="25" t="s">
        <v>723</v>
      </c>
      <c r="C5" s="21"/>
      <c r="D5" s="25" t="s">
        <v>830</v>
      </c>
      <c r="E5" s="21"/>
      <c r="F5" s="25" t="s">
        <v>724</v>
      </c>
      <c r="G5" s="21"/>
      <c r="H5" s="25" t="s">
        <v>831</v>
      </c>
      <c r="I5" s="21"/>
      <c r="J5" s="19"/>
      <c r="K5" s="21"/>
      <c r="N5" s="10">
        <v>14</v>
      </c>
      <c r="O5" s="10">
        <v>4</v>
      </c>
      <c r="P5" s="10">
        <v>15</v>
      </c>
      <c r="Q5" s="10">
        <v>33</v>
      </c>
    </row>
    <row r="10" spans="2:17" ht="18.75" x14ac:dyDescent="0.3">
      <c r="B10" s="7" t="s">
        <v>724</v>
      </c>
    </row>
    <row r="12" spans="2:17" x14ac:dyDescent="0.25">
      <c r="C12" t="s">
        <v>726</v>
      </c>
      <c r="D12" t="s">
        <v>727</v>
      </c>
    </row>
    <row r="13" spans="2:17" x14ac:dyDescent="0.25">
      <c r="C13" t="s">
        <v>728</v>
      </c>
      <c r="D13">
        <v>88.219030750545429</v>
      </c>
    </row>
    <row r="14" spans="2:17" x14ac:dyDescent="0.25">
      <c r="C14" t="s">
        <v>729</v>
      </c>
      <c r="D14">
        <v>0.94859172850048845</v>
      </c>
    </row>
    <row r="15" spans="2:17" x14ac:dyDescent="0.25">
      <c r="C15" t="s">
        <v>730</v>
      </c>
      <c r="D15">
        <v>0.97395673851587905</v>
      </c>
    </row>
    <row r="16" spans="2:17" x14ac:dyDescent="0.25">
      <c r="C16" t="s">
        <v>731</v>
      </c>
      <c r="D16">
        <v>0.76450761742868001</v>
      </c>
    </row>
    <row r="17" spans="2:6" x14ac:dyDescent="0.25">
      <c r="C17" t="s">
        <v>732</v>
      </c>
      <c r="D17">
        <v>9.2838361366570199E-2</v>
      </c>
    </row>
    <row r="19" spans="2:6" ht="18.75" x14ac:dyDescent="0.3">
      <c r="B19" s="7" t="s">
        <v>831</v>
      </c>
    </row>
    <row r="21" spans="2:6" x14ac:dyDescent="0.25">
      <c r="C21" s="9" t="s">
        <v>176</v>
      </c>
      <c r="D21" s="5" t="s">
        <v>4</v>
      </c>
      <c r="E21" s="5" t="s">
        <v>832</v>
      </c>
      <c r="F21" s="5" t="s">
        <v>833</v>
      </c>
    </row>
    <row r="22" spans="2:6" x14ac:dyDescent="0.25">
      <c r="C22" s="9" t="s">
        <v>549</v>
      </c>
      <c r="D22" s="8">
        <v>3</v>
      </c>
      <c r="E22" s="8">
        <v>4.027650427665594</v>
      </c>
      <c r="F22" s="8">
        <v>-1.027650427665594</v>
      </c>
    </row>
    <row r="23" spans="2:6" x14ac:dyDescent="0.25">
      <c r="C23" s="9" t="s">
        <v>551</v>
      </c>
      <c r="D23" s="8">
        <v>2</v>
      </c>
      <c r="E23" s="8">
        <v>3.6282108288653894</v>
      </c>
      <c r="F23" s="8">
        <v>-1.6282108288653894</v>
      </c>
    </row>
    <row r="24" spans="2:6" x14ac:dyDescent="0.25">
      <c r="C24" s="9" t="s">
        <v>552</v>
      </c>
      <c r="D24" s="8">
        <v>2</v>
      </c>
      <c r="E24" s="8">
        <v>4.1504608304907276</v>
      </c>
      <c r="F24" s="8">
        <v>-2.1504608304907276</v>
      </c>
    </row>
    <row r="25" spans="2:6" x14ac:dyDescent="0.25">
      <c r="C25" s="9" t="s">
        <v>553</v>
      </c>
      <c r="D25" s="8">
        <v>4</v>
      </c>
      <c r="E25" s="8">
        <v>4.104922241091189</v>
      </c>
      <c r="F25" s="8">
        <v>-0.10492224109118897</v>
      </c>
    </row>
    <row r="26" spans="2:6" x14ac:dyDescent="0.25">
      <c r="C26" s="9" t="s">
        <v>554</v>
      </c>
      <c r="D26" s="8">
        <v>3</v>
      </c>
      <c r="E26" s="8">
        <v>4.7533841081344352</v>
      </c>
      <c r="F26" s="8">
        <v>-1.7533841081344352</v>
      </c>
    </row>
    <row r="27" spans="2:6" x14ac:dyDescent="0.25">
      <c r="C27" s="9" t="s">
        <v>555</v>
      </c>
      <c r="D27" s="8">
        <v>3</v>
      </c>
      <c r="E27" s="8">
        <v>4.4057114083546596</v>
      </c>
      <c r="F27" s="8">
        <v>-1.4057114083546596</v>
      </c>
    </row>
    <row r="28" spans="2:6" x14ac:dyDescent="0.25">
      <c r="C28" s="9" t="s">
        <v>556</v>
      </c>
      <c r="D28" s="8">
        <v>4</v>
      </c>
      <c r="E28" s="8">
        <v>4.1613145833690659</v>
      </c>
      <c r="F28" s="8">
        <v>-0.1613145833690659</v>
      </c>
    </row>
    <row r="29" spans="2:6" x14ac:dyDescent="0.25">
      <c r="C29" s="9" t="s">
        <v>557</v>
      </c>
      <c r="D29" s="8">
        <v>4</v>
      </c>
      <c r="E29" s="8">
        <v>4.2498637955401062</v>
      </c>
      <c r="F29" s="8">
        <v>-0.24986379554010618</v>
      </c>
    </row>
    <row r="30" spans="2:6" x14ac:dyDescent="0.25">
      <c r="C30" s="9" t="s">
        <v>558</v>
      </c>
      <c r="D30" s="8">
        <v>3</v>
      </c>
      <c r="E30" s="8">
        <v>3.9944432863252231</v>
      </c>
      <c r="F30" s="8">
        <v>-0.99444328632522305</v>
      </c>
    </row>
    <row r="31" spans="2:6" x14ac:dyDescent="0.25">
      <c r="C31" s="9" t="s">
        <v>559</v>
      </c>
      <c r="D31" s="8">
        <v>4</v>
      </c>
      <c r="E31" s="8">
        <v>4.049955881543319</v>
      </c>
      <c r="F31" s="8">
        <v>-4.9955881543318981E-2</v>
      </c>
    </row>
    <row r="32" spans="2:6" x14ac:dyDescent="0.25">
      <c r="C32" s="9" t="s">
        <v>560</v>
      </c>
      <c r="D32" s="8">
        <v>5</v>
      </c>
      <c r="E32" s="8">
        <v>4.126020794451609</v>
      </c>
      <c r="F32" s="8">
        <v>0.87397920554839104</v>
      </c>
    </row>
    <row r="33" spans="3:6" x14ac:dyDescent="0.25">
      <c r="C33" s="9" t="s">
        <v>561</v>
      </c>
      <c r="D33" s="8">
        <v>1</v>
      </c>
      <c r="E33" s="8">
        <v>4.1526996669263578</v>
      </c>
      <c r="F33" s="8">
        <v>-3.1526996669263578</v>
      </c>
    </row>
    <row r="34" spans="3:6" x14ac:dyDescent="0.25">
      <c r="C34" s="9" t="s">
        <v>562</v>
      </c>
      <c r="D34" s="8">
        <v>5</v>
      </c>
      <c r="E34" s="8">
        <v>4.0943161630663845</v>
      </c>
      <c r="F34" s="8">
        <v>0.90568383693361554</v>
      </c>
    </row>
    <row r="35" spans="3:6" x14ac:dyDescent="0.25">
      <c r="C35" s="9" t="s">
        <v>563</v>
      </c>
      <c r="D35" s="8">
        <v>5</v>
      </c>
      <c r="E35" s="8">
        <v>4.7739671448212109</v>
      </c>
      <c r="F35" s="8">
        <v>0.22603285517878913</v>
      </c>
    </row>
    <row r="36" spans="3:6" x14ac:dyDescent="0.25">
      <c r="C36" s="9" t="s">
        <v>564</v>
      </c>
      <c r="D36" s="8">
        <v>5</v>
      </c>
      <c r="E36" s="8">
        <v>4.3710008422434283</v>
      </c>
      <c r="F36" s="8">
        <v>0.62899915775657167</v>
      </c>
    </row>
    <row r="37" spans="3:6" x14ac:dyDescent="0.25">
      <c r="C37" s="9" t="s">
        <v>565</v>
      </c>
      <c r="D37" s="8">
        <v>4</v>
      </c>
      <c r="E37" s="8">
        <v>4.3058601999792199</v>
      </c>
      <c r="F37" s="8">
        <v>-0.30586019997921987</v>
      </c>
    </row>
    <row r="38" spans="3:6" x14ac:dyDescent="0.25">
      <c r="C38" s="9" t="s">
        <v>566</v>
      </c>
      <c r="D38" s="8">
        <v>4</v>
      </c>
      <c r="E38" s="8">
        <v>4.0839915745735818</v>
      </c>
      <c r="F38" s="8">
        <v>-8.3991574573581751E-2</v>
      </c>
    </row>
    <row r="39" spans="3:6" x14ac:dyDescent="0.25">
      <c r="C39" s="9" t="s">
        <v>567</v>
      </c>
      <c r="D39" s="8">
        <v>5</v>
      </c>
      <c r="E39" s="8">
        <v>4.2388461943912228</v>
      </c>
      <c r="F39" s="8">
        <v>0.76115380560877721</v>
      </c>
    </row>
    <row r="40" spans="3:6" x14ac:dyDescent="0.25">
      <c r="C40" s="9" t="s">
        <v>568</v>
      </c>
      <c r="D40" s="8">
        <v>4</v>
      </c>
      <c r="E40" s="8">
        <v>3.4882731568346199</v>
      </c>
      <c r="F40" s="8">
        <v>0.51172684316538009</v>
      </c>
    </row>
    <row r="41" spans="3:6" x14ac:dyDescent="0.25">
      <c r="C41" s="9" t="s">
        <v>569</v>
      </c>
      <c r="D41" s="8">
        <v>5</v>
      </c>
      <c r="E41" s="8">
        <v>4.408111334657776</v>
      </c>
      <c r="F41" s="8">
        <v>0.59188866534222395</v>
      </c>
    </row>
    <row r="42" spans="3:6" x14ac:dyDescent="0.25">
      <c r="C42" s="9" t="s">
        <v>570</v>
      </c>
      <c r="D42" s="8">
        <v>1</v>
      </c>
      <c r="E42" s="8">
        <v>4.0428588969487054</v>
      </c>
      <c r="F42" s="8">
        <v>-3.0428588969487054</v>
      </c>
    </row>
    <row r="43" spans="3:6" x14ac:dyDescent="0.25">
      <c r="C43" s="9" t="s">
        <v>571</v>
      </c>
      <c r="D43" s="8">
        <v>4</v>
      </c>
      <c r="E43" s="8">
        <v>3.9440409818888864</v>
      </c>
      <c r="F43" s="8">
        <v>5.595901811111359E-2</v>
      </c>
    </row>
    <row r="44" spans="3:6" x14ac:dyDescent="0.25">
      <c r="C44" s="9" t="s">
        <v>572</v>
      </c>
      <c r="D44" s="8">
        <v>5</v>
      </c>
      <c r="E44" s="8">
        <v>3.8524020315912835</v>
      </c>
      <c r="F44" s="8">
        <v>1.1475979684087165</v>
      </c>
    </row>
    <row r="45" spans="3:6" x14ac:dyDescent="0.25">
      <c r="C45" s="9" t="s">
        <v>573</v>
      </c>
      <c r="D45" s="8">
        <v>4</v>
      </c>
      <c r="E45" s="8">
        <v>3.9492442402964407</v>
      </c>
      <c r="F45" s="8">
        <v>5.0755759703559278E-2</v>
      </c>
    </row>
    <row r="46" spans="3:6" x14ac:dyDescent="0.25">
      <c r="C46" s="9" t="s">
        <v>574</v>
      </c>
      <c r="D46" s="8">
        <v>4</v>
      </c>
      <c r="E46" s="8">
        <v>3.7779441914396474</v>
      </c>
      <c r="F46" s="8">
        <v>0.22205580856035256</v>
      </c>
    </row>
    <row r="47" spans="3:6" x14ac:dyDescent="0.25">
      <c r="C47" s="9" t="s">
        <v>575</v>
      </c>
      <c r="D47" s="8">
        <v>5</v>
      </c>
      <c r="E47" s="8">
        <v>4.2463143235786225</v>
      </c>
      <c r="F47" s="8">
        <v>0.75368567642137752</v>
      </c>
    </row>
    <row r="48" spans="3:6" x14ac:dyDescent="0.25">
      <c r="C48" s="9" t="s">
        <v>576</v>
      </c>
      <c r="D48" s="8">
        <v>5</v>
      </c>
      <c r="E48" s="8">
        <v>3.9401219312545548</v>
      </c>
      <c r="F48" s="8">
        <v>1.0598780687454452</v>
      </c>
    </row>
    <row r="49" spans="3:6" x14ac:dyDescent="0.25">
      <c r="C49" s="9" t="s">
        <v>577</v>
      </c>
      <c r="D49" s="8">
        <v>3</v>
      </c>
      <c r="E49" s="8">
        <v>4.3396856181024752</v>
      </c>
      <c r="F49" s="8">
        <v>-1.3396856181024752</v>
      </c>
    </row>
    <row r="50" spans="3:6" x14ac:dyDescent="0.25">
      <c r="C50" s="9" t="s">
        <v>578</v>
      </c>
      <c r="D50" s="8">
        <v>5</v>
      </c>
      <c r="E50" s="8">
        <v>3.6694979057035395</v>
      </c>
      <c r="F50" s="8">
        <v>1.3305020942964605</v>
      </c>
    </row>
    <row r="51" spans="3:6" x14ac:dyDescent="0.25">
      <c r="C51" s="9" t="s">
        <v>579</v>
      </c>
      <c r="D51" s="8">
        <v>3</v>
      </c>
      <c r="E51" s="8">
        <v>3.3904333395403317</v>
      </c>
      <c r="F51" s="8">
        <v>-0.39043333954033166</v>
      </c>
    </row>
    <row r="52" spans="3:6" x14ac:dyDescent="0.25">
      <c r="C52" s="9" t="s">
        <v>580</v>
      </c>
      <c r="D52" s="8">
        <v>5</v>
      </c>
      <c r="E52" s="8">
        <v>3.8178695652274905</v>
      </c>
      <c r="F52" s="8">
        <v>1.1821304347725095</v>
      </c>
    </row>
    <row r="53" spans="3:6" x14ac:dyDescent="0.25">
      <c r="C53" s="9" t="s">
        <v>581</v>
      </c>
      <c r="D53" s="8">
        <v>5</v>
      </c>
      <c r="E53" s="8">
        <v>4.9107842377506365</v>
      </c>
      <c r="F53" s="8">
        <v>8.9215762249363451E-2</v>
      </c>
    </row>
    <row r="54" spans="3:6" x14ac:dyDescent="0.25">
      <c r="C54" s="9" t="s">
        <v>582</v>
      </c>
      <c r="D54" s="8">
        <v>5</v>
      </c>
      <c r="E54" s="8">
        <v>4.1147438931370273</v>
      </c>
      <c r="F54" s="8">
        <v>0.88525610686297274</v>
      </c>
    </row>
    <row r="55" spans="3:6" x14ac:dyDescent="0.25">
      <c r="C55" s="9" t="s">
        <v>583</v>
      </c>
      <c r="D55" s="8">
        <v>4</v>
      </c>
      <c r="E55" s="8">
        <v>3.9064706968794196</v>
      </c>
      <c r="F55" s="8">
        <v>9.3529303120580387E-2</v>
      </c>
    </row>
    <row r="56" spans="3:6" x14ac:dyDescent="0.25">
      <c r="C56" s="9" t="s">
        <v>584</v>
      </c>
      <c r="D56" s="8">
        <v>4</v>
      </c>
      <c r="E56" s="8">
        <v>4.2976162830801687</v>
      </c>
      <c r="F56" s="8">
        <v>-0.29761628308016874</v>
      </c>
    </row>
    <row r="57" spans="3:6" x14ac:dyDescent="0.25">
      <c r="C57" s="9" t="s">
        <v>585</v>
      </c>
      <c r="D57" s="8">
        <v>5</v>
      </c>
      <c r="E57" s="8">
        <v>4.4527775762607398</v>
      </c>
      <c r="F57" s="8">
        <v>0.54722242373926022</v>
      </c>
    </row>
    <row r="58" spans="3:6" x14ac:dyDescent="0.25">
      <c r="C58" s="9" t="s">
        <v>586</v>
      </c>
      <c r="D58" s="8">
        <v>5</v>
      </c>
      <c r="E58" s="8">
        <v>4.5604114348391995</v>
      </c>
      <c r="F58" s="8">
        <v>0.43958856516080047</v>
      </c>
    </row>
    <row r="59" spans="3:6" x14ac:dyDescent="0.25">
      <c r="C59" s="9" t="s">
        <v>587</v>
      </c>
      <c r="D59" s="8">
        <v>3</v>
      </c>
      <c r="E59" s="8">
        <v>3.8571880652743715</v>
      </c>
      <c r="F59" s="8">
        <v>-0.85718806527437152</v>
      </c>
    </row>
    <row r="60" spans="3:6" x14ac:dyDescent="0.25">
      <c r="C60" s="9" t="s">
        <v>588</v>
      </c>
      <c r="D60" s="8">
        <v>5</v>
      </c>
      <c r="E60" s="8">
        <v>4.2422627539822537</v>
      </c>
      <c r="F60" s="8">
        <v>0.75773724601774628</v>
      </c>
    </row>
    <row r="61" spans="3:6" x14ac:dyDescent="0.25">
      <c r="C61" s="9" t="s">
        <v>589</v>
      </c>
      <c r="D61" s="8">
        <v>4</v>
      </c>
      <c r="E61" s="8">
        <v>4.3396856181024752</v>
      </c>
      <c r="F61" s="8">
        <v>-0.33968561810247522</v>
      </c>
    </row>
    <row r="62" spans="3:6" x14ac:dyDescent="0.25">
      <c r="C62" s="9" t="s">
        <v>590</v>
      </c>
      <c r="D62" s="8">
        <v>4</v>
      </c>
      <c r="E62" s="8">
        <v>3.9787029575612443</v>
      </c>
      <c r="F62" s="8">
        <v>2.1297042438755742E-2</v>
      </c>
    </row>
    <row r="63" spans="3:6" x14ac:dyDescent="0.25">
      <c r="C63" s="9" t="s">
        <v>591</v>
      </c>
      <c r="D63" s="8">
        <v>5</v>
      </c>
      <c r="E63" s="8">
        <v>4.8185571242345349</v>
      </c>
      <c r="F63" s="8">
        <v>0.18144287576546514</v>
      </c>
    </row>
    <row r="64" spans="3:6" x14ac:dyDescent="0.25">
      <c r="C64" s="9" t="s">
        <v>592</v>
      </c>
      <c r="D64" s="8">
        <v>5</v>
      </c>
      <c r="E64" s="8">
        <v>4.3375577536796541</v>
      </c>
      <c r="F64" s="8">
        <v>0.66244224632034587</v>
      </c>
    </row>
    <row r="65" spans="3:6" x14ac:dyDescent="0.25">
      <c r="C65" s="9" t="s">
        <v>593</v>
      </c>
      <c r="D65" s="8">
        <v>5</v>
      </c>
      <c r="E65" s="8">
        <v>4.3670857138324131</v>
      </c>
      <c r="F65" s="8">
        <v>0.63291428616758694</v>
      </c>
    </row>
    <row r="66" spans="3:6" x14ac:dyDescent="0.25">
      <c r="C66" s="9" t="s">
        <v>594</v>
      </c>
      <c r="D66" s="8">
        <v>5</v>
      </c>
      <c r="E66" s="8">
        <v>5.022012550864452</v>
      </c>
      <c r="F66" s="8">
        <v>-2.2012550864451974E-2</v>
      </c>
    </row>
    <row r="67" spans="3:6" x14ac:dyDescent="0.25">
      <c r="C67" s="9" t="s">
        <v>595</v>
      </c>
      <c r="D67" s="8">
        <v>5</v>
      </c>
      <c r="E67" s="8">
        <v>4.6662570240531114</v>
      </c>
      <c r="F67" s="8">
        <v>0.33374297594688862</v>
      </c>
    </row>
    <row r="68" spans="3:6" x14ac:dyDescent="0.25">
      <c r="C68" s="9" t="s">
        <v>596</v>
      </c>
      <c r="D68" s="8">
        <v>5</v>
      </c>
      <c r="E68" s="8">
        <v>4.0723176142135094</v>
      </c>
      <c r="F68" s="8">
        <v>0.92768238578649065</v>
      </c>
    </row>
    <row r="69" spans="3:6" x14ac:dyDescent="0.25">
      <c r="C69" s="9" t="s">
        <v>597</v>
      </c>
      <c r="D69" s="8">
        <v>5</v>
      </c>
      <c r="E69" s="8">
        <v>4.7143939409041149</v>
      </c>
      <c r="F69" s="8">
        <v>0.2856060590958851</v>
      </c>
    </row>
    <row r="70" spans="3:6" x14ac:dyDescent="0.25">
      <c r="C70" s="9" t="s">
        <v>598</v>
      </c>
      <c r="D70" s="8">
        <v>5</v>
      </c>
      <c r="E70" s="8">
        <v>3.4472845378290287</v>
      </c>
      <c r="F70" s="8">
        <v>1.5527154621709713</v>
      </c>
    </row>
    <row r="71" spans="3:6" x14ac:dyDescent="0.25">
      <c r="C71" s="9" t="s">
        <v>599</v>
      </c>
      <c r="D71" s="8">
        <v>4</v>
      </c>
      <c r="E71" s="8">
        <v>3.5020913316848818</v>
      </c>
      <c r="F71" s="8">
        <v>0.49790866831511815</v>
      </c>
    </row>
    <row r="72" spans="3:6" x14ac:dyDescent="0.25">
      <c r="C72" s="9" t="s">
        <v>600</v>
      </c>
      <c r="D72" s="8">
        <v>4</v>
      </c>
      <c r="E72" s="8">
        <v>4.0375006139130427</v>
      </c>
      <c r="F72" s="8">
        <v>-3.7500613913042713E-2</v>
      </c>
    </row>
    <row r="73" spans="3:6" x14ac:dyDescent="0.25">
      <c r="C73" s="9" t="s">
        <v>601</v>
      </c>
      <c r="D73" s="8">
        <v>4</v>
      </c>
      <c r="E73" s="8">
        <v>4.3622385219336861</v>
      </c>
      <c r="F73" s="8">
        <v>-0.36223852193368611</v>
      </c>
    </row>
    <row r="74" spans="3:6" x14ac:dyDescent="0.25">
      <c r="C74" s="9" t="s">
        <v>602</v>
      </c>
      <c r="D74" s="8">
        <v>5</v>
      </c>
      <c r="E74" s="8">
        <v>4.555028710939296</v>
      </c>
      <c r="F74" s="8">
        <v>0.44497128906070404</v>
      </c>
    </row>
    <row r="75" spans="3:6" x14ac:dyDescent="0.25">
      <c r="C75" s="9" t="s">
        <v>603</v>
      </c>
      <c r="D75" s="8">
        <v>3</v>
      </c>
      <c r="E75" s="8">
        <v>3.7793318559923041</v>
      </c>
      <c r="F75" s="8">
        <v>-0.77933185599230415</v>
      </c>
    </row>
    <row r="76" spans="3:6" x14ac:dyDescent="0.25">
      <c r="C76" s="9" t="s">
        <v>604</v>
      </c>
      <c r="D76" s="8">
        <v>5</v>
      </c>
      <c r="E76" s="8">
        <v>3.7917408817074629</v>
      </c>
      <c r="F76" s="8">
        <v>1.2082591182925371</v>
      </c>
    </row>
    <row r="77" spans="3:6" x14ac:dyDescent="0.25">
      <c r="C77" s="9" t="s">
        <v>605</v>
      </c>
      <c r="D77" s="8">
        <v>3</v>
      </c>
      <c r="E77" s="8">
        <v>3.6021036299278082</v>
      </c>
      <c r="F77" s="8">
        <v>-0.60210362992780819</v>
      </c>
    </row>
    <row r="78" spans="3:6" x14ac:dyDescent="0.25">
      <c r="C78" s="9" t="s">
        <v>606</v>
      </c>
      <c r="D78" s="8">
        <v>4</v>
      </c>
      <c r="E78" s="8">
        <v>4.1639951554426045</v>
      </c>
      <c r="F78" s="8">
        <v>-0.16399515544260446</v>
      </c>
    </row>
    <row r="79" spans="3:6" x14ac:dyDescent="0.25">
      <c r="C79" s="9" t="s">
        <v>607</v>
      </c>
      <c r="D79" s="8">
        <v>4</v>
      </c>
      <c r="E79" s="8">
        <v>3.9390500201246645</v>
      </c>
      <c r="F79" s="8">
        <v>6.0949979875335458E-2</v>
      </c>
    </row>
    <row r="80" spans="3:6" x14ac:dyDescent="0.25">
      <c r="C80" s="9" t="s">
        <v>608</v>
      </c>
      <c r="D80" s="8">
        <v>5</v>
      </c>
      <c r="E80" s="8">
        <v>4.9107842377506365</v>
      </c>
      <c r="F80" s="8">
        <v>8.9215762249363451E-2</v>
      </c>
    </row>
    <row r="81" spans="3:6" x14ac:dyDescent="0.25">
      <c r="C81" s="9" t="s">
        <v>609</v>
      </c>
      <c r="D81" s="8">
        <v>5</v>
      </c>
      <c r="E81" s="8">
        <v>4.6039149861381494</v>
      </c>
      <c r="F81" s="8">
        <v>0.39608501386185058</v>
      </c>
    </row>
    <row r="82" spans="3:6" x14ac:dyDescent="0.25">
      <c r="C82" s="9" t="s">
        <v>610</v>
      </c>
      <c r="D82" s="8">
        <v>4</v>
      </c>
      <c r="E82" s="8">
        <v>4.6662570240531114</v>
      </c>
      <c r="F82" s="8">
        <v>-0.66625702405311138</v>
      </c>
    </row>
    <row r="83" spans="3:6" x14ac:dyDescent="0.25">
      <c r="C83" s="9" t="s">
        <v>611</v>
      </c>
      <c r="D83" s="8">
        <v>5</v>
      </c>
      <c r="E83" s="8">
        <v>3.7567113728028119</v>
      </c>
      <c r="F83" s="8">
        <v>1.2432886271971881</v>
      </c>
    </row>
    <row r="84" spans="3:6" x14ac:dyDescent="0.25">
      <c r="C84" s="9" t="s">
        <v>612</v>
      </c>
      <c r="D84" s="8">
        <v>3</v>
      </c>
      <c r="E84" s="8">
        <v>4.3834059544769346</v>
      </c>
      <c r="F84" s="8">
        <v>-1.3834059544769346</v>
      </c>
    </row>
    <row r="85" spans="3:6" x14ac:dyDescent="0.25">
      <c r="C85" s="9" t="s">
        <v>613</v>
      </c>
      <c r="D85" s="8">
        <v>3</v>
      </c>
      <c r="E85" s="8">
        <v>3.837845728173304</v>
      </c>
      <c r="F85" s="8">
        <v>-0.83784572817330405</v>
      </c>
    </row>
    <row r="86" spans="3:6" x14ac:dyDescent="0.25">
      <c r="C86" s="9" t="s">
        <v>614</v>
      </c>
      <c r="D86" s="8">
        <v>5</v>
      </c>
      <c r="E86" s="8">
        <v>3.8635039045479291</v>
      </c>
      <c r="F86" s="8">
        <v>1.1364960954520709</v>
      </c>
    </row>
    <row r="87" spans="3:6" x14ac:dyDescent="0.25">
      <c r="C87" s="9" t="s">
        <v>615</v>
      </c>
      <c r="D87" s="8">
        <v>4</v>
      </c>
      <c r="E87" s="8">
        <v>3.9940903790367788</v>
      </c>
      <c r="F87" s="8">
        <v>5.9096209632212293E-3</v>
      </c>
    </row>
    <row r="88" spans="3:6" x14ac:dyDescent="0.25">
      <c r="C88" s="9" t="s">
        <v>616</v>
      </c>
      <c r="D88" s="8">
        <v>5</v>
      </c>
      <c r="E88" s="8">
        <v>3.8147129944664671</v>
      </c>
      <c r="F88" s="8">
        <v>1.1852870055335329</v>
      </c>
    </row>
    <row r="89" spans="3:6" x14ac:dyDescent="0.25">
      <c r="C89" s="9" t="s">
        <v>617</v>
      </c>
      <c r="D89" s="8">
        <v>4</v>
      </c>
      <c r="E89" s="8">
        <v>3.490445637783258</v>
      </c>
      <c r="F89" s="8">
        <v>0.509554362216742</v>
      </c>
    </row>
    <row r="90" spans="3:6" x14ac:dyDescent="0.25">
      <c r="C90" s="9" t="s">
        <v>618</v>
      </c>
      <c r="D90" s="8">
        <v>2</v>
      </c>
      <c r="E90" s="8">
        <v>3.7137445804713223</v>
      </c>
      <c r="F90" s="8">
        <v>-1.7137445804713223</v>
      </c>
    </row>
    <row r="91" spans="3:6" x14ac:dyDescent="0.25">
      <c r="C91" s="9" t="s">
        <v>619</v>
      </c>
      <c r="D91" s="8">
        <v>5</v>
      </c>
      <c r="E91" s="8">
        <v>4.134102327049737</v>
      </c>
      <c r="F91" s="8">
        <v>0.86589767295026299</v>
      </c>
    </row>
    <row r="92" spans="3:6" x14ac:dyDescent="0.25">
      <c r="C92" s="9" t="s">
        <v>620</v>
      </c>
      <c r="D92" s="8">
        <v>2</v>
      </c>
      <c r="E92" s="8">
        <v>3.726937620377019</v>
      </c>
      <c r="F92" s="8">
        <v>-1.726937620377019</v>
      </c>
    </row>
    <row r="93" spans="3:6" x14ac:dyDescent="0.25">
      <c r="C93" s="9" t="s">
        <v>621</v>
      </c>
      <c r="D93" s="8">
        <v>5</v>
      </c>
      <c r="E93" s="8">
        <v>4.1340280510675482</v>
      </c>
      <c r="F93" s="8">
        <v>0.86597194893245177</v>
      </c>
    </row>
    <row r="94" spans="3:6" x14ac:dyDescent="0.25">
      <c r="C94" s="9" t="s">
        <v>622</v>
      </c>
      <c r="D94" s="8">
        <v>4</v>
      </c>
      <c r="E94" s="8">
        <v>4.3834059544769346</v>
      </c>
      <c r="F94" s="8">
        <v>-0.3834059544769346</v>
      </c>
    </row>
    <row r="95" spans="3:6" x14ac:dyDescent="0.25">
      <c r="C95" s="9" t="s">
        <v>623</v>
      </c>
      <c r="D95" s="8">
        <v>5</v>
      </c>
      <c r="E95" s="8">
        <v>4.1388338961482969</v>
      </c>
      <c r="F95" s="8">
        <v>0.86116610385170311</v>
      </c>
    </row>
    <row r="96" spans="3:6" x14ac:dyDescent="0.25">
      <c r="C96" s="9" t="s">
        <v>624</v>
      </c>
      <c r="D96" s="8">
        <v>5</v>
      </c>
      <c r="E96" s="8">
        <v>4.6744685671162713</v>
      </c>
      <c r="F96" s="8">
        <v>0.32553143288372866</v>
      </c>
    </row>
    <row r="97" spans="3:6" x14ac:dyDescent="0.25">
      <c r="C97" s="9" t="s">
        <v>625</v>
      </c>
      <c r="D97" s="8">
        <v>5</v>
      </c>
      <c r="E97" s="8">
        <v>4.4001693574279104</v>
      </c>
      <c r="F97" s="8">
        <v>0.59983064257208962</v>
      </c>
    </row>
    <row r="98" spans="3:6" x14ac:dyDescent="0.25">
      <c r="C98" s="9" t="s">
        <v>626</v>
      </c>
      <c r="D98" s="8">
        <v>2</v>
      </c>
      <c r="E98" s="8">
        <v>3.831666255495306</v>
      </c>
      <c r="F98" s="8">
        <v>-1.831666255495306</v>
      </c>
    </row>
    <row r="99" spans="3:6" x14ac:dyDescent="0.25">
      <c r="C99" s="9" t="s">
        <v>627</v>
      </c>
      <c r="D99" s="8">
        <v>3</v>
      </c>
      <c r="E99" s="8">
        <v>4.1375129121559686</v>
      </c>
      <c r="F99" s="8">
        <v>-1.1375129121559686</v>
      </c>
    </row>
    <row r="100" spans="3:6" x14ac:dyDescent="0.25">
      <c r="C100" s="9" t="s">
        <v>628</v>
      </c>
      <c r="D100" s="8">
        <v>5</v>
      </c>
      <c r="E100" s="8">
        <v>4.1076872870737065</v>
      </c>
      <c r="F100" s="8">
        <v>0.89231271292629355</v>
      </c>
    </row>
    <row r="101" spans="3:6" x14ac:dyDescent="0.25">
      <c r="C101" s="9" t="s">
        <v>629</v>
      </c>
      <c r="D101" s="8">
        <v>5</v>
      </c>
      <c r="E101" s="8">
        <v>3.9255568174725406</v>
      </c>
      <c r="F101" s="8">
        <v>1.0744431825274594</v>
      </c>
    </row>
    <row r="102" spans="3:6" x14ac:dyDescent="0.25">
      <c r="C102" s="9" t="s">
        <v>630</v>
      </c>
      <c r="D102" s="8">
        <v>3</v>
      </c>
      <c r="E102" s="8">
        <v>4.0496565912245153</v>
      </c>
      <c r="F102" s="8">
        <v>-1.0496565912245153</v>
      </c>
    </row>
    <row r="103" spans="3:6" x14ac:dyDescent="0.25">
      <c r="C103" s="9" t="s">
        <v>631</v>
      </c>
      <c r="D103" s="8">
        <v>3</v>
      </c>
      <c r="E103" s="8">
        <v>4.5817886195058755</v>
      </c>
      <c r="F103" s="8">
        <v>-1.5817886195058755</v>
      </c>
    </row>
    <row r="104" spans="3:6" x14ac:dyDescent="0.25">
      <c r="C104" s="9" t="s">
        <v>632</v>
      </c>
      <c r="D104" s="8">
        <v>3</v>
      </c>
      <c r="E104" s="8">
        <v>3.9628809863572494</v>
      </c>
      <c r="F104" s="8">
        <v>-0.96288098635724939</v>
      </c>
    </row>
    <row r="105" spans="3:6" x14ac:dyDescent="0.25">
      <c r="C105" s="9" t="s">
        <v>633</v>
      </c>
      <c r="D105" s="8">
        <v>5</v>
      </c>
      <c r="E105" s="8">
        <v>3.7593197282659085</v>
      </c>
      <c r="F105" s="8">
        <v>1.2406802717340915</v>
      </c>
    </row>
    <row r="106" spans="3:6" x14ac:dyDescent="0.25">
      <c r="C106" s="9" t="s">
        <v>634</v>
      </c>
      <c r="D106" s="8">
        <v>5</v>
      </c>
      <c r="E106" s="8">
        <v>4.5949540847271395</v>
      </c>
      <c r="F106" s="8">
        <v>0.40504591527286049</v>
      </c>
    </row>
    <row r="107" spans="3:6" x14ac:dyDescent="0.25">
      <c r="C107" s="9" t="s">
        <v>635</v>
      </c>
      <c r="D107" s="8">
        <v>5</v>
      </c>
      <c r="E107" s="8">
        <v>4.3396856181024752</v>
      </c>
      <c r="F107" s="8">
        <v>0.66031438189752478</v>
      </c>
    </row>
    <row r="108" spans="3:6" x14ac:dyDescent="0.25">
      <c r="C108" s="9" t="s">
        <v>636</v>
      </c>
      <c r="D108" s="8">
        <v>5</v>
      </c>
      <c r="E108" s="8">
        <v>4.0496565912245153</v>
      </c>
      <c r="F108" s="8">
        <v>0.95034340877548473</v>
      </c>
    </row>
    <row r="109" spans="3:6" x14ac:dyDescent="0.25">
      <c r="C109" s="9" t="s">
        <v>637</v>
      </c>
      <c r="D109" s="8">
        <v>5</v>
      </c>
      <c r="E109" s="8">
        <v>4.5662447258101855</v>
      </c>
      <c r="F109" s="8">
        <v>0.43375527418981452</v>
      </c>
    </row>
    <row r="110" spans="3:6" x14ac:dyDescent="0.25">
      <c r="C110" s="9" t="s">
        <v>638</v>
      </c>
      <c r="D110" s="8">
        <v>5</v>
      </c>
      <c r="E110" s="8">
        <v>4.6084674919806243</v>
      </c>
      <c r="F110" s="8">
        <v>0.39153250801937567</v>
      </c>
    </row>
    <row r="111" spans="3:6" x14ac:dyDescent="0.25">
      <c r="C111" s="9" t="s">
        <v>639</v>
      </c>
      <c r="D111" s="8">
        <v>5</v>
      </c>
      <c r="E111" s="8">
        <v>4.0007015064141207</v>
      </c>
      <c r="F111" s="8">
        <v>0.9992984935858793</v>
      </c>
    </row>
    <row r="112" spans="3:6" x14ac:dyDescent="0.25">
      <c r="C112" s="9" t="s">
        <v>640</v>
      </c>
      <c r="D112" s="8">
        <v>5</v>
      </c>
      <c r="E112" s="8">
        <v>4.4284704634573542</v>
      </c>
      <c r="F112" s="8">
        <v>0.57152953654264582</v>
      </c>
    </row>
    <row r="113" spans="3:6" x14ac:dyDescent="0.25">
      <c r="C113" s="9" t="s">
        <v>641</v>
      </c>
      <c r="D113" s="8">
        <v>5</v>
      </c>
      <c r="E113" s="8">
        <v>4.303018252184132</v>
      </c>
      <c r="F113" s="8">
        <v>0.69698174781586797</v>
      </c>
    </row>
    <row r="114" spans="3:6" x14ac:dyDescent="0.25">
      <c r="C114" s="9" t="s">
        <v>642</v>
      </c>
      <c r="D114" s="8">
        <v>4</v>
      </c>
      <c r="E114" s="8">
        <v>3.8039955047732041</v>
      </c>
      <c r="F114" s="8">
        <v>0.19600449522679586</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Output'!$B$10:$B$10" display="Inputs" xr:uid="{88BF94CD-B332-4503-820E-25A655C19C7B}"/>
    <hyperlink ref="D4" location="'LinReg_Output'!$B$50:$B$50" display="Regression Summary" xr:uid="{49A0EB7F-C9B8-4C3F-AC9C-4B9E66E67567}"/>
    <hyperlink ref="F4" location="'LinReg_Output'!$B$59:$B$59" display="Predictor Screening" xr:uid="{AB9C61B3-5115-424F-88DA-A7224FABD5C4}"/>
    <hyperlink ref="H4" location="'LinReg_Output'!$B$79:$B$79" display="Coefficients" xr:uid="{B6A1C27F-C162-464F-B2E2-AD42ECF3C046}"/>
    <hyperlink ref="J4" location="'LinReg_Stored1'!$B$10:$B$10" display="PMML Model" xr:uid="{1327C473-14C7-4D51-8B7C-FDF77D6E29C6}"/>
    <hyperlink ref="B5" location="'LinReg_TrainingScore1'!$B$10:$B$10" display="Training: Prediction Summary" xr:uid="{19DF5922-8D84-44F2-A984-609615B41960}"/>
    <hyperlink ref="D5" location="'LinReg_TrainingScore1'!$B$19:$B$19" display="Training: Prediction Details" xr:uid="{41E51364-1C25-448A-B1A5-23BEA3986CE1}"/>
    <hyperlink ref="F5" location="'LinReg_ValidationScore1'!$B$10:$B$10" display="Validation: Prediction Summary" xr:uid="{1B315698-6E74-4C4F-BEE5-8C127FA5D221}"/>
    <hyperlink ref="H5" location="'LinReg_ValidationScore1'!$B$19:$B$19" display="Validation: Prediction Details" xr:uid="{53A4E37D-08EB-4B98-B329-13D1A5A032F9}"/>
  </hyperlinks>
  <pageMargins left="0.7" right="0.7" top="0.75" bottom="0.75" header="0.3" footer="0.3"/>
  <legacyDrawing r:id="rId1"/>
  <tableParts count="2">
    <tablePart r:id="rId2"/>
    <tablePart r:id="rId3"/>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1409D-F7B4-4363-B731-DB70ECBCD606}">
  <sheetPr codeName="Sheet29">
    <tabColor theme="4" tint="0.59999389629810485"/>
  </sheetPr>
  <dimension ref="B1:Q69"/>
  <sheetViews>
    <sheetView showGridLines="0" topLeftCell="A4" workbookViewId="0">
      <selection activeCell="N35" sqref="N35"/>
    </sheetView>
  </sheetViews>
  <sheetFormatPr defaultRowHeight="15" x14ac:dyDescent="0.25"/>
  <cols>
    <col min="14" max="14" width="15.5703125" bestFit="1" customWidth="1"/>
  </cols>
  <sheetData>
    <row r="1" spans="2:17" ht="18.75" x14ac:dyDescent="0.3">
      <c r="B1" s="6" t="s">
        <v>644</v>
      </c>
      <c r="N1" t="s">
        <v>881</v>
      </c>
    </row>
    <row r="3" spans="2:17" ht="15.75" x14ac:dyDescent="0.25">
      <c r="B3" s="13" t="s">
        <v>147</v>
      </c>
      <c r="C3" s="14"/>
      <c r="D3" s="14"/>
      <c r="E3" s="14"/>
      <c r="F3" s="14"/>
      <c r="G3" s="14"/>
      <c r="H3" s="14"/>
      <c r="I3" s="14"/>
      <c r="J3" s="14"/>
      <c r="K3" s="15"/>
      <c r="N3" s="13" t="s">
        <v>148</v>
      </c>
      <c r="O3" s="14"/>
      <c r="P3" s="14"/>
      <c r="Q3" s="15"/>
    </row>
    <row r="4" spans="2:17" x14ac:dyDescent="0.25">
      <c r="B4" s="25" t="s">
        <v>153</v>
      </c>
      <c r="C4" s="21"/>
      <c r="D4" s="25" t="s">
        <v>720</v>
      </c>
      <c r="E4" s="21"/>
      <c r="F4" s="25" t="s">
        <v>721</v>
      </c>
      <c r="G4" s="21"/>
      <c r="H4" s="25" t="s">
        <v>722</v>
      </c>
      <c r="I4" s="21"/>
      <c r="J4" s="25" t="s">
        <v>645</v>
      </c>
      <c r="K4" s="21"/>
      <c r="N4" s="11" t="s">
        <v>149</v>
      </c>
      <c r="O4" s="11" t="s">
        <v>150</v>
      </c>
      <c r="P4" s="11" t="s">
        <v>151</v>
      </c>
      <c r="Q4" s="11" t="s">
        <v>152</v>
      </c>
    </row>
    <row r="5" spans="2:17" x14ac:dyDescent="0.25">
      <c r="B5" s="25" t="s">
        <v>723</v>
      </c>
      <c r="C5" s="21"/>
      <c r="D5" s="25" t="s">
        <v>830</v>
      </c>
      <c r="E5" s="21"/>
      <c r="F5" s="25" t="s">
        <v>724</v>
      </c>
      <c r="G5" s="21"/>
      <c r="H5" s="25" t="s">
        <v>831</v>
      </c>
      <c r="I5" s="21"/>
      <c r="J5" s="19"/>
      <c r="K5" s="21"/>
      <c r="N5" s="10">
        <v>14</v>
      </c>
      <c r="O5" s="10">
        <v>4</v>
      </c>
      <c r="P5" s="10">
        <v>15</v>
      </c>
      <c r="Q5" s="10">
        <v>33</v>
      </c>
    </row>
    <row r="10" spans="2:17" ht="18.75" x14ac:dyDescent="0.3">
      <c r="B10" s="7" t="s">
        <v>645</v>
      </c>
    </row>
    <row r="12" spans="2:17" x14ac:dyDescent="0.25">
      <c r="B12" t="s">
        <v>646</v>
      </c>
    </row>
    <row r="13" spans="2:17" x14ac:dyDescent="0.25">
      <c r="B13" t="s">
        <v>647</v>
      </c>
    </row>
    <row r="14" spans="2:17" x14ac:dyDescent="0.25">
      <c r="B14" t="s">
        <v>648</v>
      </c>
    </row>
    <row r="15" spans="2:17" x14ac:dyDescent="0.25">
      <c r="B15" t="s">
        <v>649</v>
      </c>
    </row>
    <row r="16" spans="2:17" x14ac:dyDescent="0.25">
      <c r="B16" t="s">
        <v>882</v>
      </c>
    </row>
    <row r="17" spans="2:2" x14ac:dyDescent="0.25">
      <c r="B17" t="s">
        <v>650</v>
      </c>
    </row>
    <row r="18" spans="2:2" x14ac:dyDescent="0.25">
      <c r="B18" t="s">
        <v>651</v>
      </c>
    </row>
    <row r="19" spans="2:2" x14ac:dyDescent="0.25">
      <c r="B19" t="s">
        <v>883</v>
      </c>
    </row>
    <row r="20" spans="2:2" x14ac:dyDescent="0.25">
      <c r="B20" t="s">
        <v>655</v>
      </c>
    </row>
    <row r="21" spans="2:2" x14ac:dyDescent="0.25">
      <c r="B21" t="s">
        <v>661</v>
      </c>
    </row>
    <row r="22" spans="2:2" x14ac:dyDescent="0.25">
      <c r="B22" t="s">
        <v>663</v>
      </c>
    </row>
    <row r="23" spans="2:2" x14ac:dyDescent="0.25">
      <c r="B23" t="s">
        <v>664</v>
      </c>
    </row>
    <row r="24" spans="2:2" x14ac:dyDescent="0.25">
      <c r="B24" t="s">
        <v>665</v>
      </c>
    </row>
    <row r="25" spans="2:2" x14ac:dyDescent="0.25">
      <c r="B25" t="s">
        <v>666</v>
      </c>
    </row>
    <row r="26" spans="2:2" x14ac:dyDescent="0.25">
      <c r="B26" t="s">
        <v>668</v>
      </c>
    </row>
    <row r="27" spans="2:2" x14ac:dyDescent="0.25">
      <c r="B27" t="s">
        <v>672</v>
      </c>
    </row>
    <row r="28" spans="2:2" x14ac:dyDescent="0.25">
      <c r="B28" t="s">
        <v>674</v>
      </c>
    </row>
    <row r="29" spans="2:2" x14ac:dyDescent="0.25">
      <c r="B29" t="s">
        <v>675</v>
      </c>
    </row>
    <row r="30" spans="2:2" x14ac:dyDescent="0.25">
      <c r="B30" t="s">
        <v>676</v>
      </c>
    </row>
    <row r="31" spans="2:2" x14ac:dyDescent="0.25">
      <c r="B31" t="s">
        <v>677</v>
      </c>
    </row>
    <row r="32" spans="2:2" x14ac:dyDescent="0.25">
      <c r="B32" t="s">
        <v>678</v>
      </c>
    </row>
    <row r="33" spans="2:2" x14ac:dyDescent="0.25">
      <c r="B33" t="s">
        <v>679</v>
      </c>
    </row>
    <row r="34" spans="2:2" x14ac:dyDescent="0.25">
      <c r="B34" t="s">
        <v>680</v>
      </c>
    </row>
    <row r="35" spans="2:2" x14ac:dyDescent="0.25">
      <c r="B35" t="s">
        <v>681</v>
      </c>
    </row>
    <row r="36" spans="2:2" x14ac:dyDescent="0.25">
      <c r="B36" t="s">
        <v>682</v>
      </c>
    </row>
    <row r="37" spans="2:2" x14ac:dyDescent="0.25">
      <c r="B37" t="s">
        <v>685</v>
      </c>
    </row>
    <row r="38" spans="2:2" x14ac:dyDescent="0.25">
      <c r="B38" t="s">
        <v>691</v>
      </c>
    </row>
    <row r="39" spans="2:2" x14ac:dyDescent="0.25">
      <c r="B39" t="s">
        <v>693</v>
      </c>
    </row>
    <row r="40" spans="2:2" x14ac:dyDescent="0.25">
      <c r="B40" t="s">
        <v>694</v>
      </c>
    </row>
    <row r="41" spans="2:2" x14ac:dyDescent="0.25">
      <c r="B41" t="s">
        <v>695</v>
      </c>
    </row>
    <row r="42" spans="2:2" x14ac:dyDescent="0.25">
      <c r="B42" t="s">
        <v>696</v>
      </c>
    </row>
    <row r="43" spans="2:2" x14ac:dyDescent="0.25">
      <c r="B43" t="s">
        <v>698</v>
      </c>
    </row>
    <row r="44" spans="2:2" x14ac:dyDescent="0.25">
      <c r="B44" t="s">
        <v>702</v>
      </c>
    </row>
    <row r="45" spans="2:2" x14ac:dyDescent="0.25">
      <c r="B45" t="s">
        <v>704</v>
      </c>
    </row>
    <row r="46" spans="2:2" x14ac:dyDescent="0.25">
      <c r="B46" t="s">
        <v>705</v>
      </c>
    </row>
    <row r="47" spans="2:2" x14ac:dyDescent="0.25">
      <c r="B47" t="s">
        <v>706</v>
      </c>
    </row>
    <row r="48" spans="2:2" x14ac:dyDescent="0.25">
      <c r="B48" t="s">
        <v>707</v>
      </c>
    </row>
    <row r="49" spans="2:2" x14ac:dyDescent="0.25">
      <c r="B49" t="s">
        <v>708</v>
      </c>
    </row>
    <row r="50" spans="2:2" x14ac:dyDescent="0.25">
      <c r="B50" t="s">
        <v>709</v>
      </c>
    </row>
    <row r="51" spans="2:2" x14ac:dyDescent="0.25">
      <c r="B51" t="s">
        <v>710</v>
      </c>
    </row>
    <row r="52" spans="2:2" x14ac:dyDescent="0.25">
      <c r="B52" t="s">
        <v>711</v>
      </c>
    </row>
    <row r="53" spans="2:2" x14ac:dyDescent="0.25">
      <c r="B53" t="s">
        <v>712</v>
      </c>
    </row>
    <row r="54" spans="2:2" x14ac:dyDescent="0.25">
      <c r="B54" t="s">
        <v>884</v>
      </c>
    </row>
    <row r="55" spans="2:2" x14ac:dyDescent="0.25">
      <c r="B55" t="s">
        <v>885</v>
      </c>
    </row>
    <row r="56" spans="2:2" x14ac:dyDescent="0.25">
      <c r="B56" t="s">
        <v>886</v>
      </c>
    </row>
    <row r="57" spans="2:2" x14ac:dyDescent="0.25">
      <c r="B57" t="s">
        <v>887</v>
      </c>
    </row>
    <row r="58" spans="2:2" x14ac:dyDescent="0.25">
      <c r="B58" t="s">
        <v>888</v>
      </c>
    </row>
    <row r="59" spans="2:2" x14ac:dyDescent="0.25">
      <c r="B59" t="s">
        <v>889</v>
      </c>
    </row>
    <row r="60" spans="2:2" x14ac:dyDescent="0.25">
      <c r="B60" t="s">
        <v>890</v>
      </c>
    </row>
    <row r="61" spans="2:2" x14ac:dyDescent="0.25">
      <c r="B61" t="s">
        <v>891</v>
      </c>
    </row>
    <row r="62" spans="2:2" x14ac:dyDescent="0.25">
      <c r="B62" t="s">
        <v>892</v>
      </c>
    </row>
    <row r="63" spans="2:2" x14ac:dyDescent="0.25">
      <c r="B63" t="s">
        <v>893</v>
      </c>
    </row>
    <row r="64" spans="2:2" x14ac:dyDescent="0.25">
      <c r="B64" t="s">
        <v>894</v>
      </c>
    </row>
    <row r="65" spans="2:2" x14ac:dyDescent="0.25">
      <c r="B65" t="s">
        <v>895</v>
      </c>
    </row>
    <row r="66" spans="2:2" x14ac:dyDescent="0.25">
      <c r="B66" t="s">
        <v>896</v>
      </c>
    </row>
    <row r="67" spans="2:2" x14ac:dyDescent="0.25">
      <c r="B67" t="s">
        <v>717</v>
      </c>
    </row>
    <row r="68" spans="2:2" x14ac:dyDescent="0.25">
      <c r="B68" t="s">
        <v>718</v>
      </c>
    </row>
    <row r="69" spans="2:2" x14ac:dyDescent="0.25">
      <c r="B69" t="s">
        <v>719</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Output'!$B$10:$B$10" display="Inputs" xr:uid="{C6D2F98B-0846-4BE5-A0A2-A119B4BB9A34}"/>
    <hyperlink ref="D4" location="'LinReg_Output'!$B$50:$B$50" display="Regression Summary" xr:uid="{05E1ED6E-8C65-419D-BB47-D00F8F4B213D}"/>
    <hyperlink ref="F4" location="'LinReg_Output'!$B$59:$B$59" display="Predictor Screening" xr:uid="{D16E4A60-E16F-4E52-974C-17999FB785E0}"/>
    <hyperlink ref="H4" location="'LinReg_Output'!$B$79:$B$79" display="Coefficients" xr:uid="{B29187A1-56B1-4ECB-9A91-0F199CA93249}"/>
    <hyperlink ref="J4" location="'LinReg_Stored1'!$B$10:$B$10" display="PMML Model" xr:uid="{43F46B6E-5063-4DD8-89FB-345500E084C0}"/>
    <hyperlink ref="B5" location="'LinReg_TrainingScore1'!$B$10:$B$10" display="Training: Prediction Summary" xr:uid="{F8FA38B9-EF82-4AE6-A40B-71DCA7E6D1BC}"/>
    <hyperlink ref="D5" location="'LinReg_TrainingScore1'!$B$19:$B$19" display="Training: Prediction Details" xr:uid="{7EBD4491-EDBD-434F-8BCA-1E288981D602}"/>
    <hyperlink ref="F5" location="'LinReg_ValidationScore1'!$B$10:$B$10" display="Validation: Prediction Summary" xr:uid="{3CD284D4-BB5A-43CB-BA18-86CD2CB9F108}"/>
    <hyperlink ref="H5" location="'LinReg_ValidationScore1'!$B$19:$B$19" display="Validation: Prediction Details" xr:uid="{E376DD7F-20A5-4BF3-BDC3-993AD10E431D}"/>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15196-883B-414A-8B79-023CD0E44598}">
  <sheetPr codeName="Sheet30">
    <tabColor theme="7"/>
  </sheetPr>
  <dimension ref="B1:CV123"/>
  <sheetViews>
    <sheetView showGridLines="0" topLeftCell="A37" workbookViewId="0">
      <selection activeCell="N35" sqref="N35"/>
    </sheetView>
  </sheetViews>
  <sheetFormatPr defaultRowHeight="15" x14ac:dyDescent="0.25"/>
  <cols>
    <col min="3" max="3" width="11.28515625" customWidth="1"/>
    <col min="4" max="4" width="11.42578125" customWidth="1"/>
    <col min="5" max="5" width="10.85546875" customWidth="1"/>
    <col min="14" max="14" width="15.5703125" bestFit="1" customWidth="1"/>
  </cols>
  <sheetData>
    <row r="1" spans="2:100" ht="18.75" x14ac:dyDescent="0.3">
      <c r="B1" s="6" t="s">
        <v>734</v>
      </c>
      <c r="N1" t="s">
        <v>850</v>
      </c>
      <c r="CV1" s="12" t="s">
        <v>748</v>
      </c>
    </row>
    <row r="3" spans="2:100" ht="15.75" x14ac:dyDescent="0.25">
      <c r="B3" s="13" t="s">
        <v>147</v>
      </c>
      <c r="C3" s="14"/>
      <c r="D3" s="14"/>
      <c r="E3" s="14"/>
      <c r="F3" s="14"/>
      <c r="G3" s="14"/>
      <c r="H3" s="14"/>
      <c r="I3" s="14"/>
      <c r="J3" s="14"/>
      <c r="K3" s="15"/>
      <c r="N3" s="13" t="s">
        <v>148</v>
      </c>
      <c r="O3" s="14"/>
      <c r="P3" s="14"/>
      <c r="Q3" s="15"/>
    </row>
    <row r="4" spans="2:100" x14ac:dyDescent="0.25">
      <c r="B4" s="25" t="s">
        <v>770</v>
      </c>
      <c r="C4" s="21"/>
      <c r="D4" s="25" t="s">
        <v>153</v>
      </c>
      <c r="E4" s="21"/>
      <c r="F4" s="25" t="s">
        <v>720</v>
      </c>
      <c r="G4" s="21"/>
      <c r="H4" s="25" t="s">
        <v>721</v>
      </c>
      <c r="I4" s="21"/>
      <c r="J4" s="25" t="s">
        <v>722</v>
      </c>
      <c r="K4" s="21"/>
      <c r="N4" s="11" t="s">
        <v>149</v>
      </c>
      <c r="O4" s="11" t="s">
        <v>150</v>
      </c>
      <c r="P4" s="11" t="s">
        <v>151</v>
      </c>
      <c r="Q4" s="11" t="s">
        <v>152</v>
      </c>
    </row>
    <row r="5" spans="2:100" x14ac:dyDescent="0.25">
      <c r="B5" s="25" t="s">
        <v>645</v>
      </c>
      <c r="C5" s="21"/>
      <c r="D5" s="25" t="s">
        <v>723</v>
      </c>
      <c r="E5" s="21"/>
      <c r="F5" s="25" t="s">
        <v>724</v>
      </c>
      <c r="G5" s="21"/>
      <c r="H5" s="19"/>
      <c r="I5" s="21"/>
      <c r="J5" s="19"/>
      <c r="K5" s="21"/>
      <c r="N5" s="10">
        <v>13</v>
      </c>
      <c r="O5" s="10">
        <v>22</v>
      </c>
      <c r="P5" s="10">
        <v>5</v>
      </c>
      <c r="Q5" s="10">
        <v>40</v>
      </c>
    </row>
    <row r="10" spans="2:100" ht="18.75" x14ac:dyDescent="0.3">
      <c r="B10" s="7" t="s">
        <v>153</v>
      </c>
    </row>
    <row r="12" spans="2:100" ht="15.75" x14ac:dyDescent="0.25">
      <c r="C12" s="13" t="s">
        <v>154</v>
      </c>
      <c r="D12" s="14"/>
      <c r="E12" s="14"/>
      <c r="F12" s="14"/>
      <c r="G12" s="14"/>
      <c r="H12" s="14"/>
      <c r="I12" s="14"/>
      <c r="J12" s="14"/>
      <c r="K12" s="15"/>
    </row>
    <row r="13" spans="2:100" x14ac:dyDescent="0.25">
      <c r="C13" s="16" t="s">
        <v>155</v>
      </c>
      <c r="D13" s="17"/>
      <c r="E13" s="17"/>
      <c r="F13" s="18"/>
      <c r="G13" s="22" t="s">
        <v>878</v>
      </c>
      <c r="H13" s="23"/>
      <c r="I13" s="23"/>
      <c r="J13" s="23"/>
      <c r="K13" s="24"/>
    </row>
    <row r="14" spans="2:100" x14ac:dyDescent="0.25">
      <c r="C14" s="16" t="s">
        <v>157</v>
      </c>
      <c r="D14" s="17"/>
      <c r="E14" s="17"/>
      <c r="F14" s="18"/>
      <c r="G14" s="22" t="s">
        <v>819</v>
      </c>
      <c r="H14" s="23"/>
      <c r="I14" s="23"/>
      <c r="J14" s="23"/>
      <c r="K14" s="24"/>
    </row>
    <row r="15" spans="2:100" x14ac:dyDescent="0.25">
      <c r="C15" s="16" t="s">
        <v>735</v>
      </c>
      <c r="D15" s="17"/>
      <c r="E15" s="17"/>
      <c r="F15" s="18"/>
      <c r="G15" s="22" t="s">
        <v>820</v>
      </c>
      <c r="H15" s="23"/>
      <c r="I15" s="23"/>
      <c r="J15" s="23"/>
      <c r="K15" s="24"/>
    </row>
    <row r="16" spans="2:100" x14ac:dyDescent="0.25">
      <c r="C16" s="16" t="s">
        <v>736</v>
      </c>
      <c r="D16" s="17"/>
      <c r="E16" s="17"/>
      <c r="F16" s="18"/>
      <c r="G16" s="22">
        <v>373</v>
      </c>
      <c r="H16" s="23"/>
      <c r="I16" s="23"/>
      <c r="J16" s="23"/>
      <c r="K16" s="24"/>
    </row>
    <row r="17" spans="3:29" x14ac:dyDescent="0.25">
      <c r="C17" s="16" t="s">
        <v>737</v>
      </c>
      <c r="D17" s="17"/>
      <c r="E17" s="17"/>
      <c r="F17" s="18"/>
      <c r="G17" s="22" t="s">
        <v>821</v>
      </c>
      <c r="H17" s="23"/>
      <c r="I17" s="23"/>
      <c r="J17" s="23"/>
      <c r="K17" s="24"/>
    </row>
    <row r="18" spans="3:29" x14ac:dyDescent="0.25">
      <c r="C18" s="16" t="s">
        <v>738</v>
      </c>
      <c r="D18" s="17"/>
      <c r="E18" s="17"/>
      <c r="F18" s="18"/>
      <c r="G18" s="22">
        <v>93</v>
      </c>
      <c r="H18" s="23"/>
      <c r="I18" s="23"/>
      <c r="J18" s="23"/>
      <c r="K18" s="24"/>
    </row>
    <row r="20" spans="3:29" ht="15.75" x14ac:dyDescent="0.25">
      <c r="C20" s="13" t="s">
        <v>161</v>
      </c>
      <c r="D20" s="14"/>
      <c r="E20" s="14"/>
      <c r="F20" s="14"/>
      <c r="G20" s="14"/>
      <c r="H20" s="14"/>
      <c r="I20" s="14"/>
      <c r="J20" s="14"/>
      <c r="K20" s="14"/>
      <c r="L20" s="14"/>
      <c r="M20" s="14"/>
      <c r="N20" s="14"/>
      <c r="O20" s="14"/>
      <c r="P20" s="14"/>
      <c r="Q20" s="14"/>
      <c r="R20" s="14"/>
      <c r="S20" s="14"/>
      <c r="T20" s="14"/>
      <c r="U20" s="14"/>
      <c r="V20" s="14"/>
      <c r="W20" s="14"/>
      <c r="X20" s="14"/>
      <c r="Y20" s="14"/>
      <c r="Z20" s="14"/>
      <c r="AA20" s="14"/>
      <c r="AB20" s="14"/>
      <c r="AC20" s="15"/>
    </row>
    <row r="21" spans="3:29" x14ac:dyDescent="0.25">
      <c r="C21" s="16" t="s">
        <v>739</v>
      </c>
      <c r="D21" s="18"/>
      <c r="E21" s="22">
        <v>25</v>
      </c>
      <c r="F21" s="23"/>
      <c r="G21" s="23"/>
      <c r="H21" s="23"/>
      <c r="I21" s="23"/>
      <c r="J21" s="23"/>
      <c r="K21" s="23"/>
      <c r="L21" s="23"/>
      <c r="M21" s="23"/>
      <c r="N21" s="23"/>
      <c r="O21" s="23"/>
      <c r="P21" s="23"/>
      <c r="Q21" s="23"/>
      <c r="R21" s="23"/>
      <c r="S21" s="23"/>
      <c r="T21" s="23"/>
      <c r="U21" s="23"/>
      <c r="V21" s="23"/>
      <c r="W21" s="23"/>
      <c r="X21" s="23"/>
      <c r="Y21" s="23"/>
      <c r="Z21" s="23"/>
      <c r="AA21" s="23"/>
      <c r="AB21" s="23"/>
      <c r="AC21" s="24"/>
    </row>
    <row r="22" spans="3:29" x14ac:dyDescent="0.25">
      <c r="C22" s="16" t="s">
        <v>740</v>
      </c>
      <c r="D22" s="18"/>
      <c r="E22" s="10" t="s">
        <v>1</v>
      </c>
      <c r="F22" s="10" t="s">
        <v>2</v>
      </c>
      <c r="G22" s="10" t="s">
        <v>15</v>
      </c>
      <c r="H22" s="10" t="s">
        <v>17</v>
      </c>
      <c r="I22" s="10" t="s">
        <v>125</v>
      </c>
      <c r="J22" s="10" t="s">
        <v>126</v>
      </c>
      <c r="K22" s="10" t="s">
        <v>127</v>
      </c>
      <c r="L22" s="10" t="s">
        <v>128</v>
      </c>
      <c r="M22" s="10" t="s">
        <v>137</v>
      </c>
      <c r="N22" s="10" t="s">
        <v>138</v>
      </c>
      <c r="O22" s="10" t="s">
        <v>139</v>
      </c>
      <c r="P22" s="10" t="s">
        <v>129</v>
      </c>
      <c r="Q22" s="10" t="s">
        <v>140</v>
      </c>
      <c r="R22" s="10" t="s">
        <v>141</v>
      </c>
      <c r="S22" s="10" t="s">
        <v>142</v>
      </c>
      <c r="T22" s="10" t="s">
        <v>143</v>
      </c>
      <c r="U22" s="10" t="s">
        <v>145</v>
      </c>
      <c r="V22" s="10" t="s">
        <v>144</v>
      </c>
      <c r="W22" s="10" t="s">
        <v>130</v>
      </c>
      <c r="X22" s="10" t="s">
        <v>131</v>
      </c>
      <c r="Y22" s="10" t="s">
        <v>132</v>
      </c>
      <c r="Z22" s="10" t="s">
        <v>133</v>
      </c>
      <c r="AA22" s="10" t="s">
        <v>134</v>
      </c>
      <c r="AB22" s="10" t="s">
        <v>135</v>
      </c>
      <c r="AC22" s="10" t="s">
        <v>136</v>
      </c>
    </row>
    <row r="23" spans="3:29" x14ac:dyDescent="0.25">
      <c r="C23" s="16" t="s">
        <v>741</v>
      </c>
      <c r="D23" s="18"/>
      <c r="E23" s="10"/>
      <c r="F23" s="10"/>
      <c r="G23" s="10"/>
      <c r="H23" s="10"/>
      <c r="I23" s="10"/>
      <c r="J23" s="10"/>
      <c r="K23" s="10"/>
      <c r="L23" s="10"/>
      <c r="M23" s="10"/>
      <c r="N23" s="10"/>
      <c r="O23" s="10"/>
      <c r="P23" s="10"/>
      <c r="Q23" s="10"/>
      <c r="R23" s="10"/>
      <c r="S23" s="10"/>
      <c r="T23" s="10"/>
      <c r="U23" s="10"/>
      <c r="V23" s="10"/>
      <c r="W23" s="10"/>
      <c r="X23" s="10"/>
      <c r="Y23" s="10"/>
      <c r="Z23" s="10"/>
      <c r="AA23" s="10"/>
      <c r="AB23" s="10"/>
      <c r="AC23" s="10"/>
    </row>
    <row r="24" spans="3:29" x14ac:dyDescent="0.25">
      <c r="C24" s="16" t="s">
        <v>742</v>
      </c>
      <c r="D24" s="18"/>
      <c r="E24" s="19" t="s">
        <v>4</v>
      </c>
      <c r="F24" s="20"/>
      <c r="G24" s="20"/>
      <c r="H24" s="20"/>
      <c r="I24" s="20"/>
      <c r="J24" s="20"/>
      <c r="K24" s="20"/>
      <c r="L24" s="20"/>
      <c r="M24" s="20"/>
      <c r="N24" s="20"/>
      <c r="O24" s="20"/>
      <c r="P24" s="20"/>
      <c r="Q24" s="20"/>
      <c r="R24" s="20"/>
      <c r="S24" s="20"/>
      <c r="T24" s="20"/>
      <c r="U24" s="20"/>
      <c r="V24" s="20"/>
      <c r="W24" s="20"/>
      <c r="X24" s="20"/>
      <c r="Y24" s="20"/>
      <c r="Z24" s="20"/>
      <c r="AA24" s="20"/>
      <c r="AB24" s="20"/>
      <c r="AC24" s="21"/>
    </row>
    <row r="26" spans="3:29" ht="15.75" x14ac:dyDescent="0.25">
      <c r="C26" s="13" t="s">
        <v>743</v>
      </c>
      <c r="D26" s="14"/>
      <c r="E26" s="14"/>
      <c r="F26" s="14"/>
      <c r="G26" s="14"/>
      <c r="H26" s="14"/>
      <c r="I26" s="15"/>
    </row>
    <row r="27" spans="3:29" x14ac:dyDescent="0.25">
      <c r="C27" s="16" t="s">
        <v>744</v>
      </c>
      <c r="D27" s="17"/>
      <c r="E27" s="18"/>
      <c r="F27" s="22" t="b">
        <v>0</v>
      </c>
      <c r="G27" s="23"/>
      <c r="H27" s="23"/>
      <c r="I27" s="24"/>
    </row>
    <row r="29" spans="3:29" ht="15.75" x14ac:dyDescent="0.25">
      <c r="C29" s="13" t="s">
        <v>745</v>
      </c>
      <c r="D29" s="14"/>
      <c r="E29" s="14"/>
      <c r="F29" s="14"/>
      <c r="G29" s="14"/>
      <c r="H29" s="14"/>
      <c r="I29" s="15"/>
    </row>
    <row r="30" spans="3:29" x14ac:dyDescent="0.25">
      <c r="C30" s="16" t="s">
        <v>746</v>
      </c>
      <c r="D30" s="17"/>
      <c r="E30" s="18"/>
      <c r="F30" s="22" t="b">
        <v>1</v>
      </c>
      <c r="G30" s="23"/>
      <c r="H30" s="23"/>
      <c r="I30" s="24"/>
    </row>
    <row r="32" spans="3:29" ht="15.75" x14ac:dyDescent="0.25">
      <c r="C32" s="13" t="s">
        <v>747</v>
      </c>
      <c r="D32" s="14"/>
      <c r="E32" s="14"/>
      <c r="F32" s="14"/>
      <c r="G32" s="14"/>
      <c r="H32" s="14"/>
      <c r="I32" s="15"/>
    </row>
    <row r="33" spans="3:9" x14ac:dyDescent="0.25">
      <c r="C33" s="16" t="s">
        <v>749</v>
      </c>
      <c r="D33" s="17"/>
      <c r="E33" s="18"/>
      <c r="F33" s="22" t="b">
        <v>0</v>
      </c>
      <c r="G33" s="23"/>
      <c r="H33" s="23"/>
      <c r="I33" s="24"/>
    </row>
    <row r="34" spans="3:9" x14ac:dyDescent="0.25">
      <c r="C34" s="16" t="s">
        <v>750</v>
      </c>
      <c r="D34" s="17"/>
      <c r="E34" s="18"/>
      <c r="F34" s="22" t="b">
        <v>0</v>
      </c>
      <c r="G34" s="23"/>
      <c r="H34" s="23"/>
      <c r="I34" s="24"/>
    </row>
    <row r="35" spans="3:9" x14ac:dyDescent="0.25">
      <c r="C35" s="16" t="s">
        <v>751</v>
      </c>
      <c r="D35" s="17"/>
      <c r="E35" s="18"/>
      <c r="F35" s="22" t="b">
        <v>0</v>
      </c>
      <c r="G35" s="23"/>
      <c r="H35" s="23"/>
      <c r="I35" s="24"/>
    </row>
    <row r="37" spans="3:9" ht="15.75" x14ac:dyDescent="0.25">
      <c r="C37" s="13" t="s">
        <v>752</v>
      </c>
      <c r="D37" s="14"/>
      <c r="E37" s="14"/>
      <c r="F37" s="14"/>
      <c r="G37" s="14"/>
      <c r="H37" s="14"/>
      <c r="I37" s="15"/>
    </row>
    <row r="38" spans="3:9" x14ac:dyDescent="0.25">
      <c r="C38" s="16" t="s">
        <v>753</v>
      </c>
      <c r="D38" s="17"/>
      <c r="E38" s="18"/>
      <c r="F38" s="22" t="b">
        <v>0</v>
      </c>
      <c r="G38" s="23"/>
      <c r="H38" s="23"/>
      <c r="I38" s="24"/>
    </row>
    <row r="39" spans="3:9" x14ac:dyDescent="0.25">
      <c r="C39" s="16" t="s">
        <v>754</v>
      </c>
      <c r="D39" s="17"/>
      <c r="E39" s="18"/>
      <c r="F39" s="22" t="b">
        <v>0</v>
      </c>
      <c r="G39" s="23"/>
      <c r="H39" s="23"/>
      <c r="I39" s="24"/>
    </row>
    <row r="40" spans="3:9" x14ac:dyDescent="0.25">
      <c r="C40" s="16" t="s">
        <v>755</v>
      </c>
      <c r="D40" s="17"/>
      <c r="E40" s="18"/>
      <c r="F40" s="22" t="b">
        <v>0</v>
      </c>
      <c r="G40" s="23"/>
      <c r="H40" s="23"/>
      <c r="I40" s="24"/>
    </row>
    <row r="41" spans="3:9" x14ac:dyDescent="0.25">
      <c r="C41" s="16" t="s">
        <v>756</v>
      </c>
      <c r="D41" s="17"/>
      <c r="E41" s="18"/>
      <c r="F41" s="22" t="b">
        <v>0</v>
      </c>
      <c r="G41" s="23"/>
      <c r="H41" s="23"/>
      <c r="I41" s="24"/>
    </row>
    <row r="43" spans="3:9" ht="15.75" x14ac:dyDescent="0.25">
      <c r="C43" s="13" t="s">
        <v>782</v>
      </c>
      <c r="D43" s="14"/>
      <c r="E43" s="14"/>
      <c r="F43" s="14"/>
      <c r="G43" s="14"/>
      <c r="H43" s="14"/>
      <c r="I43" s="15"/>
    </row>
    <row r="44" spans="3:9" x14ac:dyDescent="0.25">
      <c r="C44" s="16" t="s">
        <v>783</v>
      </c>
      <c r="D44" s="17"/>
      <c r="E44" s="18"/>
      <c r="F44" s="22" t="s">
        <v>879</v>
      </c>
      <c r="G44" s="23"/>
      <c r="H44" s="23"/>
      <c r="I44" s="24"/>
    </row>
    <row r="45" spans="3:9" x14ac:dyDescent="0.25">
      <c r="C45" s="16" t="s">
        <v>880</v>
      </c>
      <c r="D45" s="17"/>
      <c r="E45" s="18"/>
      <c r="F45" s="22">
        <v>2.71</v>
      </c>
      <c r="G45" s="23"/>
      <c r="H45" s="23"/>
      <c r="I45" s="24"/>
    </row>
    <row r="46" spans="3:9" x14ac:dyDescent="0.25">
      <c r="C46" s="16" t="s">
        <v>786</v>
      </c>
      <c r="D46" s="17"/>
      <c r="E46" s="18"/>
      <c r="F46" s="22">
        <v>25</v>
      </c>
      <c r="G46" s="23"/>
      <c r="H46" s="23"/>
      <c r="I46" s="24"/>
    </row>
    <row r="48" spans="3:9" ht="15.75" x14ac:dyDescent="0.25">
      <c r="C48" s="13" t="s">
        <v>757</v>
      </c>
      <c r="D48" s="14"/>
      <c r="E48" s="14"/>
      <c r="F48" s="14"/>
      <c r="G48" s="15"/>
    </row>
    <row r="49" spans="2:7" x14ac:dyDescent="0.25">
      <c r="C49" s="19" t="s">
        <v>758</v>
      </c>
      <c r="D49" s="20"/>
      <c r="E49" s="20"/>
      <c r="F49" s="20"/>
      <c r="G49" s="21"/>
    </row>
    <row r="50" spans="2:7" x14ac:dyDescent="0.25">
      <c r="C50" s="19" t="s">
        <v>759</v>
      </c>
      <c r="D50" s="20"/>
      <c r="E50" s="20"/>
      <c r="F50" s="20"/>
      <c r="G50" s="21"/>
    </row>
    <row r="53" spans="2:7" ht="18.75" x14ac:dyDescent="0.3">
      <c r="B53" s="7" t="s">
        <v>720</v>
      </c>
    </row>
    <row r="55" spans="2:7" x14ac:dyDescent="0.25">
      <c r="C55" s="9" t="s">
        <v>726</v>
      </c>
      <c r="D55" s="5" t="s">
        <v>727</v>
      </c>
    </row>
    <row r="56" spans="2:7" x14ac:dyDescent="0.25">
      <c r="C56" s="9" t="s">
        <v>760</v>
      </c>
      <c r="D56" s="8">
        <v>352</v>
      </c>
    </row>
    <row r="57" spans="2:7" x14ac:dyDescent="0.25">
      <c r="C57" s="9" t="s">
        <v>732</v>
      </c>
      <c r="D57" s="8">
        <v>0.12155944887838921</v>
      </c>
    </row>
    <row r="58" spans="2:7" x14ac:dyDescent="0.25">
      <c r="C58" s="9" t="s">
        <v>761</v>
      </c>
      <c r="D58" s="8">
        <v>7.164805392829765E-2</v>
      </c>
    </row>
    <row r="59" spans="2:7" x14ac:dyDescent="0.25">
      <c r="C59" s="9" t="s">
        <v>762</v>
      </c>
      <c r="D59" s="8">
        <v>0.98569750311531179</v>
      </c>
    </row>
    <row r="60" spans="2:7" x14ac:dyDescent="0.25">
      <c r="C60" s="9" t="s">
        <v>763</v>
      </c>
      <c r="D60" s="8">
        <v>342.00304781201157</v>
      </c>
    </row>
    <row r="62" spans="2:7" ht="18.75" x14ac:dyDescent="0.3">
      <c r="B62" s="7" t="s">
        <v>721</v>
      </c>
    </row>
    <row r="64" spans="2:7" x14ac:dyDescent="0.25">
      <c r="C64" s="9" t="s">
        <v>764</v>
      </c>
      <c r="D64" s="5" t="s">
        <v>765</v>
      </c>
      <c r="E64" s="5" t="s">
        <v>766</v>
      </c>
    </row>
    <row r="65" spans="3:5" x14ac:dyDescent="0.25">
      <c r="C65" s="9" t="s">
        <v>767</v>
      </c>
      <c r="D65" s="8">
        <v>3.179371520902325</v>
      </c>
      <c r="E65" s="8" t="b">
        <v>1</v>
      </c>
    </row>
    <row r="66" spans="3:5" x14ac:dyDescent="0.25">
      <c r="C66" s="9" t="s">
        <v>1</v>
      </c>
      <c r="D66" s="8">
        <v>804.96491622822862</v>
      </c>
      <c r="E66" s="8" t="b">
        <v>1</v>
      </c>
    </row>
    <row r="67" spans="3:5" x14ac:dyDescent="0.25">
      <c r="C67" s="9" t="s">
        <v>2</v>
      </c>
      <c r="D67" s="8">
        <v>157.65198105341554</v>
      </c>
      <c r="E67" s="8" t="b">
        <v>1</v>
      </c>
    </row>
    <row r="68" spans="3:5" x14ac:dyDescent="0.25">
      <c r="C68" s="9" t="s">
        <v>15</v>
      </c>
      <c r="D68" s="8">
        <v>50459.451968882895</v>
      </c>
      <c r="E68" s="8" t="b">
        <v>1</v>
      </c>
    </row>
    <row r="69" spans="3:5" x14ac:dyDescent="0.25">
      <c r="C69" s="9" t="s">
        <v>17</v>
      </c>
      <c r="D69" s="8">
        <v>55.37653481269777</v>
      </c>
      <c r="E69" s="8" t="b">
        <v>1</v>
      </c>
    </row>
    <row r="70" spans="3:5" x14ac:dyDescent="0.25">
      <c r="C70" s="9" t="s">
        <v>125</v>
      </c>
      <c r="D70" s="8">
        <v>5.741650293743252E-15</v>
      </c>
      <c r="E70" s="8" t="b">
        <v>0</v>
      </c>
    </row>
    <row r="71" spans="3:5" x14ac:dyDescent="0.25">
      <c r="C71" s="9" t="s">
        <v>126</v>
      </c>
      <c r="D71" s="8">
        <v>8.6801136790438846</v>
      </c>
      <c r="E71" s="8" t="b">
        <v>1</v>
      </c>
    </row>
    <row r="72" spans="3:5" x14ac:dyDescent="0.25">
      <c r="C72" s="9" t="s">
        <v>127</v>
      </c>
      <c r="D72" s="8">
        <v>8.051274180130326</v>
      </c>
      <c r="E72" s="8" t="b">
        <v>1</v>
      </c>
    </row>
    <row r="73" spans="3:5" x14ac:dyDescent="0.25">
      <c r="C73" s="9" t="s">
        <v>128</v>
      </c>
      <c r="D73" s="8">
        <v>6.8849985824138562</v>
      </c>
      <c r="E73" s="8" t="b">
        <v>1</v>
      </c>
    </row>
    <row r="74" spans="3:5" x14ac:dyDescent="0.25">
      <c r="C74" s="9" t="s">
        <v>137</v>
      </c>
      <c r="D74" s="8">
        <v>7.5127631128512933</v>
      </c>
      <c r="E74" s="8" t="b">
        <v>1</v>
      </c>
    </row>
    <row r="75" spans="3:5" x14ac:dyDescent="0.25">
      <c r="C75" s="9" t="s">
        <v>138</v>
      </c>
      <c r="D75" s="8">
        <v>3.0536086232421463E-15</v>
      </c>
      <c r="E75" s="8" t="b">
        <v>0</v>
      </c>
    </row>
    <row r="76" spans="3:5" x14ac:dyDescent="0.25">
      <c r="C76" s="9" t="s">
        <v>139</v>
      </c>
      <c r="D76" s="8">
        <v>9.8283154212171802</v>
      </c>
      <c r="E76" s="8" t="b">
        <v>1</v>
      </c>
    </row>
    <row r="77" spans="3:5" x14ac:dyDescent="0.25">
      <c r="C77" s="9" t="s">
        <v>129</v>
      </c>
      <c r="D77" s="8">
        <v>7.8193539981891176</v>
      </c>
      <c r="E77" s="8" t="b">
        <v>1</v>
      </c>
    </row>
    <row r="78" spans="3:5" x14ac:dyDescent="0.25">
      <c r="C78" s="9" t="s">
        <v>140</v>
      </c>
      <c r="D78" s="8">
        <v>9.5240411638783691</v>
      </c>
      <c r="E78" s="8" t="b">
        <v>1</v>
      </c>
    </row>
    <row r="79" spans="3:5" x14ac:dyDescent="0.25">
      <c r="C79" s="9" t="s">
        <v>141</v>
      </c>
      <c r="D79" s="8">
        <v>8.3406846255705691</v>
      </c>
      <c r="E79" s="8" t="b">
        <v>1</v>
      </c>
    </row>
    <row r="80" spans="3:5" x14ac:dyDescent="0.25">
      <c r="C80" s="9" t="s">
        <v>142</v>
      </c>
      <c r="D80" s="8">
        <v>6.3159886196428454E-15</v>
      </c>
      <c r="E80" s="8" t="b">
        <v>0</v>
      </c>
    </row>
    <row r="81" spans="2:5" x14ac:dyDescent="0.25">
      <c r="C81" s="9" t="s">
        <v>143</v>
      </c>
      <c r="D81" s="8">
        <v>6.5646998366945208</v>
      </c>
      <c r="E81" s="8" t="b">
        <v>1</v>
      </c>
    </row>
    <row r="82" spans="2:5" x14ac:dyDescent="0.25">
      <c r="C82" s="9" t="s">
        <v>145</v>
      </c>
      <c r="D82" s="8">
        <v>4.0913264122228728E-15</v>
      </c>
      <c r="E82" s="8" t="b">
        <v>0</v>
      </c>
    </row>
    <row r="83" spans="2:5" x14ac:dyDescent="0.25">
      <c r="C83" s="9" t="s">
        <v>144</v>
      </c>
      <c r="D83" s="8">
        <v>10.559779518782314</v>
      </c>
      <c r="E83" s="8" t="b">
        <v>1</v>
      </c>
    </row>
    <row r="84" spans="2:5" x14ac:dyDescent="0.25">
      <c r="C84" s="9" t="s">
        <v>130</v>
      </c>
      <c r="D84" s="8">
        <v>6.0536719226380065</v>
      </c>
      <c r="E84" s="8" t="b">
        <v>1</v>
      </c>
    </row>
    <row r="85" spans="2:5" x14ac:dyDescent="0.25">
      <c r="C85" s="9" t="s">
        <v>131</v>
      </c>
      <c r="D85" s="8">
        <v>5.0712096643506053</v>
      </c>
      <c r="E85" s="8" t="b">
        <v>1</v>
      </c>
    </row>
    <row r="86" spans="2:5" x14ac:dyDescent="0.25">
      <c r="C86" s="9" t="s">
        <v>132</v>
      </c>
      <c r="D86" s="8">
        <v>5.3903766491914843E-15</v>
      </c>
      <c r="E86" s="8" t="b">
        <v>0</v>
      </c>
    </row>
    <row r="87" spans="2:5" x14ac:dyDescent="0.25">
      <c r="C87" s="9" t="s">
        <v>133</v>
      </c>
      <c r="D87" s="8">
        <v>6.5070074523886747</v>
      </c>
      <c r="E87" s="8" t="b">
        <v>1</v>
      </c>
    </row>
    <row r="88" spans="2:5" x14ac:dyDescent="0.25">
      <c r="C88" s="9" t="s">
        <v>134</v>
      </c>
      <c r="D88" s="8">
        <v>5.6602135549340744</v>
      </c>
      <c r="E88" s="8" t="b">
        <v>1</v>
      </c>
    </row>
    <row r="89" spans="2:5" x14ac:dyDescent="0.25">
      <c r="C89" s="9" t="s">
        <v>135</v>
      </c>
      <c r="D89" s="8">
        <v>6.7600340844002051</v>
      </c>
      <c r="E89" s="8" t="b">
        <v>1</v>
      </c>
    </row>
    <row r="90" spans="2:5" x14ac:dyDescent="0.25">
      <c r="C90" s="9" t="s">
        <v>136</v>
      </c>
      <c r="D90" s="8">
        <v>7.3408221273594316</v>
      </c>
      <c r="E90" s="8" t="b">
        <v>1</v>
      </c>
    </row>
    <row r="93" spans="2:5" x14ac:dyDescent="0.25">
      <c r="C93" s="9" t="s">
        <v>768</v>
      </c>
      <c r="D93" s="8">
        <v>4.1790982347586923E-9</v>
      </c>
    </row>
    <row r="95" spans="2:5" ht="18.75" x14ac:dyDescent="0.3">
      <c r="B95" s="7" t="s">
        <v>722</v>
      </c>
    </row>
    <row r="97" spans="3:4" x14ac:dyDescent="0.25">
      <c r="C97" s="9" t="s">
        <v>764</v>
      </c>
      <c r="D97" s="5" t="s">
        <v>769</v>
      </c>
    </row>
    <row r="98" spans="3:4" x14ac:dyDescent="0.25">
      <c r="C98" s="9" t="s">
        <v>767</v>
      </c>
      <c r="D98" s="8">
        <v>4.8329834165893315</v>
      </c>
    </row>
    <row r="99" spans="3:4" x14ac:dyDescent="0.25">
      <c r="C99" s="9" t="s">
        <v>1</v>
      </c>
      <c r="D99" s="8">
        <v>1.8863694360614701E-3</v>
      </c>
    </row>
    <row r="100" spans="3:4" x14ac:dyDescent="0.25">
      <c r="C100" s="9" t="s">
        <v>2</v>
      </c>
      <c r="D100" s="8">
        <v>-4.1760912412037599E-3</v>
      </c>
    </row>
    <row r="101" spans="3:4" x14ac:dyDescent="0.25">
      <c r="C101" s="9" t="s">
        <v>15</v>
      </c>
      <c r="D101" s="8">
        <v>-1.5342302947515422E-4</v>
      </c>
    </row>
    <row r="102" spans="3:4" x14ac:dyDescent="0.25">
      <c r="C102" s="9" t="s">
        <v>17</v>
      </c>
      <c r="D102" s="8">
        <v>2.2298942051343831E-3</v>
      </c>
    </row>
    <row r="103" spans="3:4" x14ac:dyDescent="0.25">
      <c r="C103" s="27" t="s">
        <v>125</v>
      </c>
      <c r="D103" s="26">
        <v>0</v>
      </c>
    </row>
    <row r="104" spans="3:4" x14ac:dyDescent="0.25">
      <c r="C104" s="9" t="s">
        <v>126</v>
      </c>
      <c r="D104" s="8">
        <v>1.2972337069602376E-2</v>
      </c>
    </row>
    <row r="105" spans="3:4" x14ac:dyDescent="0.25">
      <c r="C105" s="9" t="s">
        <v>127</v>
      </c>
      <c r="D105" s="8">
        <v>-8.2390025484047405E-2</v>
      </c>
    </row>
    <row r="106" spans="3:4" x14ac:dyDescent="0.25">
      <c r="C106" s="9" t="s">
        <v>128</v>
      </c>
      <c r="D106" s="8">
        <v>2.705067638949079E-2</v>
      </c>
    </row>
    <row r="107" spans="3:4" x14ac:dyDescent="0.25">
      <c r="C107" s="9" t="s">
        <v>137</v>
      </c>
      <c r="D107" s="8">
        <v>0.14222410262265847</v>
      </c>
    </row>
    <row r="108" spans="3:4" x14ac:dyDescent="0.25">
      <c r="C108" s="27" t="s">
        <v>138</v>
      </c>
      <c r="D108" s="26">
        <v>0</v>
      </c>
    </row>
    <row r="109" spans="3:4" x14ac:dyDescent="0.25">
      <c r="C109" s="9" t="s">
        <v>139</v>
      </c>
      <c r="D109" s="8">
        <v>0.35728551239069334</v>
      </c>
    </row>
    <row r="110" spans="3:4" x14ac:dyDescent="0.25">
      <c r="C110" s="9" t="s">
        <v>129</v>
      </c>
      <c r="D110" s="8">
        <v>0.23007315854342728</v>
      </c>
    </row>
    <row r="111" spans="3:4" x14ac:dyDescent="0.25">
      <c r="C111" s="9" t="s">
        <v>140</v>
      </c>
      <c r="D111" s="8">
        <v>-0.55300066924158731</v>
      </c>
    </row>
    <row r="112" spans="3:4" x14ac:dyDescent="0.25">
      <c r="C112" s="9" t="s">
        <v>141</v>
      </c>
      <c r="D112" s="8">
        <v>-0.6124725559743962</v>
      </c>
    </row>
    <row r="113" spans="3:4" x14ac:dyDescent="0.25">
      <c r="C113" s="27" t="s">
        <v>142</v>
      </c>
      <c r="D113" s="26">
        <v>0</v>
      </c>
    </row>
    <row r="114" spans="3:4" x14ac:dyDescent="0.25">
      <c r="C114" s="9" t="s">
        <v>143</v>
      </c>
      <c r="D114" s="8">
        <v>-0.16911345472356512</v>
      </c>
    </row>
    <row r="115" spans="3:4" x14ac:dyDescent="0.25">
      <c r="C115" s="27" t="s">
        <v>145</v>
      </c>
      <c r="D115" s="26">
        <v>0</v>
      </c>
    </row>
    <row r="116" spans="3:4" x14ac:dyDescent="0.25">
      <c r="C116" s="9" t="s">
        <v>144</v>
      </c>
      <c r="D116" s="8">
        <v>6.8979395974951799E-2</v>
      </c>
    </row>
    <row r="117" spans="3:4" x14ac:dyDescent="0.25">
      <c r="C117" s="9" t="s">
        <v>130</v>
      </c>
      <c r="D117" s="8">
        <v>-4.7591641680786841E-2</v>
      </c>
    </row>
    <row r="118" spans="3:4" x14ac:dyDescent="0.25">
      <c r="C118" s="9" t="s">
        <v>131</v>
      </c>
      <c r="D118" s="8">
        <v>-0.38453509647637835</v>
      </c>
    </row>
    <row r="119" spans="3:4" x14ac:dyDescent="0.25">
      <c r="C119" s="27" t="s">
        <v>132</v>
      </c>
      <c r="D119" s="26">
        <v>0</v>
      </c>
    </row>
    <row r="120" spans="3:4" x14ac:dyDescent="0.25">
      <c r="C120" s="9" t="s">
        <v>133</v>
      </c>
      <c r="D120" s="8">
        <v>-0.35147408403904734</v>
      </c>
    </row>
    <row r="121" spans="3:4" x14ac:dyDescent="0.25">
      <c r="C121" s="9" t="s">
        <v>134</v>
      </c>
      <c r="D121" s="8">
        <v>-0.28507928290056161</v>
      </c>
    </row>
    <row r="122" spans="3:4" x14ac:dyDescent="0.25">
      <c r="C122" s="9" t="s">
        <v>135</v>
      </c>
      <c r="D122" s="8">
        <v>-0.49009796541197853</v>
      </c>
    </row>
    <row r="123" spans="3:4" x14ac:dyDescent="0.25">
      <c r="C123" s="9" t="s">
        <v>136</v>
      </c>
      <c r="D123" s="8">
        <v>-0.4474401483348448</v>
      </c>
    </row>
  </sheetData>
  <mergeCells count="64">
    <mergeCell ref="B3:K3"/>
    <mergeCell ref="N3:Q3"/>
    <mergeCell ref="H4:I4"/>
    <mergeCell ref="J4:K4"/>
    <mergeCell ref="B5:C5"/>
    <mergeCell ref="D5:E5"/>
    <mergeCell ref="F5:G5"/>
    <mergeCell ref="H5:I5"/>
    <mergeCell ref="J5:K5"/>
    <mergeCell ref="C48:G48"/>
    <mergeCell ref="C49:G49"/>
    <mergeCell ref="C50:G50"/>
    <mergeCell ref="B4:C4"/>
    <mergeCell ref="D4:E4"/>
    <mergeCell ref="F4:G4"/>
    <mergeCell ref="C43:I43"/>
    <mergeCell ref="C44:E44"/>
    <mergeCell ref="C45:E45"/>
    <mergeCell ref="C46:E46"/>
    <mergeCell ref="F44:I44"/>
    <mergeCell ref="F45:I45"/>
    <mergeCell ref="F46:I46"/>
    <mergeCell ref="C37:I37"/>
    <mergeCell ref="C38:E38"/>
    <mergeCell ref="C39:E39"/>
    <mergeCell ref="C40:E40"/>
    <mergeCell ref="C41:E41"/>
    <mergeCell ref="F38:I38"/>
    <mergeCell ref="F39:I39"/>
    <mergeCell ref="F40:I40"/>
    <mergeCell ref="F41:I41"/>
    <mergeCell ref="C32:I32"/>
    <mergeCell ref="C33:E33"/>
    <mergeCell ref="C34:E34"/>
    <mergeCell ref="C35:E35"/>
    <mergeCell ref="F33:I33"/>
    <mergeCell ref="F34:I34"/>
    <mergeCell ref="F35:I35"/>
    <mergeCell ref="C26:I26"/>
    <mergeCell ref="C27:E27"/>
    <mergeCell ref="F27:I27"/>
    <mergeCell ref="C29:I29"/>
    <mergeCell ref="C30:E30"/>
    <mergeCell ref="F30:I30"/>
    <mergeCell ref="C20:AC20"/>
    <mergeCell ref="C21:D21"/>
    <mergeCell ref="C22:D22"/>
    <mergeCell ref="C23:D23"/>
    <mergeCell ref="C24:D24"/>
    <mergeCell ref="E21:AC21"/>
    <mergeCell ref="E24:AC24"/>
    <mergeCell ref="C18:F18"/>
    <mergeCell ref="G13:K13"/>
    <mergeCell ref="G14:K14"/>
    <mergeCell ref="G15:K15"/>
    <mergeCell ref="G16:K16"/>
    <mergeCell ref="G17:K17"/>
    <mergeCell ref="G18:K18"/>
    <mergeCell ref="C12:K12"/>
    <mergeCell ref="C13:F13"/>
    <mergeCell ref="C14:F14"/>
    <mergeCell ref="C15:F15"/>
    <mergeCell ref="C16:F16"/>
    <mergeCell ref="C17:F17"/>
  </mergeCells>
  <hyperlinks>
    <hyperlink ref="B4" location="'LinReg_FS1'!$B$10:$B$10" display="Feature Selection" xr:uid="{D241A733-1FFF-4775-9F9B-EA8AE0300E06}"/>
    <hyperlink ref="D4" location="'LinReg_Output'!$B$10:$B$10" display="Inputs" xr:uid="{84145744-BCCD-47EC-963A-8188A2783DB1}"/>
    <hyperlink ref="F4" location="'LinReg_Output'!$B$53:$B$53" display="Regression Summary" xr:uid="{60031997-8F26-4899-8827-1F6F7047CAE0}"/>
    <hyperlink ref="H4" location="'LinReg_Output'!$B$62:$B$62" display="Predictor Screening" xr:uid="{44F0D943-B1C4-413D-8CCD-A65C2B524B2B}"/>
    <hyperlink ref="J4" location="'LinReg_Output'!$B$95:$B$95" display="Coefficients" xr:uid="{38AEC174-AC83-42A8-ADA4-ACE4F8ED2AAF}"/>
    <hyperlink ref="B5" location="'LinReg_Stored1'!$B$10:$B$10" display="PMML Model" xr:uid="{BF662EF2-F4FD-47A7-8ACC-08FA44622505}"/>
    <hyperlink ref="D5" location="'LinReg_TrainingScore1'!$B$10:$B$10" display="Training: Prediction Summary" xr:uid="{7576F009-B5A5-498D-9AD9-F54BCB7B41B2}"/>
    <hyperlink ref="F5" location="'LinReg_ValidationScore1'!$B$10:$B$10" display="Validation: Prediction Summary" xr:uid="{91F5F065-014E-489E-BB00-3E165CD63001}"/>
  </hyperlinks>
  <pageMargins left="0.7" right="0.7" top="0.75" bottom="0.75" header="0.3" footer="0.3"/>
  <tableParts count="4">
    <tablePart r:id="rId1"/>
    <tablePart r:id="rId2"/>
    <tablePart r:id="rId3"/>
    <tablePart r:id="rId4"/>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AA53C7-30CC-4C53-8192-8A4748E80CDE}">
  <sheetPr codeName="Sheet31">
    <tabColor theme="7"/>
  </sheetPr>
  <dimension ref="B1:AC46"/>
  <sheetViews>
    <sheetView showGridLines="0" topLeftCell="A10" workbookViewId="0">
      <selection activeCell="N35" sqref="N35"/>
    </sheetView>
  </sheetViews>
  <sheetFormatPr defaultRowHeight="15" x14ac:dyDescent="0.25"/>
  <cols>
    <col min="3" max="3" width="11.42578125" customWidth="1"/>
    <col min="4" max="4" width="14.85546875" customWidth="1"/>
    <col min="5" max="5" width="13.28515625" customWidth="1"/>
    <col min="6" max="6" width="18.42578125" customWidth="1"/>
    <col min="7" max="7" width="11.85546875" customWidth="1"/>
    <col min="8" max="8" width="16" customWidth="1"/>
    <col min="9" max="9" width="23.5703125" customWidth="1"/>
    <col min="10" max="10" width="23.42578125" customWidth="1"/>
    <col min="11" max="11" width="24.42578125" customWidth="1"/>
    <col min="12" max="12" width="23.85546875" customWidth="1"/>
    <col min="13" max="13" width="20.42578125" customWidth="1"/>
    <col min="14" max="14" width="22.7109375" customWidth="1"/>
    <col min="15" max="15" width="22.42578125" customWidth="1"/>
    <col min="16" max="16" width="18.140625" customWidth="1"/>
    <col min="17" max="18" width="20.7109375" customWidth="1"/>
    <col min="19" max="19" width="14" customWidth="1"/>
    <col min="20" max="20" width="21.85546875" customWidth="1"/>
    <col min="21" max="21" width="23" customWidth="1"/>
    <col min="22" max="22" width="29.5703125" customWidth="1"/>
    <col min="23" max="23" width="24.5703125" customWidth="1"/>
    <col min="24" max="24" width="26.42578125" customWidth="1"/>
    <col min="25" max="25" width="26.85546875" customWidth="1"/>
    <col min="26" max="26" width="25.5703125" customWidth="1"/>
    <col min="27" max="27" width="27.140625" customWidth="1"/>
    <col min="28" max="28" width="26.42578125" customWidth="1"/>
    <col min="29" max="29" width="29.7109375" customWidth="1"/>
  </cols>
  <sheetData>
    <row r="1" spans="2:29" ht="18.75" x14ac:dyDescent="0.3">
      <c r="B1" s="6" t="s">
        <v>771</v>
      </c>
      <c r="N1" t="s">
        <v>850</v>
      </c>
    </row>
    <row r="3" spans="2:29" ht="15.75" x14ac:dyDescent="0.25">
      <c r="B3" s="13" t="s">
        <v>147</v>
      </c>
      <c r="C3" s="14"/>
      <c r="D3" s="14"/>
      <c r="E3" s="14"/>
      <c r="F3" s="14"/>
      <c r="G3" s="14"/>
      <c r="H3" s="14"/>
      <c r="I3" s="14"/>
      <c r="J3" s="14"/>
      <c r="K3" s="15"/>
      <c r="N3" s="13" t="s">
        <v>148</v>
      </c>
      <c r="O3" s="14"/>
      <c r="P3" s="14"/>
      <c r="Q3" s="15"/>
    </row>
    <row r="4" spans="2:29" x14ac:dyDescent="0.25">
      <c r="B4" s="25" t="s">
        <v>770</v>
      </c>
      <c r="C4" s="21"/>
      <c r="D4" s="25" t="s">
        <v>153</v>
      </c>
      <c r="E4" s="21"/>
      <c r="F4" s="25" t="s">
        <v>720</v>
      </c>
      <c r="G4" s="21"/>
      <c r="H4" s="25" t="s">
        <v>721</v>
      </c>
      <c r="I4" s="21"/>
      <c r="J4" s="25" t="s">
        <v>722</v>
      </c>
      <c r="K4" s="21"/>
      <c r="N4" s="11" t="s">
        <v>149</v>
      </c>
      <c r="O4" s="11" t="s">
        <v>150</v>
      </c>
      <c r="P4" s="11" t="s">
        <v>151</v>
      </c>
      <c r="Q4" s="11" t="s">
        <v>152</v>
      </c>
    </row>
    <row r="5" spans="2:29" x14ac:dyDescent="0.25">
      <c r="B5" s="25" t="s">
        <v>645</v>
      </c>
      <c r="C5" s="21"/>
      <c r="D5" s="25" t="s">
        <v>723</v>
      </c>
      <c r="E5" s="21"/>
      <c r="F5" s="25" t="s">
        <v>724</v>
      </c>
      <c r="G5" s="21"/>
      <c r="H5" s="19"/>
      <c r="I5" s="21"/>
      <c r="J5" s="19"/>
      <c r="K5" s="21"/>
      <c r="N5" s="10">
        <v>13</v>
      </c>
      <c r="O5" s="10">
        <v>22</v>
      </c>
      <c r="P5" s="10">
        <v>5</v>
      </c>
      <c r="Q5" s="10">
        <v>40</v>
      </c>
    </row>
    <row r="10" spans="2:29" ht="18.75" x14ac:dyDescent="0.3">
      <c r="B10" s="7" t="s">
        <v>770</v>
      </c>
    </row>
    <row r="12" spans="2:29" ht="15.75" x14ac:dyDescent="0.25">
      <c r="C12" s="29" t="s">
        <v>772</v>
      </c>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1"/>
    </row>
    <row r="13" spans="2:29" x14ac:dyDescent="0.25">
      <c r="C13" s="9" t="s">
        <v>773</v>
      </c>
      <c r="D13" s="5" t="s">
        <v>767</v>
      </c>
      <c r="E13" s="5" t="s">
        <v>1</v>
      </c>
      <c r="F13" s="5" t="s">
        <v>2</v>
      </c>
      <c r="G13" s="5" t="s">
        <v>15</v>
      </c>
      <c r="H13" s="5" t="s">
        <v>17</v>
      </c>
      <c r="I13" s="5" t="s">
        <v>125</v>
      </c>
      <c r="J13" s="5" t="s">
        <v>126</v>
      </c>
      <c r="K13" s="5" t="s">
        <v>127</v>
      </c>
      <c r="L13" s="5" t="s">
        <v>128</v>
      </c>
      <c r="M13" s="5" t="s">
        <v>137</v>
      </c>
      <c r="N13" s="5" t="s">
        <v>138</v>
      </c>
      <c r="O13" s="5" t="s">
        <v>139</v>
      </c>
      <c r="P13" s="5" t="s">
        <v>129</v>
      </c>
      <c r="Q13" s="5" t="s">
        <v>140</v>
      </c>
      <c r="R13" s="5" t="s">
        <v>141</v>
      </c>
      <c r="S13" s="5" t="s">
        <v>142</v>
      </c>
      <c r="T13" s="5" t="s">
        <v>143</v>
      </c>
      <c r="U13" s="5" t="s">
        <v>145</v>
      </c>
      <c r="V13" s="5" t="s">
        <v>144</v>
      </c>
      <c r="W13" s="5" t="s">
        <v>130</v>
      </c>
      <c r="X13" s="5" t="s">
        <v>131</v>
      </c>
      <c r="Y13" s="5" t="s">
        <v>132</v>
      </c>
      <c r="Z13" s="5" t="s">
        <v>133</v>
      </c>
      <c r="AA13" s="5" t="s">
        <v>134</v>
      </c>
      <c r="AB13" s="5" t="s">
        <v>135</v>
      </c>
      <c r="AC13" s="5" t="s">
        <v>136</v>
      </c>
    </row>
    <row r="14" spans="2:29" x14ac:dyDescent="0.25">
      <c r="B14" s="12" t="s">
        <v>852</v>
      </c>
      <c r="C14" s="28" t="s">
        <v>774</v>
      </c>
      <c r="D14" s="8">
        <v>1</v>
      </c>
      <c r="E14" s="8">
        <v>1</v>
      </c>
      <c r="F14" s="8">
        <v>1</v>
      </c>
      <c r="G14" s="8">
        <v>1</v>
      </c>
      <c r="H14" s="8">
        <v>1</v>
      </c>
      <c r="I14" s="8">
        <v>0</v>
      </c>
      <c r="J14" s="8">
        <v>1</v>
      </c>
      <c r="K14" s="8">
        <v>1</v>
      </c>
      <c r="L14" s="8">
        <v>1</v>
      </c>
      <c r="M14" s="8">
        <v>1</v>
      </c>
      <c r="N14" s="8">
        <v>0</v>
      </c>
      <c r="O14" s="8">
        <v>1</v>
      </c>
      <c r="P14" s="8">
        <v>1</v>
      </c>
      <c r="Q14" s="8">
        <v>1</v>
      </c>
      <c r="R14" s="8">
        <v>1</v>
      </c>
      <c r="S14" s="8">
        <v>0</v>
      </c>
      <c r="T14" s="8">
        <v>1</v>
      </c>
      <c r="U14" s="8">
        <v>0</v>
      </c>
      <c r="V14" s="8">
        <v>1</v>
      </c>
      <c r="W14" s="8">
        <v>1</v>
      </c>
      <c r="X14" s="8">
        <v>1</v>
      </c>
      <c r="Y14" s="8">
        <v>0</v>
      </c>
      <c r="Z14" s="8">
        <v>1</v>
      </c>
      <c r="AA14" s="8">
        <v>1</v>
      </c>
      <c r="AB14" s="8">
        <v>1</v>
      </c>
      <c r="AC14" s="8">
        <v>1</v>
      </c>
    </row>
    <row r="15" spans="2:29" x14ac:dyDescent="0.25">
      <c r="B15" s="12" t="s">
        <v>853</v>
      </c>
      <c r="C15" s="28" t="s">
        <v>775</v>
      </c>
      <c r="D15" s="8">
        <v>1</v>
      </c>
      <c r="E15" s="8">
        <v>1</v>
      </c>
      <c r="F15" s="8">
        <v>1</v>
      </c>
      <c r="G15" s="8">
        <v>1</v>
      </c>
      <c r="H15" s="8">
        <v>1</v>
      </c>
      <c r="I15" s="8">
        <v>0</v>
      </c>
      <c r="J15" s="8">
        <v>0</v>
      </c>
      <c r="K15" s="8">
        <v>1</v>
      </c>
      <c r="L15" s="8">
        <v>1</v>
      </c>
      <c r="M15" s="8">
        <v>1</v>
      </c>
      <c r="N15" s="8">
        <v>0</v>
      </c>
      <c r="O15" s="8">
        <v>1</v>
      </c>
      <c r="P15" s="8">
        <v>1</v>
      </c>
      <c r="Q15" s="8">
        <v>1</v>
      </c>
      <c r="R15" s="8">
        <v>1</v>
      </c>
      <c r="S15" s="8">
        <v>0</v>
      </c>
      <c r="T15" s="8">
        <v>1</v>
      </c>
      <c r="U15" s="8">
        <v>0</v>
      </c>
      <c r="V15" s="8">
        <v>1</v>
      </c>
      <c r="W15" s="8">
        <v>1</v>
      </c>
      <c r="X15" s="8">
        <v>1</v>
      </c>
      <c r="Y15" s="8">
        <v>0</v>
      </c>
      <c r="Z15" s="8">
        <v>1</v>
      </c>
      <c r="AA15" s="8">
        <v>1</v>
      </c>
      <c r="AB15" s="8">
        <v>1</v>
      </c>
      <c r="AC15" s="8">
        <v>1</v>
      </c>
    </row>
    <row r="16" spans="2:29" x14ac:dyDescent="0.25">
      <c r="B16" s="12" t="s">
        <v>854</v>
      </c>
      <c r="C16" s="28" t="s">
        <v>776</v>
      </c>
      <c r="D16" s="8">
        <v>1</v>
      </c>
      <c r="E16" s="8">
        <v>1</v>
      </c>
      <c r="F16" s="8">
        <v>1</v>
      </c>
      <c r="G16" s="8">
        <v>1</v>
      </c>
      <c r="H16" s="8">
        <v>0</v>
      </c>
      <c r="I16" s="8">
        <v>0</v>
      </c>
      <c r="J16" s="8">
        <v>0</v>
      </c>
      <c r="K16" s="8">
        <v>1</v>
      </c>
      <c r="L16" s="8">
        <v>1</v>
      </c>
      <c r="M16" s="8">
        <v>1</v>
      </c>
      <c r="N16" s="8">
        <v>0</v>
      </c>
      <c r="O16" s="8">
        <v>1</v>
      </c>
      <c r="P16" s="8">
        <v>1</v>
      </c>
      <c r="Q16" s="8">
        <v>1</v>
      </c>
      <c r="R16" s="8">
        <v>1</v>
      </c>
      <c r="S16" s="8">
        <v>0</v>
      </c>
      <c r="T16" s="8">
        <v>1</v>
      </c>
      <c r="U16" s="8">
        <v>0</v>
      </c>
      <c r="V16" s="8">
        <v>1</v>
      </c>
      <c r="W16" s="8">
        <v>1</v>
      </c>
      <c r="X16" s="8">
        <v>1</v>
      </c>
      <c r="Y16" s="8">
        <v>0</v>
      </c>
      <c r="Z16" s="8">
        <v>1</v>
      </c>
      <c r="AA16" s="8">
        <v>1</v>
      </c>
      <c r="AB16" s="8">
        <v>1</v>
      </c>
      <c r="AC16" s="8">
        <v>1</v>
      </c>
    </row>
    <row r="17" spans="2:29" x14ac:dyDescent="0.25">
      <c r="B17" s="12" t="s">
        <v>855</v>
      </c>
      <c r="C17" s="28" t="s">
        <v>777</v>
      </c>
      <c r="D17" s="8">
        <v>1</v>
      </c>
      <c r="E17" s="8">
        <v>1</v>
      </c>
      <c r="F17" s="8">
        <v>1</v>
      </c>
      <c r="G17" s="8">
        <v>1</v>
      </c>
      <c r="H17" s="8">
        <v>0</v>
      </c>
      <c r="I17" s="8">
        <v>0</v>
      </c>
      <c r="J17" s="8">
        <v>0</v>
      </c>
      <c r="K17" s="8">
        <v>1</v>
      </c>
      <c r="L17" s="8">
        <v>0</v>
      </c>
      <c r="M17" s="8">
        <v>1</v>
      </c>
      <c r="N17" s="8">
        <v>0</v>
      </c>
      <c r="O17" s="8">
        <v>1</v>
      </c>
      <c r="P17" s="8">
        <v>1</v>
      </c>
      <c r="Q17" s="8">
        <v>1</v>
      </c>
      <c r="R17" s="8">
        <v>1</v>
      </c>
      <c r="S17" s="8">
        <v>0</v>
      </c>
      <c r="T17" s="8">
        <v>1</v>
      </c>
      <c r="U17" s="8">
        <v>0</v>
      </c>
      <c r="V17" s="8">
        <v>1</v>
      </c>
      <c r="W17" s="8">
        <v>1</v>
      </c>
      <c r="X17" s="8">
        <v>1</v>
      </c>
      <c r="Y17" s="8">
        <v>0</v>
      </c>
      <c r="Z17" s="8">
        <v>1</v>
      </c>
      <c r="AA17" s="8">
        <v>1</v>
      </c>
      <c r="AB17" s="8">
        <v>1</v>
      </c>
      <c r="AC17" s="8">
        <v>1</v>
      </c>
    </row>
    <row r="18" spans="2:29" x14ac:dyDescent="0.25">
      <c r="B18" s="12" t="s">
        <v>856</v>
      </c>
      <c r="C18" s="28" t="s">
        <v>818</v>
      </c>
      <c r="D18" s="8">
        <v>1</v>
      </c>
      <c r="E18" s="8">
        <v>1</v>
      </c>
      <c r="F18" s="8">
        <v>1</v>
      </c>
      <c r="G18" s="8">
        <v>1</v>
      </c>
      <c r="H18" s="8">
        <v>0</v>
      </c>
      <c r="I18" s="8">
        <v>0</v>
      </c>
      <c r="J18" s="8">
        <v>0</v>
      </c>
      <c r="K18" s="8">
        <v>1</v>
      </c>
      <c r="L18" s="8">
        <v>0</v>
      </c>
      <c r="M18" s="8">
        <v>1</v>
      </c>
      <c r="N18" s="8">
        <v>0</v>
      </c>
      <c r="O18" s="8">
        <v>1</v>
      </c>
      <c r="P18" s="8">
        <v>1</v>
      </c>
      <c r="Q18" s="8">
        <v>1</v>
      </c>
      <c r="R18" s="8">
        <v>1</v>
      </c>
      <c r="S18" s="8">
        <v>0</v>
      </c>
      <c r="T18" s="8">
        <v>1</v>
      </c>
      <c r="U18" s="8">
        <v>0</v>
      </c>
      <c r="V18" s="8">
        <v>1</v>
      </c>
      <c r="W18" s="8">
        <v>0</v>
      </c>
      <c r="X18" s="8">
        <v>1</v>
      </c>
      <c r="Y18" s="8">
        <v>0</v>
      </c>
      <c r="Z18" s="8">
        <v>1</v>
      </c>
      <c r="AA18" s="8">
        <v>1</v>
      </c>
      <c r="AB18" s="8">
        <v>1</v>
      </c>
      <c r="AC18" s="8">
        <v>1</v>
      </c>
    </row>
    <row r="19" spans="2:29" x14ac:dyDescent="0.25">
      <c r="B19" s="12" t="s">
        <v>857</v>
      </c>
      <c r="C19" s="28" t="s">
        <v>858</v>
      </c>
      <c r="D19" s="8">
        <v>1</v>
      </c>
      <c r="E19" s="8">
        <v>1</v>
      </c>
      <c r="F19" s="8">
        <v>1</v>
      </c>
      <c r="G19" s="8">
        <v>1</v>
      </c>
      <c r="H19" s="8">
        <v>0</v>
      </c>
      <c r="I19" s="8">
        <v>0</v>
      </c>
      <c r="J19" s="8">
        <v>0</v>
      </c>
      <c r="K19" s="8">
        <v>1</v>
      </c>
      <c r="L19" s="8">
        <v>0</v>
      </c>
      <c r="M19" s="8">
        <v>1</v>
      </c>
      <c r="N19" s="8">
        <v>0</v>
      </c>
      <c r="O19" s="8">
        <v>1</v>
      </c>
      <c r="P19" s="8">
        <v>1</v>
      </c>
      <c r="Q19" s="8">
        <v>1</v>
      </c>
      <c r="R19" s="8">
        <v>1</v>
      </c>
      <c r="S19" s="8">
        <v>0</v>
      </c>
      <c r="T19" s="8">
        <v>1</v>
      </c>
      <c r="U19" s="8">
        <v>0</v>
      </c>
      <c r="V19" s="8">
        <v>0</v>
      </c>
      <c r="W19" s="8">
        <v>0</v>
      </c>
      <c r="X19" s="8">
        <v>1</v>
      </c>
      <c r="Y19" s="8">
        <v>0</v>
      </c>
      <c r="Z19" s="8">
        <v>1</v>
      </c>
      <c r="AA19" s="8">
        <v>1</v>
      </c>
      <c r="AB19" s="8">
        <v>1</v>
      </c>
      <c r="AC19" s="8">
        <v>1</v>
      </c>
    </row>
    <row r="20" spans="2:29" x14ac:dyDescent="0.25">
      <c r="B20" s="12" t="s">
        <v>859</v>
      </c>
      <c r="C20" s="28" t="s">
        <v>860</v>
      </c>
      <c r="D20" s="8">
        <v>1</v>
      </c>
      <c r="E20" s="8">
        <v>1</v>
      </c>
      <c r="F20" s="8">
        <v>0</v>
      </c>
      <c r="G20" s="8">
        <v>1</v>
      </c>
      <c r="H20" s="8">
        <v>0</v>
      </c>
      <c r="I20" s="8">
        <v>0</v>
      </c>
      <c r="J20" s="8">
        <v>0</v>
      </c>
      <c r="K20" s="8">
        <v>1</v>
      </c>
      <c r="L20" s="8">
        <v>0</v>
      </c>
      <c r="M20" s="8">
        <v>1</v>
      </c>
      <c r="N20" s="8">
        <v>0</v>
      </c>
      <c r="O20" s="8">
        <v>1</v>
      </c>
      <c r="P20" s="8">
        <v>1</v>
      </c>
      <c r="Q20" s="8">
        <v>1</v>
      </c>
      <c r="R20" s="8">
        <v>1</v>
      </c>
      <c r="S20" s="8">
        <v>0</v>
      </c>
      <c r="T20" s="8">
        <v>1</v>
      </c>
      <c r="U20" s="8">
        <v>0</v>
      </c>
      <c r="V20" s="8">
        <v>0</v>
      </c>
      <c r="W20" s="8">
        <v>0</v>
      </c>
      <c r="X20" s="8">
        <v>1</v>
      </c>
      <c r="Y20" s="8">
        <v>0</v>
      </c>
      <c r="Z20" s="8">
        <v>1</v>
      </c>
      <c r="AA20" s="8">
        <v>1</v>
      </c>
      <c r="AB20" s="8">
        <v>1</v>
      </c>
      <c r="AC20" s="8">
        <v>1</v>
      </c>
    </row>
    <row r="21" spans="2:29" x14ac:dyDescent="0.25">
      <c r="B21" s="12" t="s">
        <v>861</v>
      </c>
      <c r="C21" s="28" t="s">
        <v>862</v>
      </c>
      <c r="D21" s="8">
        <v>1</v>
      </c>
      <c r="E21" s="8">
        <v>0</v>
      </c>
      <c r="F21" s="8">
        <v>0</v>
      </c>
      <c r="G21" s="8">
        <v>1</v>
      </c>
      <c r="H21" s="8">
        <v>0</v>
      </c>
      <c r="I21" s="8">
        <v>0</v>
      </c>
      <c r="J21" s="8">
        <v>0</v>
      </c>
      <c r="K21" s="8">
        <v>1</v>
      </c>
      <c r="L21" s="8">
        <v>0</v>
      </c>
      <c r="M21" s="8">
        <v>1</v>
      </c>
      <c r="N21" s="8">
        <v>0</v>
      </c>
      <c r="O21" s="8">
        <v>1</v>
      </c>
      <c r="P21" s="8">
        <v>1</v>
      </c>
      <c r="Q21" s="8">
        <v>1</v>
      </c>
      <c r="R21" s="8">
        <v>1</v>
      </c>
      <c r="S21" s="8">
        <v>0</v>
      </c>
      <c r="T21" s="8">
        <v>1</v>
      </c>
      <c r="U21" s="8">
        <v>0</v>
      </c>
      <c r="V21" s="8">
        <v>0</v>
      </c>
      <c r="W21" s="8">
        <v>0</v>
      </c>
      <c r="X21" s="8">
        <v>1</v>
      </c>
      <c r="Y21" s="8">
        <v>0</v>
      </c>
      <c r="Z21" s="8">
        <v>1</v>
      </c>
      <c r="AA21" s="8">
        <v>1</v>
      </c>
      <c r="AB21" s="8">
        <v>1</v>
      </c>
      <c r="AC21" s="8">
        <v>1</v>
      </c>
    </row>
    <row r="22" spans="2:29" x14ac:dyDescent="0.25">
      <c r="B22" s="12" t="s">
        <v>863</v>
      </c>
      <c r="C22" s="28" t="s">
        <v>864</v>
      </c>
      <c r="D22" s="8">
        <v>1</v>
      </c>
      <c r="E22" s="8">
        <v>0</v>
      </c>
      <c r="F22" s="8">
        <v>0</v>
      </c>
      <c r="G22" s="8">
        <v>1</v>
      </c>
      <c r="H22" s="8">
        <v>0</v>
      </c>
      <c r="I22" s="8">
        <v>0</v>
      </c>
      <c r="J22" s="8">
        <v>0</v>
      </c>
      <c r="K22" s="8">
        <v>0</v>
      </c>
      <c r="L22" s="8">
        <v>0</v>
      </c>
      <c r="M22" s="8">
        <v>1</v>
      </c>
      <c r="N22" s="8">
        <v>0</v>
      </c>
      <c r="O22" s="8">
        <v>1</v>
      </c>
      <c r="P22" s="8">
        <v>1</v>
      </c>
      <c r="Q22" s="8">
        <v>1</v>
      </c>
      <c r="R22" s="8">
        <v>1</v>
      </c>
      <c r="S22" s="8">
        <v>0</v>
      </c>
      <c r="T22" s="8">
        <v>1</v>
      </c>
      <c r="U22" s="8">
        <v>0</v>
      </c>
      <c r="V22" s="8">
        <v>0</v>
      </c>
      <c r="W22" s="8">
        <v>0</v>
      </c>
      <c r="X22" s="8">
        <v>1</v>
      </c>
      <c r="Y22" s="8">
        <v>0</v>
      </c>
      <c r="Z22" s="8">
        <v>1</v>
      </c>
      <c r="AA22" s="8">
        <v>1</v>
      </c>
      <c r="AB22" s="8">
        <v>1</v>
      </c>
      <c r="AC22" s="8">
        <v>1</v>
      </c>
    </row>
    <row r="23" spans="2:29" x14ac:dyDescent="0.25">
      <c r="B23" s="12" t="s">
        <v>865</v>
      </c>
      <c r="C23" s="28" t="s">
        <v>866</v>
      </c>
      <c r="D23" s="8">
        <v>1</v>
      </c>
      <c r="E23" s="8">
        <v>0</v>
      </c>
      <c r="F23" s="8">
        <v>0</v>
      </c>
      <c r="G23" s="8">
        <v>1</v>
      </c>
      <c r="H23" s="8">
        <v>0</v>
      </c>
      <c r="I23" s="8">
        <v>0</v>
      </c>
      <c r="J23" s="8">
        <v>0</v>
      </c>
      <c r="K23" s="8">
        <v>0</v>
      </c>
      <c r="L23" s="8">
        <v>0</v>
      </c>
      <c r="M23" s="8">
        <v>0</v>
      </c>
      <c r="N23" s="8">
        <v>0</v>
      </c>
      <c r="O23" s="8">
        <v>1</v>
      </c>
      <c r="P23" s="8">
        <v>1</v>
      </c>
      <c r="Q23" s="8">
        <v>1</v>
      </c>
      <c r="R23" s="8">
        <v>1</v>
      </c>
      <c r="S23" s="8">
        <v>0</v>
      </c>
      <c r="T23" s="8">
        <v>1</v>
      </c>
      <c r="U23" s="8">
        <v>0</v>
      </c>
      <c r="V23" s="8">
        <v>0</v>
      </c>
      <c r="W23" s="8">
        <v>0</v>
      </c>
      <c r="X23" s="8">
        <v>1</v>
      </c>
      <c r="Y23" s="8">
        <v>0</v>
      </c>
      <c r="Z23" s="8">
        <v>1</v>
      </c>
      <c r="AA23" s="8">
        <v>1</v>
      </c>
      <c r="AB23" s="8">
        <v>1</v>
      </c>
      <c r="AC23" s="8">
        <v>1</v>
      </c>
    </row>
    <row r="24" spans="2:29" x14ac:dyDescent="0.25">
      <c r="B24" s="12" t="s">
        <v>867</v>
      </c>
      <c r="C24" s="28" t="s">
        <v>868</v>
      </c>
      <c r="D24" s="8">
        <v>1</v>
      </c>
      <c r="E24" s="8">
        <v>0</v>
      </c>
      <c r="F24" s="8">
        <v>0</v>
      </c>
      <c r="G24" s="8">
        <v>1</v>
      </c>
      <c r="H24" s="8">
        <v>0</v>
      </c>
      <c r="I24" s="8">
        <v>0</v>
      </c>
      <c r="J24" s="8">
        <v>0</v>
      </c>
      <c r="K24" s="8">
        <v>0</v>
      </c>
      <c r="L24" s="8">
        <v>0</v>
      </c>
      <c r="M24" s="8">
        <v>0</v>
      </c>
      <c r="N24" s="8">
        <v>0</v>
      </c>
      <c r="O24" s="8">
        <v>1</v>
      </c>
      <c r="P24" s="8">
        <v>1</v>
      </c>
      <c r="Q24" s="8">
        <v>1</v>
      </c>
      <c r="R24" s="8">
        <v>1</v>
      </c>
      <c r="S24" s="8">
        <v>0</v>
      </c>
      <c r="T24" s="8">
        <v>1</v>
      </c>
      <c r="U24" s="8">
        <v>0</v>
      </c>
      <c r="V24" s="8">
        <v>0</v>
      </c>
      <c r="W24" s="8">
        <v>0</v>
      </c>
      <c r="X24" s="8">
        <v>1</v>
      </c>
      <c r="Y24" s="8">
        <v>0</v>
      </c>
      <c r="Z24" s="8">
        <v>1</v>
      </c>
      <c r="AA24" s="8">
        <v>0</v>
      </c>
      <c r="AB24" s="8">
        <v>1</v>
      </c>
      <c r="AC24" s="8">
        <v>1</v>
      </c>
    </row>
    <row r="25" spans="2:29" x14ac:dyDescent="0.25">
      <c r="B25" s="12" t="s">
        <v>869</v>
      </c>
      <c r="C25" s="28" t="s">
        <v>870</v>
      </c>
      <c r="D25" s="8">
        <v>1</v>
      </c>
      <c r="E25" s="8">
        <v>0</v>
      </c>
      <c r="F25" s="8">
        <v>0</v>
      </c>
      <c r="G25" s="8">
        <v>1</v>
      </c>
      <c r="H25" s="8">
        <v>0</v>
      </c>
      <c r="I25" s="8">
        <v>0</v>
      </c>
      <c r="J25" s="8">
        <v>0</v>
      </c>
      <c r="K25" s="8">
        <v>0</v>
      </c>
      <c r="L25" s="8">
        <v>0</v>
      </c>
      <c r="M25" s="8">
        <v>0</v>
      </c>
      <c r="N25" s="8">
        <v>0</v>
      </c>
      <c r="O25" s="8">
        <v>1</v>
      </c>
      <c r="P25" s="8">
        <v>1</v>
      </c>
      <c r="Q25" s="8">
        <v>1</v>
      </c>
      <c r="R25" s="8">
        <v>1</v>
      </c>
      <c r="S25" s="8">
        <v>0</v>
      </c>
      <c r="T25" s="8">
        <v>1</v>
      </c>
      <c r="U25" s="8">
        <v>0</v>
      </c>
      <c r="V25" s="8">
        <v>0</v>
      </c>
      <c r="W25" s="8">
        <v>0</v>
      </c>
      <c r="X25" s="8">
        <v>1</v>
      </c>
      <c r="Y25" s="8">
        <v>0</v>
      </c>
      <c r="Z25" s="8">
        <v>0</v>
      </c>
      <c r="AA25" s="8">
        <v>0</v>
      </c>
      <c r="AB25" s="8">
        <v>1</v>
      </c>
      <c r="AC25" s="8">
        <v>1</v>
      </c>
    </row>
    <row r="26" spans="2:29" x14ac:dyDescent="0.25">
      <c r="B26" s="12" t="s">
        <v>871</v>
      </c>
      <c r="C26" s="28" t="s">
        <v>872</v>
      </c>
      <c r="D26" s="8">
        <v>1</v>
      </c>
      <c r="E26" s="8">
        <v>0</v>
      </c>
      <c r="F26" s="8">
        <v>0</v>
      </c>
      <c r="G26" s="8">
        <v>1</v>
      </c>
      <c r="H26" s="8">
        <v>0</v>
      </c>
      <c r="I26" s="8">
        <v>0</v>
      </c>
      <c r="J26" s="8">
        <v>0</v>
      </c>
      <c r="K26" s="8">
        <v>0</v>
      </c>
      <c r="L26" s="8">
        <v>0</v>
      </c>
      <c r="M26" s="8">
        <v>0</v>
      </c>
      <c r="N26" s="8">
        <v>0</v>
      </c>
      <c r="O26" s="8">
        <v>1</v>
      </c>
      <c r="P26" s="8">
        <v>1</v>
      </c>
      <c r="Q26" s="8">
        <v>1</v>
      </c>
      <c r="R26" s="8">
        <v>1</v>
      </c>
      <c r="S26" s="8">
        <v>0</v>
      </c>
      <c r="T26" s="8">
        <v>1</v>
      </c>
      <c r="U26" s="8">
        <v>0</v>
      </c>
      <c r="V26" s="8">
        <v>0</v>
      </c>
      <c r="W26" s="8">
        <v>0</v>
      </c>
      <c r="X26" s="8">
        <v>0</v>
      </c>
      <c r="Y26" s="8">
        <v>0</v>
      </c>
      <c r="Z26" s="8">
        <v>0</v>
      </c>
      <c r="AA26" s="8">
        <v>0</v>
      </c>
      <c r="AB26" s="8">
        <v>1</v>
      </c>
      <c r="AC26" s="8">
        <v>1</v>
      </c>
    </row>
    <row r="27" spans="2:29" x14ac:dyDescent="0.25">
      <c r="B27" s="12" t="s">
        <v>873</v>
      </c>
      <c r="C27" s="28" t="s">
        <v>874</v>
      </c>
      <c r="D27" s="8">
        <v>1</v>
      </c>
      <c r="E27" s="8">
        <v>0</v>
      </c>
      <c r="F27" s="8">
        <v>0</v>
      </c>
      <c r="G27" s="8">
        <v>1</v>
      </c>
      <c r="H27" s="8">
        <v>0</v>
      </c>
      <c r="I27" s="8">
        <v>0</v>
      </c>
      <c r="J27" s="8">
        <v>0</v>
      </c>
      <c r="K27" s="8">
        <v>0</v>
      </c>
      <c r="L27" s="8">
        <v>0</v>
      </c>
      <c r="M27" s="8">
        <v>0</v>
      </c>
      <c r="N27" s="8">
        <v>0</v>
      </c>
      <c r="O27" s="8">
        <v>1</v>
      </c>
      <c r="P27" s="8">
        <v>1</v>
      </c>
      <c r="Q27" s="8">
        <v>1</v>
      </c>
      <c r="R27" s="8">
        <v>1</v>
      </c>
      <c r="S27" s="8">
        <v>0</v>
      </c>
      <c r="T27" s="8">
        <v>0</v>
      </c>
      <c r="U27" s="8">
        <v>0</v>
      </c>
      <c r="V27" s="8">
        <v>0</v>
      </c>
      <c r="W27" s="8">
        <v>0</v>
      </c>
      <c r="X27" s="8">
        <v>0</v>
      </c>
      <c r="Y27" s="8">
        <v>0</v>
      </c>
      <c r="Z27" s="8">
        <v>0</v>
      </c>
      <c r="AA27" s="8">
        <v>0</v>
      </c>
      <c r="AB27" s="8">
        <v>1</v>
      </c>
      <c r="AC27" s="8">
        <v>1</v>
      </c>
    </row>
    <row r="28" spans="2:29" x14ac:dyDescent="0.25">
      <c r="B28" s="12" t="s">
        <v>875</v>
      </c>
      <c r="C28" s="28" t="s">
        <v>876</v>
      </c>
      <c r="D28" s="8">
        <v>1</v>
      </c>
      <c r="E28" s="8">
        <v>0</v>
      </c>
      <c r="F28" s="8">
        <v>0</v>
      </c>
      <c r="G28" s="8">
        <v>1</v>
      </c>
      <c r="H28" s="8">
        <v>0</v>
      </c>
      <c r="I28" s="8">
        <v>0</v>
      </c>
      <c r="J28" s="8">
        <v>0</v>
      </c>
      <c r="K28" s="8">
        <v>0</v>
      </c>
      <c r="L28" s="8">
        <v>0</v>
      </c>
      <c r="M28" s="8">
        <v>0</v>
      </c>
      <c r="N28" s="8">
        <v>0</v>
      </c>
      <c r="O28" s="8">
        <v>1</v>
      </c>
      <c r="P28" s="8">
        <v>0</v>
      </c>
      <c r="Q28" s="8">
        <v>1</v>
      </c>
      <c r="R28" s="8">
        <v>1</v>
      </c>
      <c r="S28" s="8">
        <v>0</v>
      </c>
      <c r="T28" s="8">
        <v>0</v>
      </c>
      <c r="U28" s="8">
        <v>0</v>
      </c>
      <c r="V28" s="8">
        <v>0</v>
      </c>
      <c r="W28" s="8">
        <v>0</v>
      </c>
      <c r="X28" s="8">
        <v>0</v>
      </c>
      <c r="Y28" s="8">
        <v>0</v>
      </c>
      <c r="Z28" s="8">
        <v>0</v>
      </c>
      <c r="AA28" s="8">
        <v>0</v>
      </c>
      <c r="AB28" s="8">
        <v>1</v>
      </c>
      <c r="AC28" s="8">
        <v>1</v>
      </c>
    </row>
    <row r="30" spans="2:29" ht="15.75" x14ac:dyDescent="0.25">
      <c r="C30" s="29" t="s">
        <v>778</v>
      </c>
      <c r="D30" s="30"/>
      <c r="E30" s="30"/>
      <c r="F30" s="30"/>
      <c r="G30" s="30"/>
      <c r="H30" s="30"/>
      <c r="I30" s="31"/>
    </row>
    <row r="31" spans="2:29" x14ac:dyDescent="0.25">
      <c r="C31" s="9" t="s">
        <v>773</v>
      </c>
      <c r="D31" s="5" t="s">
        <v>779</v>
      </c>
      <c r="E31" s="5" t="s">
        <v>763</v>
      </c>
      <c r="F31" s="5" t="s">
        <v>780</v>
      </c>
      <c r="G31" s="5" t="s">
        <v>732</v>
      </c>
      <c r="H31" s="5" t="s">
        <v>761</v>
      </c>
      <c r="I31" s="5" t="s">
        <v>781</v>
      </c>
    </row>
    <row r="32" spans="2:29" x14ac:dyDescent="0.25">
      <c r="C32" s="9" t="s">
        <v>774</v>
      </c>
      <c r="D32" s="8">
        <v>21</v>
      </c>
      <c r="E32" s="8">
        <v>342.00304781201123</v>
      </c>
      <c r="F32" s="8">
        <v>21</v>
      </c>
      <c r="G32" s="8">
        <v>0.12155944887838999</v>
      </c>
      <c r="H32" s="8">
        <v>7.1648053928298427E-2</v>
      </c>
      <c r="I32" s="8" t="s">
        <v>877</v>
      </c>
    </row>
    <row r="33" spans="3:9" x14ac:dyDescent="0.25">
      <c r="C33" s="9" t="s">
        <v>775</v>
      </c>
      <c r="D33" s="8">
        <v>20</v>
      </c>
      <c r="E33" s="8">
        <v>342.01026653934753</v>
      </c>
      <c r="F33" s="8">
        <v>19.007429735023209</v>
      </c>
      <c r="G33" s="8">
        <v>0.12154090745643409</v>
      </c>
      <c r="H33" s="8">
        <v>7.4258406724627468E-2</v>
      </c>
      <c r="I33" s="8">
        <v>0.93135968972234173</v>
      </c>
    </row>
    <row r="34" spans="3:9" x14ac:dyDescent="0.25">
      <c r="C34" s="9" t="s">
        <v>776</v>
      </c>
      <c r="D34" s="8">
        <v>19</v>
      </c>
      <c r="E34" s="8">
        <v>342.02151991783035</v>
      </c>
      <c r="F34" s="8">
        <v>17.019012056441966</v>
      </c>
      <c r="G34" s="8">
        <v>0.12151200296549558</v>
      </c>
      <c r="H34" s="8">
        <v>7.6843121760351241E-2</v>
      </c>
      <c r="I34" s="8">
        <v>0.99053926551645843</v>
      </c>
    </row>
    <row r="35" spans="3:9" x14ac:dyDescent="0.25">
      <c r="C35" s="9" t="s">
        <v>777</v>
      </c>
      <c r="D35" s="8">
        <v>18</v>
      </c>
      <c r="E35" s="8">
        <v>342.0411224778079</v>
      </c>
      <c r="F35" s="8">
        <v>15.039187610888746</v>
      </c>
      <c r="G35" s="8">
        <v>0.12146165346217908</v>
      </c>
      <c r="H35" s="8">
        <v>7.939080306459334E-2</v>
      </c>
      <c r="I35" s="8">
        <v>0.99795674579946558</v>
      </c>
    </row>
    <row r="36" spans="3:9" x14ac:dyDescent="0.25">
      <c r="C36" s="9" t="s">
        <v>818</v>
      </c>
      <c r="D36" s="8">
        <v>17</v>
      </c>
      <c r="E36" s="8">
        <v>342.09407148508211</v>
      </c>
      <c r="F36" s="8">
        <v>13.093684349089642</v>
      </c>
      <c r="G36" s="8">
        <v>0.12132565305098719</v>
      </c>
      <c r="H36" s="8">
        <v>8.1834671165638251E-2</v>
      </c>
      <c r="I36" s="8">
        <v>0.99893090357689873</v>
      </c>
    </row>
    <row r="37" spans="3:9" x14ac:dyDescent="0.25">
      <c r="C37" s="9" t="s">
        <v>858</v>
      </c>
      <c r="D37" s="8">
        <v>16</v>
      </c>
      <c r="E37" s="8">
        <v>342.33062307496942</v>
      </c>
      <c r="F37" s="8">
        <v>11.337150482426864</v>
      </c>
      <c r="G37" s="8">
        <v>0.12071806633408888</v>
      </c>
      <c r="H37" s="8">
        <v>8.3773447272496027E-2</v>
      </c>
      <c r="I37" s="8">
        <v>0.99685738804344437</v>
      </c>
    </row>
    <row r="38" spans="3:9" x14ac:dyDescent="0.25">
      <c r="C38" s="9" t="s">
        <v>860</v>
      </c>
      <c r="D38" s="8">
        <v>15</v>
      </c>
      <c r="E38" s="8">
        <v>342.74520123470978</v>
      </c>
      <c r="F38" s="8">
        <v>9.7638470079760395</v>
      </c>
      <c r="G38" s="8">
        <v>0.11965321539356311</v>
      </c>
      <c r="H38" s="8">
        <v>8.5226246163143782E-2</v>
      </c>
      <c r="I38" s="8">
        <v>0.992920767897987</v>
      </c>
    </row>
    <row r="39" spans="3:9" x14ac:dyDescent="0.25">
      <c r="C39" s="9" t="s">
        <v>862</v>
      </c>
      <c r="D39" s="8">
        <v>14</v>
      </c>
      <c r="E39" s="8">
        <v>343.28479800760937</v>
      </c>
      <c r="F39" s="8">
        <v>8.3192165149900461</v>
      </c>
      <c r="G39" s="8">
        <v>0.11826725205317234</v>
      </c>
      <c r="H39" s="8">
        <v>8.6338211041170232E-2</v>
      </c>
      <c r="I39" s="8">
        <v>0.98772859042002925</v>
      </c>
    </row>
    <row r="40" spans="3:9" x14ac:dyDescent="0.25">
      <c r="C40" s="9" t="s">
        <v>864</v>
      </c>
      <c r="D40" s="8">
        <v>13</v>
      </c>
      <c r="E40" s="8">
        <v>343.99223559009977</v>
      </c>
      <c r="F40" s="8">
        <v>7.0473329181324402</v>
      </c>
      <c r="G40" s="8">
        <v>0.11645018678482832</v>
      </c>
      <c r="H40" s="8">
        <v>8.6998526344322591E-2</v>
      </c>
      <c r="I40" s="8">
        <v>0.97915757524774272</v>
      </c>
    </row>
    <row r="41" spans="3:9" x14ac:dyDescent="0.25">
      <c r="C41" s="9" t="s">
        <v>866</v>
      </c>
      <c r="D41" s="8">
        <v>12</v>
      </c>
      <c r="E41" s="8">
        <v>345.09144806859535</v>
      </c>
      <c r="F41" s="8">
        <v>6.1786760301480399</v>
      </c>
      <c r="G41" s="8">
        <v>0.11362684114043464</v>
      </c>
      <c r="H41" s="8">
        <v>8.6618240731971441E-2</v>
      </c>
      <c r="I41" s="8">
        <v>0.95602472449666664</v>
      </c>
    </row>
    <row r="42" spans="3:9" x14ac:dyDescent="0.25">
      <c r="C42" s="9" t="s">
        <v>868</v>
      </c>
      <c r="D42" s="8">
        <v>11</v>
      </c>
      <c r="E42" s="8">
        <v>346.82335687129427</v>
      </c>
      <c r="F42" s="8">
        <v>5.9612095556536246</v>
      </c>
      <c r="G42" s="8">
        <v>0.10917840440027016</v>
      </c>
      <c r="H42" s="8">
        <v>8.4570073030111992E-2</v>
      </c>
      <c r="I42" s="8">
        <v>0.89235503597604349</v>
      </c>
    </row>
    <row r="43" spans="3:9" x14ac:dyDescent="0.25">
      <c r="C43" s="9" t="s">
        <v>870</v>
      </c>
      <c r="D43" s="8">
        <v>10</v>
      </c>
      <c r="E43" s="8">
        <v>348.72347555123565</v>
      </c>
      <c r="F43" s="8">
        <v>5.9168698330059328</v>
      </c>
      <c r="G43" s="8">
        <v>0.10429791777571329</v>
      </c>
      <c r="H43" s="8">
        <v>8.2090428133788862E-2</v>
      </c>
      <c r="I43" s="8">
        <v>0.80416630771875197</v>
      </c>
    </row>
    <row r="44" spans="3:9" x14ac:dyDescent="0.25">
      <c r="C44" s="9" t="s">
        <v>872</v>
      </c>
      <c r="D44" s="8">
        <v>9</v>
      </c>
      <c r="E44" s="8">
        <v>350.03646560808124</v>
      </c>
      <c r="F44" s="8">
        <v>5.2682393689397031</v>
      </c>
      <c r="G44" s="8">
        <v>0.10092548084413777</v>
      </c>
      <c r="H44" s="8">
        <v>8.1165601302250701E-2</v>
      </c>
      <c r="I44" s="8">
        <v>0.76222969478940295</v>
      </c>
    </row>
    <row r="45" spans="3:9" x14ac:dyDescent="0.25">
      <c r="C45" s="9" t="s">
        <v>874</v>
      </c>
      <c r="D45" s="8">
        <v>8</v>
      </c>
      <c r="E45" s="8">
        <v>352.4598268446457</v>
      </c>
      <c r="F45" s="8">
        <v>5.7624368935757388</v>
      </c>
      <c r="G45" s="8">
        <v>9.4701036957355322E-2</v>
      </c>
      <c r="H45" s="8">
        <v>7.7339139035989546E-2</v>
      </c>
      <c r="I45" s="8">
        <v>0.63042725269130739</v>
      </c>
    </row>
    <row r="46" spans="3:9" x14ac:dyDescent="0.25">
      <c r="C46" s="9" t="s">
        <v>876</v>
      </c>
      <c r="D46" s="8">
        <v>7</v>
      </c>
      <c r="E46" s="8">
        <v>354.84467887420072</v>
      </c>
      <c r="F46" s="8">
        <v>6.2169995642124718</v>
      </c>
      <c r="G46" s="8">
        <v>8.8575504613160216E-2</v>
      </c>
      <c r="H46" s="8">
        <v>7.3634119442884116E-2</v>
      </c>
      <c r="I46" s="8">
        <v>0.51126398812700136</v>
      </c>
    </row>
  </sheetData>
  <mergeCells count="14">
    <mergeCell ref="H5:I5"/>
    <mergeCell ref="J5:K5"/>
    <mergeCell ref="B3:K3"/>
    <mergeCell ref="N3:Q3"/>
    <mergeCell ref="C12:AC12"/>
    <mergeCell ref="C30:I30"/>
    <mergeCell ref="B4:C4"/>
    <mergeCell ref="D4:E4"/>
    <mergeCell ref="F4:G4"/>
    <mergeCell ref="H4:I4"/>
    <mergeCell ref="J4:K4"/>
    <mergeCell ref="B5:C5"/>
    <mergeCell ref="D5:E5"/>
    <mergeCell ref="F5:G5"/>
  </mergeCells>
  <hyperlinks>
    <hyperlink ref="C14" location="B14:B14" tooltip="701" display="Subset 1" xr:uid="{2164E615-15FE-4F82-AC44-E001FC0293AC}"/>
    <hyperlink ref="C15" location="B15:B15" tooltip="701" display="Subset 2" xr:uid="{895E8469-E12E-4590-BA1B-938768C04A8E}"/>
    <hyperlink ref="C16" location="B16:B16" tooltip="701" display="Subset 3" xr:uid="{A792E252-39FB-4BF5-855A-2ABEFFB321AE}"/>
    <hyperlink ref="C17" location="B17:B17" tooltip="701" display="Subset 4" xr:uid="{4CB57EB7-D49A-4D76-B3DA-83AD217DAF19}"/>
    <hyperlink ref="C18" location="B18:B18" tooltip="701" display="Subset 5" xr:uid="{32DB40B9-EE1E-431C-8A01-C1447E9DFB22}"/>
    <hyperlink ref="C19" location="B19:B19" tooltip="701" display="Subset 6" xr:uid="{80D82C5B-535E-46E8-8BDF-6117C57FE932}"/>
    <hyperlink ref="C20" location="B20:B20" tooltip="701" display="Subset 7" xr:uid="{62B1992B-E8EA-4624-A932-7F5C490831C9}"/>
    <hyperlink ref="C21" location="B21:B21" tooltip="701" display="Subset 8" xr:uid="{C70841E7-504B-4A3B-BD33-AAA7AF4CEE19}"/>
    <hyperlink ref="C22" location="B22:B22" tooltip="701" display="Subset 9" xr:uid="{18D467E5-A5D8-45A3-A0E1-41746B2660C7}"/>
    <hyperlink ref="C23" location="B23:B23" tooltip="701" display="Subset 10" xr:uid="{38672903-1B0D-4861-9D8C-9EE64B95EDAD}"/>
    <hyperlink ref="C24" location="B24:B24" tooltip="701" display="Subset 11" xr:uid="{1CF9689E-A806-4234-93FB-4B1CA8824120}"/>
    <hyperlink ref="C25" location="B25:B25" tooltip="701" display="Subset 12" xr:uid="{20B30A21-0D4D-4AD6-BB4A-28E21E89B525}"/>
    <hyperlink ref="C26" location="B26:B26" tooltip="701" display="Subset 13" xr:uid="{CCBD4E7E-5014-4184-8D9F-C0DF291A493F}"/>
    <hyperlink ref="C27" location="B27:B27" tooltip="701" display="Subset 14" xr:uid="{0B12BFFB-9F91-462A-81A6-7ED81D9A2167}"/>
    <hyperlink ref="C28" location="B28:B28" tooltip="701" display="Subset 15" xr:uid="{B23FCB7D-A362-4B58-B324-CEEDE0B245BC}"/>
    <hyperlink ref="B4" location="'LinReg_FS1'!$B$10:$B$10" display="Feature Selection" xr:uid="{2A63D9B4-3D60-4AA4-8737-EF94F5338D5E}"/>
    <hyperlink ref="D4" location="'LinReg_Output'!$B$10:$B$10" display="Inputs" xr:uid="{5D9CCEFA-0284-469D-9064-D56CD702616F}"/>
    <hyperlink ref="F4" location="'LinReg_Output'!$B$53:$B$53" display="Regression Summary" xr:uid="{4C9868C0-0574-4CFF-922C-E17F75223BF4}"/>
    <hyperlink ref="H4" location="'LinReg_Output'!$B$62:$B$62" display="Predictor Screening" xr:uid="{83314CF8-C86E-4568-BA8C-BA99833CC020}"/>
    <hyperlink ref="J4" location="'LinReg_Output'!$B$95:$B$95" display="Coefficients" xr:uid="{ECEB90B4-A77E-46E7-9542-9109991CA321}"/>
    <hyperlink ref="B5" location="'LinReg_Stored1'!$B$10:$B$10" display="PMML Model" xr:uid="{9D30B653-7343-4CB6-9A8A-D575B71765DB}"/>
    <hyperlink ref="D5" location="'LinReg_TrainingScore1'!$B$10:$B$10" display="Training: Prediction Summary" xr:uid="{5AD49C44-36A4-4418-9440-C8B777D4E138}"/>
    <hyperlink ref="F5" location="'LinReg_ValidationScore1'!$B$10:$B$10" display="Validation: Prediction Summary" xr:uid="{C4C39017-72C4-4D20-932B-4BA61813F449}"/>
  </hyperlinks>
  <pageMargins left="0.7" right="0.7" top="0.75" bottom="0.75" header="0.3" footer="0.3"/>
  <tableParts count="2">
    <tablePart r:id="rId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AFE6C-05E1-40C8-BBDA-22AB3792381A}">
  <sheetPr codeName="Sheet32">
    <tabColor theme="7"/>
  </sheetPr>
  <dimension ref="B1:Q17"/>
  <sheetViews>
    <sheetView showGridLines="0" workbookViewId="0">
      <selection activeCell="N35" sqref="N35"/>
    </sheetView>
  </sheetViews>
  <sheetFormatPr defaultRowHeight="15" x14ac:dyDescent="0.25"/>
  <cols>
    <col min="14" max="14" width="15.5703125" bestFit="1" customWidth="1"/>
  </cols>
  <sheetData>
    <row r="1" spans="2:17" ht="18.75" x14ac:dyDescent="0.3">
      <c r="B1" s="6" t="s">
        <v>733</v>
      </c>
      <c r="N1" t="s">
        <v>850</v>
      </c>
    </row>
    <row r="3" spans="2:17" ht="15.75" x14ac:dyDescent="0.25">
      <c r="B3" s="13" t="s">
        <v>147</v>
      </c>
      <c r="C3" s="14"/>
      <c r="D3" s="14"/>
      <c r="E3" s="14"/>
      <c r="F3" s="14"/>
      <c r="G3" s="14"/>
      <c r="H3" s="14"/>
      <c r="I3" s="14"/>
      <c r="J3" s="14"/>
      <c r="K3" s="15"/>
      <c r="N3" s="13" t="s">
        <v>148</v>
      </c>
      <c r="O3" s="14"/>
      <c r="P3" s="14"/>
      <c r="Q3" s="15"/>
    </row>
    <row r="4" spans="2:17" x14ac:dyDescent="0.25">
      <c r="B4" s="25" t="s">
        <v>770</v>
      </c>
      <c r="C4" s="21"/>
      <c r="D4" s="25" t="s">
        <v>153</v>
      </c>
      <c r="E4" s="21"/>
      <c r="F4" s="25" t="s">
        <v>720</v>
      </c>
      <c r="G4" s="21"/>
      <c r="H4" s="25" t="s">
        <v>721</v>
      </c>
      <c r="I4" s="21"/>
      <c r="J4" s="25" t="s">
        <v>722</v>
      </c>
      <c r="K4" s="21"/>
      <c r="N4" s="11" t="s">
        <v>149</v>
      </c>
      <c r="O4" s="11" t="s">
        <v>150</v>
      </c>
      <c r="P4" s="11" t="s">
        <v>151</v>
      </c>
      <c r="Q4" s="11" t="s">
        <v>152</v>
      </c>
    </row>
    <row r="5" spans="2:17" x14ac:dyDescent="0.25">
      <c r="B5" s="25" t="s">
        <v>645</v>
      </c>
      <c r="C5" s="21"/>
      <c r="D5" s="25" t="s">
        <v>723</v>
      </c>
      <c r="E5" s="21"/>
      <c r="F5" s="25" t="s">
        <v>724</v>
      </c>
      <c r="G5" s="21"/>
      <c r="H5" s="19"/>
      <c r="I5" s="21"/>
      <c r="J5" s="19"/>
      <c r="K5" s="21"/>
      <c r="N5" s="10">
        <v>13</v>
      </c>
      <c r="O5" s="10">
        <v>22</v>
      </c>
      <c r="P5" s="10">
        <v>5</v>
      </c>
      <c r="Q5" s="10">
        <v>40</v>
      </c>
    </row>
    <row r="10" spans="2:17" ht="18.75" x14ac:dyDescent="0.3">
      <c r="B10" s="7" t="s">
        <v>723</v>
      </c>
    </row>
    <row r="12" spans="2:17" x14ac:dyDescent="0.25">
      <c r="C12" t="s">
        <v>726</v>
      </c>
      <c r="D12" t="s">
        <v>727</v>
      </c>
    </row>
    <row r="13" spans="2:17" x14ac:dyDescent="0.25">
      <c r="C13" t="s">
        <v>728</v>
      </c>
      <c r="D13">
        <v>342.00304781201146</v>
      </c>
    </row>
    <row r="14" spans="2:17" x14ac:dyDescent="0.25">
      <c r="C14" t="s">
        <v>729</v>
      </c>
      <c r="D14">
        <v>0.9168982515067331</v>
      </c>
    </row>
    <row r="15" spans="2:17" x14ac:dyDescent="0.25">
      <c r="C15" t="s">
        <v>730</v>
      </c>
      <c r="D15">
        <v>0.9575480413570554</v>
      </c>
    </row>
    <row r="16" spans="2:17" x14ac:dyDescent="0.25">
      <c r="C16" t="s">
        <v>731</v>
      </c>
      <c r="D16">
        <v>0.74970141902013387</v>
      </c>
    </row>
    <row r="17" spans="3:4" x14ac:dyDescent="0.25">
      <c r="C17" t="s">
        <v>732</v>
      </c>
      <c r="D17">
        <v>0.12155944887838854</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FS1'!$B$10:$B$10" display="Feature Selection" xr:uid="{F27BB7FE-7C17-41AA-A72A-F3D948246FD2}"/>
    <hyperlink ref="D4" location="'LinReg_Output'!$B$10:$B$10" display="Inputs" xr:uid="{918A4EB7-DC7C-4326-92E7-1DAE16167E2F}"/>
    <hyperlink ref="F4" location="'LinReg_Output'!$B$53:$B$53" display="Regression Summary" xr:uid="{F8369DD8-C376-4B80-B5BF-141431783C92}"/>
    <hyperlink ref="H4" location="'LinReg_Output'!$B$62:$B$62" display="Predictor Screening" xr:uid="{ACDE0C0D-B1AD-4DE3-A689-DC30E15B3FC1}"/>
    <hyperlink ref="J4" location="'LinReg_Output'!$B$95:$B$95" display="Coefficients" xr:uid="{6B5210A6-4854-46AE-BC0D-14D8E1F4E4A0}"/>
    <hyperlink ref="B5" location="'LinReg_Stored1'!$B$10:$B$10" display="PMML Model" xr:uid="{38E3CCF2-4762-41A7-A78C-867B9F6EAFF9}"/>
    <hyperlink ref="D5" location="'LinReg_TrainingScore1'!$B$10:$B$10" display="Training: Prediction Summary" xr:uid="{D94BEC00-225A-42B5-9547-99F15169F1E1}"/>
    <hyperlink ref="F5" location="'LinReg_ValidationScore1'!$B$10:$B$10" display="Validation: Prediction Summary" xr:uid="{47B36425-8103-4A11-B4DE-6F66FDC4FDBB}"/>
  </hyperlinks>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A5027-215A-4602-8A3B-423C407660F6}">
  <sheetPr codeName="Sheet33">
    <tabColor theme="7"/>
  </sheetPr>
  <dimension ref="B1:Q17"/>
  <sheetViews>
    <sheetView showGridLines="0" workbookViewId="0">
      <selection activeCell="N35" sqref="N35"/>
    </sheetView>
  </sheetViews>
  <sheetFormatPr defaultRowHeight="15" x14ac:dyDescent="0.25"/>
  <cols>
    <col min="14" max="14" width="15.5703125" bestFit="1" customWidth="1"/>
  </cols>
  <sheetData>
    <row r="1" spans="2:17" ht="18.75" x14ac:dyDescent="0.3">
      <c r="B1" s="6" t="s">
        <v>725</v>
      </c>
      <c r="N1" t="s">
        <v>850</v>
      </c>
    </row>
    <row r="3" spans="2:17" ht="15.75" x14ac:dyDescent="0.25">
      <c r="B3" s="13" t="s">
        <v>147</v>
      </c>
      <c r="C3" s="14"/>
      <c r="D3" s="14"/>
      <c r="E3" s="14"/>
      <c r="F3" s="14"/>
      <c r="G3" s="14"/>
      <c r="H3" s="14"/>
      <c r="I3" s="14"/>
      <c r="J3" s="14"/>
      <c r="K3" s="15"/>
      <c r="N3" s="13" t="s">
        <v>148</v>
      </c>
      <c r="O3" s="14"/>
      <c r="P3" s="14"/>
      <c r="Q3" s="15"/>
    </row>
    <row r="4" spans="2:17" x14ac:dyDescent="0.25">
      <c r="B4" s="25" t="s">
        <v>770</v>
      </c>
      <c r="C4" s="21"/>
      <c r="D4" s="25" t="s">
        <v>153</v>
      </c>
      <c r="E4" s="21"/>
      <c r="F4" s="25" t="s">
        <v>720</v>
      </c>
      <c r="G4" s="21"/>
      <c r="H4" s="25" t="s">
        <v>721</v>
      </c>
      <c r="I4" s="21"/>
      <c r="J4" s="25" t="s">
        <v>722</v>
      </c>
      <c r="K4" s="21"/>
      <c r="N4" s="11" t="s">
        <v>149</v>
      </c>
      <c r="O4" s="11" t="s">
        <v>150</v>
      </c>
      <c r="P4" s="11" t="s">
        <v>151</v>
      </c>
      <c r="Q4" s="11" t="s">
        <v>152</v>
      </c>
    </row>
    <row r="5" spans="2:17" x14ac:dyDescent="0.25">
      <c r="B5" s="25" t="s">
        <v>645</v>
      </c>
      <c r="C5" s="21"/>
      <c r="D5" s="25" t="s">
        <v>723</v>
      </c>
      <c r="E5" s="21"/>
      <c r="F5" s="25" t="s">
        <v>724</v>
      </c>
      <c r="G5" s="21"/>
      <c r="H5" s="19"/>
      <c r="I5" s="21"/>
      <c r="J5" s="19"/>
      <c r="K5" s="21"/>
      <c r="N5" s="10">
        <v>13</v>
      </c>
      <c r="O5" s="10">
        <v>22</v>
      </c>
      <c r="P5" s="10">
        <v>5</v>
      </c>
      <c r="Q5" s="10">
        <v>40</v>
      </c>
    </row>
    <row r="10" spans="2:17" ht="18.75" x14ac:dyDescent="0.3">
      <c r="B10" s="7" t="s">
        <v>724</v>
      </c>
    </row>
    <row r="12" spans="2:17" x14ac:dyDescent="0.25">
      <c r="C12" t="s">
        <v>726</v>
      </c>
      <c r="D12" t="s">
        <v>727</v>
      </c>
    </row>
    <row r="13" spans="2:17" x14ac:dyDescent="0.25">
      <c r="C13" t="s">
        <v>728</v>
      </c>
      <c r="D13">
        <v>88.101451497980662</v>
      </c>
    </row>
    <row r="14" spans="2:17" x14ac:dyDescent="0.25">
      <c r="C14" t="s">
        <v>729</v>
      </c>
      <c r="D14">
        <v>0.9473274354621577</v>
      </c>
    </row>
    <row r="15" spans="2:17" x14ac:dyDescent="0.25">
      <c r="C15" t="s">
        <v>730</v>
      </c>
      <c r="D15">
        <v>0.97330747221120095</v>
      </c>
    </row>
    <row r="16" spans="2:17" x14ac:dyDescent="0.25">
      <c r="C16" t="s">
        <v>731</v>
      </c>
      <c r="D16">
        <v>0.76797918769731555</v>
      </c>
    </row>
    <row r="17" spans="3:4" x14ac:dyDescent="0.25">
      <c r="C17" t="s">
        <v>732</v>
      </c>
      <c r="D17">
        <v>9.4047435945133206E-2</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FS1'!$B$10:$B$10" display="Feature Selection" xr:uid="{3EA82245-851F-41E3-8E1E-561EFDFC4347}"/>
    <hyperlink ref="D4" location="'LinReg_Output'!$B$10:$B$10" display="Inputs" xr:uid="{9FDF66AF-0A2F-4998-9FD0-0D2B1392DB6F}"/>
    <hyperlink ref="F4" location="'LinReg_Output'!$B$53:$B$53" display="Regression Summary" xr:uid="{C1641601-2957-47AB-93A4-984296C8B18B}"/>
    <hyperlink ref="H4" location="'LinReg_Output'!$B$62:$B$62" display="Predictor Screening" xr:uid="{49118AFD-AE24-4C64-B710-7A3542FAABA8}"/>
    <hyperlink ref="J4" location="'LinReg_Output'!$B$95:$B$95" display="Coefficients" xr:uid="{4FFC8397-250A-4E34-94CD-FBE3A06587D7}"/>
    <hyperlink ref="B5" location="'LinReg_Stored1'!$B$10:$B$10" display="PMML Model" xr:uid="{A353029E-86EC-40F8-A1B6-3D2B2C4F8D0C}"/>
    <hyperlink ref="D5" location="'LinReg_TrainingScore1'!$B$10:$B$10" display="Training: Prediction Summary" xr:uid="{9B7E4726-E3D9-4171-9B23-81718D8D2D82}"/>
    <hyperlink ref="F5" location="'LinReg_ValidationScore1'!$B$10:$B$10" display="Validation: Prediction Summary" xr:uid="{FC53D08D-37F5-4E7C-B02A-A75BD829EED6}"/>
  </hyperlinks>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1458A-FCB5-40AD-AA29-2B20711DD989}">
  <sheetPr codeName="Sheet34">
    <tabColor theme="7"/>
  </sheetPr>
  <dimension ref="B1:Q108"/>
  <sheetViews>
    <sheetView showGridLines="0" workbookViewId="0">
      <selection activeCell="N35" sqref="N35"/>
    </sheetView>
  </sheetViews>
  <sheetFormatPr defaultRowHeight="15" x14ac:dyDescent="0.25"/>
  <cols>
    <col min="14" max="14" width="15.5703125" bestFit="1" customWidth="1"/>
  </cols>
  <sheetData>
    <row r="1" spans="2:17" ht="18.75" x14ac:dyDescent="0.3">
      <c r="B1" s="6" t="s">
        <v>644</v>
      </c>
      <c r="N1" t="s">
        <v>850</v>
      </c>
    </row>
    <row r="3" spans="2:17" ht="15.75" x14ac:dyDescent="0.25">
      <c r="B3" s="13" t="s">
        <v>147</v>
      </c>
      <c r="C3" s="14"/>
      <c r="D3" s="14"/>
      <c r="E3" s="14"/>
      <c r="F3" s="14"/>
      <c r="G3" s="14"/>
      <c r="H3" s="14"/>
      <c r="I3" s="14"/>
      <c r="J3" s="14"/>
      <c r="K3" s="15"/>
      <c r="N3" s="13" t="s">
        <v>148</v>
      </c>
      <c r="O3" s="14"/>
      <c r="P3" s="14"/>
      <c r="Q3" s="15"/>
    </row>
    <row r="4" spans="2:17" x14ac:dyDescent="0.25">
      <c r="B4" s="25" t="s">
        <v>770</v>
      </c>
      <c r="C4" s="21"/>
      <c r="D4" s="25" t="s">
        <v>153</v>
      </c>
      <c r="E4" s="21"/>
      <c r="F4" s="25" t="s">
        <v>720</v>
      </c>
      <c r="G4" s="21"/>
      <c r="H4" s="25" t="s">
        <v>721</v>
      </c>
      <c r="I4" s="21"/>
      <c r="J4" s="25" t="s">
        <v>722</v>
      </c>
      <c r="K4" s="21"/>
      <c r="N4" s="11" t="s">
        <v>149</v>
      </c>
      <c r="O4" s="11" t="s">
        <v>150</v>
      </c>
      <c r="P4" s="11" t="s">
        <v>151</v>
      </c>
      <c r="Q4" s="11" t="s">
        <v>152</v>
      </c>
    </row>
    <row r="5" spans="2:17" x14ac:dyDescent="0.25">
      <c r="B5" s="25" t="s">
        <v>645</v>
      </c>
      <c r="C5" s="21"/>
      <c r="D5" s="25" t="s">
        <v>723</v>
      </c>
      <c r="E5" s="21"/>
      <c r="F5" s="25" t="s">
        <v>724</v>
      </c>
      <c r="G5" s="21"/>
      <c r="H5" s="19"/>
      <c r="I5" s="21"/>
      <c r="J5" s="19"/>
      <c r="K5" s="21"/>
      <c r="N5" s="10">
        <v>13</v>
      </c>
      <c r="O5" s="10">
        <v>22</v>
      </c>
      <c r="P5" s="10">
        <v>5</v>
      </c>
      <c r="Q5" s="10">
        <v>40</v>
      </c>
    </row>
    <row r="10" spans="2:17" ht="18.75" x14ac:dyDescent="0.3">
      <c r="B10" s="7" t="s">
        <v>645</v>
      </c>
    </row>
    <row r="12" spans="2:17" x14ac:dyDescent="0.25">
      <c r="B12" t="s">
        <v>646</v>
      </c>
    </row>
    <row r="13" spans="2:17" x14ac:dyDescent="0.25">
      <c r="B13" t="s">
        <v>647</v>
      </c>
    </row>
    <row r="14" spans="2:17" x14ac:dyDescent="0.25">
      <c r="B14" t="s">
        <v>648</v>
      </c>
    </row>
    <row r="15" spans="2:17" x14ac:dyDescent="0.25">
      <c r="B15" t="s">
        <v>649</v>
      </c>
    </row>
    <row r="16" spans="2:17" x14ac:dyDescent="0.25">
      <c r="B16" t="s">
        <v>851</v>
      </c>
    </row>
    <row r="17" spans="2:2" x14ac:dyDescent="0.25">
      <c r="B17" t="s">
        <v>650</v>
      </c>
    </row>
    <row r="18" spans="2:2" x14ac:dyDescent="0.25">
      <c r="B18" t="s">
        <v>651</v>
      </c>
    </row>
    <row r="19" spans="2:2" x14ac:dyDescent="0.25">
      <c r="B19" t="s">
        <v>652</v>
      </c>
    </row>
    <row r="20" spans="2:2" x14ac:dyDescent="0.25">
      <c r="B20" t="s">
        <v>653</v>
      </c>
    </row>
    <row r="21" spans="2:2" x14ac:dyDescent="0.25">
      <c r="B21" t="s">
        <v>654</v>
      </c>
    </row>
    <row r="22" spans="2:2" x14ac:dyDescent="0.25">
      <c r="B22" t="s">
        <v>655</v>
      </c>
    </row>
    <row r="23" spans="2:2" x14ac:dyDescent="0.25">
      <c r="B23" t="s">
        <v>656</v>
      </c>
    </row>
    <row r="24" spans="2:2" x14ac:dyDescent="0.25">
      <c r="B24" t="s">
        <v>657</v>
      </c>
    </row>
    <row r="25" spans="2:2" x14ac:dyDescent="0.25">
      <c r="B25" t="s">
        <v>658</v>
      </c>
    </row>
    <row r="26" spans="2:2" x14ac:dyDescent="0.25">
      <c r="B26" t="s">
        <v>659</v>
      </c>
    </row>
    <row r="27" spans="2:2" x14ac:dyDescent="0.25">
      <c r="B27" t="s">
        <v>660</v>
      </c>
    </row>
    <row r="28" spans="2:2" x14ac:dyDescent="0.25">
      <c r="B28" t="s">
        <v>661</v>
      </c>
    </row>
    <row r="29" spans="2:2" x14ac:dyDescent="0.25">
      <c r="B29" t="s">
        <v>662</v>
      </c>
    </row>
    <row r="30" spans="2:2" x14ac:dyDescent="0.25">
      <c r="B30" t="s">
        <v>663</v>
      </c>
    </row>
    <row r="31" spans="2:2" x14ac:dyDescent="0.25">
      <c r="B31" t="s">
        <v>664</v>
      </c>
    </row>
    <row r="32" spans="2:2" x14ac:dyDescent="0.25">
      <c r="B32" t="s">
        <v>665</v>
      </c>
    </row>
    <row r="33" spans="2:2" x14ac:dyDescent="0.25">
      <c r="B33" t="s">
        <v>666</v>
      </c>
    </row>
    <row r="34" spans="2:2" x14ac:dyDescent="0.25">
      <c r="B34" t="s">
        <v>667</v>
      </c>
    </row>
    <row r="35" spans="2:2" x14ac:dyDescent="0.25">
      <c r="B35" t="s">
        <v>668</v>
      </c>
    </row>
    <row r="36" spans="2:2" x14ac:dyDescent="0.25">
      <c r="B36" t="s">
        <v>669</v>
      </c>
    </row>
    <row r="37" spans="2:2" x14ac:dyDescent="0.25">
      <c r="B37" t="s">
        <v>670</v>
      </c>
    </row>
    <row r="38" spans="2:2" x14ac:dyDescent="0.25">
      <c r="B38" t="s">
        <v>671</v>
      </c>
    </row>
    <row r="39" spans="2:2" x14ac:dyDescent="0.25">
      <c r="B39" t="s">
        <v>672</v>
      </c>
    </row>
    <row r="40" spans="2:2" x14ac:dyDescent="0.25">
      <c r="B40" t="s">
        <v>673</v>
      </c>
    </row>
    <row r="41" spans="2:2" x14ac:dyDescent="0.25">
      <c r="B41" t="s">
        <v>674</v>
      </c>
    </row>
    <row r="42" spans="2:2" x14ac:dyDescent="0.25">
      <c r="B42" t="s">
        <v>675</v>
      </c>
    </row>
    <row r="43" spans="2:2" x14ac:dyDescent="0.25">
      <c r="B43" t="s">
        <v>676</v>
      </c>
    </row>
    <row r="44" spans="2:2" x14ac:dyDescent="0.25">
      <c r="B44" t="s">
        <v>677</v>
      </c>
    </row>
    <row r="45" spans="2:2" x14ac:dyDescent="0.25">
      <c r="B45" t="s">
        <v>678</v>
      </c>
    </row>
    <row r="46" spans="2:2" x14ac:dyDescent="0.25">
      <c r="B46" t="s">
        <v>679</v>
      </c>
    </row>
    <row r="47" spans="2:2" x14ac:dyDescent="0.25">
      <c r="B47" t="s">
        <v>680</v>
      </c>
    </row>
    <row r="48" spans="2:2" x14ac:dyDescent="0.25">
      <c r="B48" t="s">
        <v>681</v>
      </c>
    </row>
    <row r="49" spans="2:2" x14ac:dyDescent="0.25">
      <c r="B49" t="s">
        <v>682</v>
      </c>
    </row>
    <row r="50" spans="2:2" x14ac:dyDescent="0.25">
      <c r="B50" t="s">
        <v>683</v>
      </c>
    </row>
    <row r="51" spans="2:2" x14ac:dyDescent="0.25">
      <c r="B51" t="s">
        <v>684</v>
      </c>
    </row>
    <row r="52" spans="2:2" x14ac:dyDescent="0.25">
      <c r="B52" t="s">
        <v>685</v>
      </c>
    </row>
    <row r="53" spans="2:2" x14ac:dyDescent="0.25">
      <c r="B53" t="s">
        <v>686</v>
      </c>
    </row>
    <row r="54" spans="2:2" x14ac:dyDescent="0.25">
      <c r="B54" t="s">
        <v>687</v>
      </c>
    </row>
    <row r="55" spans="2:2" x14ac:dyDescent="0.25">
      <c r="B55" t="s">
        <v>688</v>
      </c>
    </row>
    <row r="56" spans="2:2" x14ac:dyDescent="0.25">
      <c r="B56" t="s">
        <v>689</v>
      </c>
    </row>
    <row r="57" spans="2:2" x14ac:dyDescent="0.25">
      <c r="B57" t="s">
        <v>690</v>
      </c>
    </row>
    <row r="58" spans="2:2" x14ac:dyDescent="0.25">
      <c r="B58" t="s">
        <v>691</v>
      </c>
    </row>
    <row r="59" spans="2:2" x14ac:dyDescent="0.25">
      <c r="B59" t="s">
        <v>692</v>
      </c>
    </row>
    <row r="60" spans="2:2" x14ac:dyDescent="0.25">
      <c r="B60" t="s">
        <v>693</v>
      </c>
    </row>
    <row r="61" spans="2:2" x14ac:dyDescent="0.25">
      <c r="B61" t="s">
        <v>694</v>
      </c>
    </row>
    <row r="62" spans="2:2" x14ac:dyDescent="0.25">
      <c r="B62" t="s">
        <v>695</v>
      </c>
    </row>
    <row r="63" spans="2:2" x14ac:dyDescent="0.25">
      <c r="B63" t="s">
        <v>696</v>
      </c>
    </row>
    <row r="64" spans="2:2" x14ac:dyDescent="0.25">
      <c r="B64" t="s">
        <v>697</v>
      </c>
    </row>
    <row r="65" spans="2:2" x14ac:dyDescent="0.25">
      <c r="B65" t="s">
        <v>698</v>
      </c>
    </row>
    <row r="66" spans="2:2" x14ac:dyDescent="0.25">
      <c r="B66" t="s">
        <v>699</v>
      </c>
    </row>
    <row r="67" spans="2:2" x14ac:dyDescent="0.25">
      <c r="B67" t="s">
        <v>700</v>
      </c>
    </row>
    <row r="68" spans="2:2" x14ac:dyDescent="0.25">
      <c r="B68" t="s">
        <v>701</v>
      </c>
    </row>
    <row r="69" spans="2:2" x14ac:dyDescent="0.25">
      <c r="B69" t="s">
        <v>702</v>
      </c>
    </row>
    <row r="70" spans="2:2" x14ac:dyDescent="0.25">
      <c r="B70" t="s">
        <v>703</v>
      </c>
    </row>
    <row r="71" spans="2:2" x14ac:dyDescent="0.25">
      <c r="B71" t="s">
        <v>704</v>
      </c>
    </row>
    <row r="72" spans="2:2" x14ac:dyDescent="0.25">
      <c r="B72" t="s">
        <v>705</v>
      </c>
    </row>
    <row r="73" spans="2:2" x14ac:dyDescent="0.25">
      <c r="B73" t="s">
        <v>706</v>
      </c>
    </row>
    <row r="74" spans="2:2" x14ac:dyDescent="0.25">
      <c r="B74" t="s">
        <v>707</v>
      </c>
    </row>
    <row r="75" spans="2:2" x14ac:dyDescent="0.25">
      <c r="B75" t="s">
        <v>708</v>
      </c>
    </row>
    <row r="76" spans="2:2" x14ac:dyDescent="0.25">
      <c r="B76" t="s">
        <v>709</v>
      </c>
    </row>
    <row r="77" spans="2:2" x14ac:dyDescent="0.25">
      <c r="B77" t="s">
        <v>710</v>
      </c>
    </row>
    <row r="78" spans="2:2" x14ac:dyDescent="0.25">
      <c r="B78" t="s">
        <v>711</v>
      </c>
    </row>
    <row r="79" spans="2:2" x14ac:dyDescent="0.25">
      <c r="B79" t="s">
        <v>712</v>
      </c>
    </row>
    <row r="80" spans="2:2" x14ac:dyDescent="0.25">
      <c r="B80" t="s">
        <v>791</v>
      </c>
    </row>
    <row r="81" spans="2:2" x14ac:dyDescent="0.25">
      <c r="B81" t="s">
        <v>792</v>
      </c>
    </row>
    <row r="82" spans="2:2" x14ac:dyDescent="0.25">
      <c r="B82" t="s">
        <v>793</v>
      </c>
    </row>
    <row r="83" spans="2:2" x14ac:dyDescent="0.25">
      <c r="B83" t="s">
        <v>794</v>
      </c>
    </row>
    <row r="84" spans="2:2" x14ac:dyDescent="0.25">
      <c r="B84" t="s">
        <v>795</v>
      </c>
    </row>
    <row r="85" spans="2:2" x14ac:dyDescent="0.25">
      <c r="B85" t="s">
        <v>713</v>
      </c>
    </row>
    <row r="86" spans="2:2" x14ac:dyDescent="0.25">
      <c r="B86" t="s">
        <v>796</v>
      </c>
    </row>
    <row r="87" spans="2:2" x14ac:dyDescent="0.25">
      <c r="B87" t="s">
        <v>797</v>
      </c>
    </row>
    <row r="88" spans="2:2" x14ac:dyDescent="0.25">
      <c r="B88" t="s">
        <v>798</v>
      </c>
    </row>
    <row r="89" spans="2:2" x14ac:dyDescent="0.25">
      <c r="B89" t="s">
        <v>799</v>
      </c>
    </row>
    <row r="90" spans="2:2" x14ac:dyDescent="0.25">
      <c r="B90" t="s">
        <v>714</v>
      </c>
    </row>
    <row r="91" spans="2:2" x14ac:dyDescent="0.25">
      <c r="B91" t="s">
        <v>800</v>
      </c>
    </row>
    <row r="92" spans="2:2" x14ac:dyDescent="0.25">
      <c r="B92" t="s">
        <v>801</v>
      </c>
    </row>
    <row r="93" spans="2:2" x14ac:dyDescent="0.25">
      <c r="B93" t="s">
        <v>802</v>
      </c>
    </row>
    <row r="94" spans="2:2" x14ac:dyDescent="0.25">
      <c r="B94" t="s">
        <v>803</v>
      </c>
    </row>
    <row r="95" spans="2:2" x14ac:dyDescent="0.25">
      <c r="B95" t="s">
        <v>715</v>
      </c>
    </row>
    <row r="96" spans="2:2" x14ac:dyDescent="0.25">
      <c r="B96" t="s">
        <v>804</v>
      </c>
    </row>
    <row r="97" spans="2:2" x14ac:dyDescent="0.25">
      <c r="B97" t="s">
        <v>716</v>
      </c>
    </row>
    <row r="98" spans="2:2" x14ac:dyDescent="0.25">
      <c r="B98" t="s">
        <v>805</v>
      </c>
    </row>
    <row r="99" spans="2:2" x14ac:dyDescent="0.25">
      <c r="B99" t="s">
        <v>806</v>
      </c>
    </row>
    <row r="100" spans="2:2" x14ac:dyDescent="0.25">
      <c r="B100" t="s">
        <v>807</v>
      </c>
    </row>
    <row r="101" spans="2:2" x14ac:dyDescent="0.25">
      <c r="B101" t="s">
        <v>808</v>
      </c>
    </row>
    <row r="102" spans="2:2" x14ac:dyDescent="0.25">
      <c r="B102" t="s">
        <v>809</v>
      </c>
    </row>
    <row r="103" spans="2:2" x14ac:dyDescent="0.25">
      <c r="B103" t="s">
        <v>810</v>
      </c>
    </row>
    <row r="104" spans="2:2" x14ac:dyDescent="0.25">
      <c r="B104" t="s">
        <v>811</v>
      </c>
    </row>
    <row r="105" spans="2:2" x14ac:dyDescent="0.25">
      <c r="B105" t="s">
        <v>812</v>
      </c>
    </row>
    <row r="106" spans="2:2" x14ac:dyDescent="0.25">
      <c r="B106" t="s">
        <v>717</v>
      </c>
    </row>
    <row r="107" spans="2:2" x14ac:dyDescent="0.25">
      <c r="B107" t="s">
        <v>718</v>
      </c>
    </row>
    <row r="108" spans="2:2" x14ac:dyDescent="0.25">
      <c r="B108" t="s">
        <v>719</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FS1'!$B$10:$B$10" display="Feature Selection" xr:uid="{6ED675F9-37C7-4F23-8C5A-16561479990A}"/>
    <hyperlink ref="D4" location="'LinReg_Output'!$B$10:$B$10" display="Inputs" xr:uid="{374226E3-2AEB-4096-A1E4-C6A6C06E28A4}"/>
    <hyperlink ref="F4" location="'LinReg_Output'!$B$53:$B$53" display="Regression Summary" xr:uid="{B3FD411D-24C6-4631-8C71-7408669E2E6E}"/>
    <hyperlink ref="H4" location="'LinReg_Output'!$B$62:$B$62" display="Predictor Screening" xr:uid="{674E5456-3AFE-433A-A3A3-696F09577CFD}"/>
    <hyperlink ref="J4" location="'LinReg_Output'!$B$95:$B$95" display="Coefficients" xr:uid="{0C84D031-7D30-49FE-8EC1-B1CCA4118779}"/>
    <hyperlink ref="B5" location="'LinReg_Stored1'!$B$10:$B$10" display="PMML Model" xr:uid="{D0AB58E0-7373-4758-A95B-A2E13422065C}"/>
    <hyperlink ref="D5" location="'LinReg_TrainingScore1'!$B$10:$B$10" display="Training: Prediction Summary" xr:uid="{5E401FCD-AB68-41AC-8771-AE1EDA1A4B46}"/>
    <hyperlink ref="F5" location="'LinReg_ValidationScore1'!$B$10:$B$10" display="Validation: Prediction Summary" xr:uid="{9C78F380-7B09-4AE7-BDFB-6D836433D0F6}"/>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7EBF2-37F8-4721-9A02-EFBA8F2B3322}">
  <sheetPr codeName="Sheet35">
    <tabColor rgb="FFC00000"/>
  </sheetPr>
  <dimension ref="A1:S375"/>
  <sheetViews>
    <sheetView workbookViewId="0">
      <selection activeCell="I27" sqref="I27"/>
    </sheetView>
  </sheetViews>
  <sheetFormatPr defaultRowHeight="15" x14ac:dyDescent="0.25"/>
  <cols>
    <col min="2" max="2" width="20.5703125" bestFit="1" customWidth="1"/>
    <col min="3" max="4" width="18.85546875" bestFit="1" customWidth="1"/>
    <col min="5" max="5" width="9.5703125" bestFit="1" customWidth="1"/>
  </cols>
  <sheetData>
    <row r="1" spans="1:19" ht="15.75" thickBot="1" x14ac:dyDescent="0.3">
      <c r="A1" s="40" t="s">
        <v>4</v>
      </c>
      <c r="B1" s="40" t="s">
        <v>139</v>
      </c>
      <c r="C1" s="40" t="s">
        <v>140</v>
      </c>
      <c r="D1" s="40" t="s">
        <v>141</v>
      </c>
      <c r="E1" s="41" t="s">
        <v>846</v>
      </c>
    </row>
    <row r="2" spans="1:19" ht="15.75" thickTop="1" x14ac:dyDescent="0.25">
      <c r="A2" s="38">
        <v>3</v>
      </c>
      <c r="B2" s="38">
        <v>0</v>
      </c>
      <c r="C2" s="38">
        <v>0</v>
      </c>
      <c r="D2" s="38">
        <v>1</v>
      </c>
      <c r="E2" s="38">
        <v>188</v>
      </c>
    </row>
    <row r="3" spans="1:19" x14ac:dyDescent="0.25">
      <c r="A3" s="39">
        <v>4</v>
      </c>
      <c r="B3" s="39">
        <v>0</v>
      </c>
      <c r="C3" s="39">
        <v>0</v>
      </c>
      <c r="D3" s="39">
        <v>1</v>
      </c>
      <c r="E3" s="39">
        <v>826</v>
      </c>
    </row>
    <row r="4" spans="1:19" x14ac:dyDescent="0.25">
      <c r="A4" s="38">
        <v>5</v>
      </c>
      <c r="B4" s="38">
        <v>1</v>
      </c>
      <c r="C4" s="38">
        <v>0</v>
      </c>
      <c r="D4" s="38">
        <v>0</v>
      </c>
      <c r="E4" s="38">
        <v>2700</v>
      </c>
    </row>
    <row r="5" spans="1:19" x14ac:dyDescent="0.25">
      <c r="A5" s="39">
        <v>4</v>
      </c>
      <c r="B5" s="39">
        <v>0</v>
      </c>
      <c r="C5" s="39">
        <v>0</v>
      </c>
      <c r="D5" s="39">
        <v>0</v>
      </c>
      <c r="E5" s="39">
        <v>3025</v>
      </c>
    </row>
    <row r="6" spans="1:19" x14ac:dyDescent="0.25">
      <c r="A6" s="38">
        <v>5</v>
      </c>
      <c r="B6" s="38">
        <v>0</v>
      </c>
      <c r="C6" s="38">
        <v>0</v>
      </c>
      <c r="D6" s="38">
        <v>0</v>
      </c>
      <c r="E6" s="38">
        <v>2034</v>
      </c>
    </row>
    <row r="7" spans="1:19" x14ac:dyDescent="0.25">
      <c r="A7" s="39">
        <v>4</v>
      </c>
      <c r="B7" s="39">
        <v>1</v>
      </c>
      <c r="C7" s="39">
        <v>0</v>
      </c>
      <c r="D7" s="39">
        <v>0</v>
      </c>
      <c r="E7" s="39">
        <v>3348</v>
      </c>
    </row>
    <row r="8" spans="1:19" x14ac:dyDescent="0.25">
      <c r="A8" s="38">
        <v>5</v>
      </c>
      <c r="B8" s="38">
        <v>1</v>
      </c>
      <c r="C8" s="38">
        <v>0</v>
      </c>
      <c r="D8" s="38">
        <v>0</v>
      </c>
      <c r="E8" s="38">
        <v>2700</v>
      </c>
    </row>
    <row r="9" spans="1:19" x14ac:dyDescent="0.25">
      <c r="A9" s="39">
        <v>5</v>
      </c>
      <c r="B9" s="39">
        <v>0</v>
      </c>
      <c r="C9" s="39">
        <v>0</v>
      </c>
      <c r="D9" s="39">
        <v>0</v>
      </c>
      <c r="E9" s="39">
        <v>3348</v>
      </c>
    </row>
    <row r="10" spans="1:19" x14ac:dyDescent="0.25">
      <c r="A10" s="38">
        <v>5</v>
      </c>
      <c r="B10" s="38">
        <v>1</v>
      </c>
      <c r="C10" s="38">
        <v>0</v>
      </c>
      <c r="D10" s="38">
        <v>0</v>
      </c>
      <c r="E10" s="38">
        <v>2959</v>
      </c>
    </row>
    <row r="11" spans="1:19" x14ac:dyDescent="0.25">
      <c r="A11" s="39">
        <v>3</v>
      </c>
      <c r="B11" s="39">
        <v>0</v>
      </c>
      <c r="C11" s="39">
        <v>0</v>
      </c>
      <c r="D11" s="39">
        <v>0</v>
      </c>
      <c r="E11" s="39">
        <v>3025</v>
      </c>
    </row>
    <row r="12" spans="1:19" x14ac:dyDescent="0.25">
      <c r="A12" s="38">
        <v>4</v>
      </c>
      <c r="B12" s="38">
        <v>0</v>
      </c>
      <c r="C12" s="38">
        <v>0</v>
      </c>
      <c r="D12" s="38">
        <v>0</v>
      </c>
      <c r="E12" s="38">
        <v>1282</v>
      </c>
    </row>
    <row r="13" spans="1:19" x14ac:dyDescent="0.25">
      <c r="A13" s="39">
        <v>3</v>
      </c>
      <c r="B13" s="39">
        <v>0</v>
      </c>
      <c r="C13" s="39">
        <v>1</v>
      </c>
      <c r="D13" s="39">
        <v>0</v>
      </c>
      <c r="E13" s="39">
        <v>3773</v>
      </c>
    </row>
    <row r="14" spans="1:19" x14ac:dyDescent="0.25">
      <c r="A14" s="38">
        <v>5</v>
      </c>
      <c r="B14" s="38">
        <v>1</v>
      </c>
      <c r="C14" s="38">
        <v>0</v>
      </c>
      <c r="D14" s="38">
        <v>0</v>
      </c>
      <c r="E14" s="38">
        <v>2959</v>
      </c>
    </row>
    <row r="15" spans="1:19" x14ac:dyDescent="0.25">
      <c r="A15" s="39">
        <v>3</v>
      </c>
      <c r="B15" s="39">
        <v>0</v>
      </c>
      <c r="C15" s="39">
        <v>1</v>
      </c>
      <c r="D15" s="39">
        <v>0</v>
      </c>
      <c r="E15" s="39">
        <v>315</v>
      </c>
    </row>
    <row r="16" spans="1:19" x14ac:dyDescent="0.25">
      <c r="A16" s="38">
        <v>5</v>
      </c>
      <c r="B16" s="38">
        <v>0</v>
      </c>
      <c r="C16" s="38">
        <v>0</v>
      </c>
      <c r="D16" s="38">
        <v>0</v>
      </c>
      <c r="E16" s="38">
        <v>3025</v>
      </c>
    </row>
    <row r="17" spans="1:5" x14ac:dyDescent="0.25">
      <c r="A17" s="39">
        <v>5</v>
      </c>
      <c r="B17" s="39">
        <v>1</v>
      </c>
      <c r="C17" s="39">
        <v>0</v>
      </c>
      <c r="D17" s="39">
        <v>1</v>
      </c>
      <c r="E17" s="39">
        <v>188</v>
      </c>
    </row>
    <row r="18" spans="1:5" x14ac:dyDescent="0.25">
      <c r="A18" s="38">
        <v>5</v>
      </c>
      <c r="B18" s="38">
        <v>0</v>
      </c>
      <c r="C18" s="38">
        <v>0</v>
      </c>
      <c r="D18" s="38">
        <v>1</v>
      </c>
      <c r="E18" s="38">
        <v>188</v>
      </c>
    </row>
    <row r="19" spans="1:5" x14ac:dyDescent="0.25">
      <c r="A19" s="39">
        <v>5</v>
      </c>
      <c r="B19" s="39">
        <v>0</v>
      </c>
      <c r="C19" s="39">
        <v>0</v>
      </c>
      <c r="D19" s="39">
        <v>1</v>
      </c>
      <c r="E19" s="39">
        <v>2916</v>
      </c>
    </row>
    <row r="20" spans="1:5" x14ac:dyDescent="0.25">
      <c r="A20" s="38">
        <v>5</v>
      </c>
      <c r="B20" s="38">
        <v>1</v>
      </c>
      <c r="C20" s="38">
        <v>0</v>
      </c>
      <c r="D20" s="38">
        <v>1</v>
      </c>
      <c r="E20" s="38">
        <v>2916</v>
      </c>
    </row>
    <row r="21" spans="1:5" x14ac:dyDescent="0.25">
      <c r="A21" s="39">
        <v>5</v>
      </c>
      <c r="B21" s="39">
        <v>1</v>
      </c>
      <c r="C21" s="39">
        <v>0</v>
      </c>
      <c r="D21" s="39">
        <v>0</v>
      </c>
      <c r="E21" s="39">
        <v>3025</v>
      </c>
    </row>
    <row r="22" spans="1:5" x14ac:dyDescent="0.25">
      <c r="A22" s="38">
        <v>2</v>
      </c>
      <c r="B22" s="38">
        <v>1</v>
      </c>
      <c r="C22" s="38">
        <v>0</v>
      </c>
      <c r="D22" s="38">
        <v>1</v>
      </c>
      <c r="E22" s="38">
        <v>2916</v>
      </c>
    </row>
    <row r="23" spans="1:5" x14ac:dyDescent="0.25">
      <c r="A23" s="39">
        <v>4</v>
      </c>
      <c r="B23" s="39">
        <v>0</v>
      </c>
      <c r="C23" s="39">
        <v>1</v>
      </c>
      <c r="D23" s="39">
        <v>0</v>
      </c>
      <c r="E23" s="39">
        <v>1228</v>
      </c>
    </row>
    <row r="24" spans="1:5" x14ac:dyDescent="0.25">
      <c r="A24" s="38">
        <v>5</v>
      </c>
      <c r="B24" s="38">
        <v>0</v>
      </c>
      <c r="C24" s="38">
        <v>1</v>
      </c>
      <c r="D24" s="38">
        <v>0</v>
      </c>
      <c r="E24" s="38">
        <v>732</v>
      </c>
    </row>
    <row r="25" spans="1:5" x14ac:dyDescent="0.25">
      <c r="A25" s="39">
        <v>4</v>
      </c>
      <c r="B25" s="39">
        <v>1</v>
      </c>
      <c r="C25" s="39">
        <v>0</v>
      </c>
      <c r="D25" s="39">
        <v>0</v>
      </c>
      <c r="E25" s="39">
        <v>2959</v>
      </c>
    </row>
    <row r="26" spans="1:5" x14ac:dyDescent="0.25">
      <c r="A26" s="38">
        <v>4</v>
      </c>
      <c r="B26" s="38">
        <v>0</v>
      </c>
      <c r="C26" s="38">
        <v>0</v>
      </c>
      <c r="D26" s="38">
        <v>1</v>
      </c>
      <c r="E26" s="38">
        <v>188</v>
      </c>
    </row>
    <row r="27" spans="1:5" x14ac:dyDescent="0.25">
      <c r="A27" s="39">
        <v>5</v>
      </c>
      <c r="B27" s="39">
        <v>0</v>
      </c>
      <c r="C27" s="39">
        <v>0</v>
      </c>
      <c r="D27" s="39">
        <v>0</v>
      </c>
      <c r="E27" s="39">
        <v>1282</v>
      </c>
    </row>
    <row r="28" spans="1:5" x14ac:dyDescent="0.25">
      <c r="A28" s="38">
        <v>4</v>
      </c>
      <c r="B28" s="38">
        <v>1</v>
      </c>
      <c r="C28" s="38">
        <v>1</v>
      </c>
      <c r="D28" s="38">
        <v>0</v>
      </c>
      <c r="E28" s="38">
        <v>3981</v>
      </c>
    </row>
    <row r="29" spans="1:5" x14ac:dyDescent="0.25">
      <c r="A29" s="39">
        <v>4</v>
      </c>
      <c r="B29" s="39">
        <v>1</v>
      </c>
      <c r="C29" s="39">
        <v>1</v>
      </c>
      <c r="D29" s="39">
        <v>0</v>
      </c>
      <c r="E29" s="39">
        <v>315</v>
      </c>
    </row>
    <row r="30" spans="1:5" x14ac:dyDescent="0.25">
      <c r="A30" s="38">
        <v>5</v>
      </c>
      <c r="B30" s="38">
        <v>1</v>
      </c>
      <c r="C30" s="38">
        <v>0</v>
      </c>
      <c r="D30" s="38">
        <v>0</v>
      </c>
      <c r="E30" s="38">
        <v>3933</v>
      </c>
    </row>
    <row r="31" spans="1:5" x14ac:dyDescent="0.25">
      <c r="A31" s="39">
        <v>3</v>
      </c>
      <c r="B31" s="39">
        <v>1</v>
      </c>
      <c r="C31" s="39">
        <v>0</v>
      </c>
      <c r="D31" s="39">
        <v>1</v>
      </c>
      <c r="E31" s="39">
        <v>188</v>
      </c>
    </row>
    <row r="32" spans="1:5" x14ac:dyDescent="0.25">
      <c r="A32" s="38">
        <v>3</v>
      </c>
      <c r="B32" s="38">
        <v>1</v>
      </c>
      <c r="C32" s="38">
        <v>0</v>
      </c>
      <c r="D32" s="38">
        <v>1</v>
      </c>
      <c r="E32" s="38">
        <v>2916</v>
      </c>
    </row>
    <row r="33" spans="1:5" x14ac:dyDescent="0.25">
      <c r="A33" s="39">
        <v>3</v>
      </c>
      <c r="B33" s="39">
        <v>1</v>
      </c>
      <c r="C33" s="39">
        <v>0</v>
      </c>
      <c r="D33" s="39">
        <v>1</v>
      </c>
      <c r="E33" s="39">
        <v>2916</v>
      </c>
    </row>
    <row r="34" spans="1:5" x14ac:dyDescent="0.25">
      <c r="A34" s="38">
        <v>2</v>
      </c>
      <c r="B34" s="38">
        <v>0</v>
      </c>
      <c r="C34" s="38">
        <v>1</v>
      </c>
      <c r="D34" s="38">
        <v>0</v>
      </c>
      <c r="E34" s="38">
        <v>1228</v>
      </c>
    </row>
    <row r="35" spans="1:5" x14ac:dyDescent="0.25">
      <c r="A35" s="39">
        <v>5</v>
      </c>
      <c r="B35" s="39">
        <v>1</v>
      </c>
      <c r="C35" s="39">
        <v>1</v>
      </c>
      <c r="D35" s="39">
        <v>0</v>
      </c>
      <c r="E35" s="39">
        <v>732</v>
      </c>
    </row>
    <row r="36" spans="1:5" x14ac:dyDescent="0.25">
      <c r="A36" s="38">
        <v>5</v>
      </c>
      <c r="B36" s="38">
        <v>0</v>
      </c>
      <c r="C36" s="38">
        <v>0</v>
      </c>
      <c r="D36" s="38">
        <v>0</v>
      </c>
      <c r="E36" s="38">
        <v>2700</v>
      </c>
    </row>
    <row r="37" spans="1:5" x14ac:dyDescent="0.25">
      <c r="A37" s="39">
        <v>4</v>
      </c>
      <c r="B37" s="39">
        <v>0</v>
      </c>
      <c r="C37" s="39">
        <v>0</v>
      </c>
      <c r="D37" s="39">
        <v>0</v>
      </c>
      <c r="E37" s="39">
        <v>3933</v>
      </c>
    </row>
    <row r="38" spans="1:5" x14ac:dyDescent="0.25">
      <c r="A38" s="38">
        <v>4</v>
      </c>
      <c r="B38" s="38">
        <v>0</v>
      </c>
      <c r="C38" s="38">
        <v>0</v>
      </c>
      <c r="D38" s="38">
        <v>1</v>
      </c>
      <c r="E38" s="38">
        <v>826</v>
      </c>
    </row>
    <row r="39" spans="1:5" x14ac:dyDescent="0.25">
      <c r="A39" s="39">
        <v>5</v>
      </c>
      <c r="B39" s="39">
        <v>0</v>
      </c>
      <c r="C39" s="39">
        <v>1</v>
      </c>
      <c r="D39" s="39">
        <v>0</v>
      </c>
      <c r="E39" s="39">
        <v>787</v>
      </c>
    </row>
    <row r="40" spans="1:5" x14ac:dyDescent="0.25">
      <c r="A40" s="38">
        <v>5</v>
      </c>
      <c r="B40" s="38">
        <v>0</v>
      </c>
      <c r="C40" s="38">
        <v>0</v>
      </c>
      <c r="D40" s="38">
        <v>0</v>
      </c>
      <c r="E40" s="38">
        <v>4027</v>
      </c>
    </row>
    <row r="41" spans="1:5" x14ac:dyDescent="0.25">
      <c r="A41" s="39">
        <v>5</v>
      </c>
      <c r="B41" s="39">
        <v>0</v>
      </c>
      <c r="C41" s="39">
        <v>1</v>
      </c>
      <c r="D41" s="39">
        <v>0</v>
      </c>
      <c r="E41" s="39">
        <v>716</v>
      </c>
    </row>
    <row r="42" spans="1:5" x14ac:dyDescent="0.25">
      <c r="A42" s="38">
        <v>5</v>
      </c>
      <c r="B42" s="38">
        <v>0</v>
      </c>
      <c r="C42" s="38">
        <v>0</v>
      </c>
      <c r="D42" s="38">
        <v>0</v>
      </c>
      <c r="E42" s="38">
        <v>2959</v>
      </c>
    </row>
    <row r="43" spans="1:5" x14ac:dyDescent="0.25">
      <c r="A43" s="39">
        <v>5</v>
      </c>
      <c r="B43" s="39">
        <v>0</v>
      </c>
      <c r="C43" s="39">
        <v>0</v>
      </c>
      <c r="D43" s="39">
        <v>0</v>
      </c>
      <c r="E43" s="39">
        <v>2959</v>
      </c>
    </row>
    <row r="44" spans="1:5" x14ac:dyDescent="0.25">
      <c r="A44" s="38">
        <v>5</v>
      </c>
      <c r="B44" s="38">
        <v>1</v>
      </c>
      <c r="C44" s="38">
        <v>0</v>
      </c>
      <c r="D44" s="38">
        <v>0</v>
      </c>
      <c r="E44" s="38">
        <v>3348</v>
      </c>
    </row>
    <row r="45" spans="1:5" x14ac:dyDescent="0.25">
      <c r="A45" s="39">
        <v>4</v>
      </c>
      <c r="B45" s="39">
        <v>0</v>
      </c>
      <c r="C45" s="39">
        <v>0</v>
      </c>
      <c r="D45" s="39">
        <v>1</v>
      </c>
      <c r="E45" s="39">
        <v>2916</v>
      </c>
    </row>
    <row r="46" spans="1:5" x14ac:dyDescent="0.25">
      <c r="A46" s="38">
        <v>4</v>
      </c>
      <c r="B46" s="38">
        <v>0</v>
      </c>
      <c r="C46" s="38">
        <v>1</v>
      </c>
      <c r="D46" s="38">
        <v>0</v>
      </c>
      <c r="E46" s="38">
        <v>732</v>
      </c>
    </row>
    <row r="47" spans="1:5" x14ac:dyDescent="0.25">
      <c r="A47" s="39">
        <v>5</v>
      </c>
      <c r="B47" s="39">
        <v>1</v>
      </c>
      <c r="C47" s="39">
        <v>1</v>
      </c>
      <c r="D47" s="39">
        <v>0</v>
      </c>
      <c r="E47" s="39">
        <v>1228</v>
      </c>
    </row>
    <row r="48" spans="1:5" x14ac:dyDescent="0.25">
      <c r="A48" s="38">
        <v>5</v>
      </c>
      <c r="B48" s="38">
        <v>0</v>
      </c>
      <c r="C48" s="38">
        <v>0</v>
      </c>
      <c r="D48" s="38">
        <v>0</v>
      </c>
      <c r="E48" s="38">
        <v>2034</v>
      </c>
    </row>
    <row r="49" spans="1:5" x14ac:dyDescent="0.25">
      <c r="A49" s="39">
        <v>5</v>
      </c>
      <c r="B49" s="39">
        <v>0</v>
      </c>
      <c r="C49" s="39">
        <v>0</v>
      </c>
      <c r="D49" s="39">
        <v>0</v>
      </c>
      <c r="E49" s="39">
        <v>3933</v>
      </c>
    </row>
    <row r="50" spans="1:5" x14ac:dyDescent="0.25">
      <c r="A50" s="38">
        <v>1</v>
      </c>
      <c r="B50" s="38">
        <v>1</v>
      </c>
      <c r="C50" s="38">
        <v>0</v>
      </c>
      <c r="D50" s="38">
        <v>0</v>
      </c>
      <c r="E50" s="38">
        <v>3348</v>
      </c>
    </row>
    <row r="51" spans="1:5" x14ac:dyDescent="0.25">
      <c r="A51" s="39">
        <v>5</v>
      </c>
      <c r="B51" s="39">
        <v>0</v>
      </c>
      <c r="C51" s="39">
        <v>1</v>
      </c>
      <c r="D51" s="39">
        <v>0</v>
      </c>
      <c r="E51" s="39">
        <v>1228</v>
      </c>
    </row>
    <row r="52" spans="1:5" x14ac:dyDescent="0.25">
      <c r="A52" s="38">
        <v>5</v>
      </c>
      <c r="B52" s="38">
        <v>0</v>
      </c>
      <c r="C52" s="38">
        <v>1</v>
      </c>
      <c r="D52" s="38">
        <v>0</v>
      </c>
      <c r="E52" s="38">
        <v>787</v>
      </c>
    </row>
    <row r="53" spans="1:5" x14ac:dyDescent="0.25">
      <c r="A53" s="39">
        <v>5</v>
      </c>
      <c r="B53" s="39">
        <v>1</v>
      </c>
      <c r="C53" s="39">
        <v>0</v>
      </c>
      <c r="D53" s="39">
        <v>1</v>
      </c>
      <c r="E53" s="39">
        <v>2916</v>
      </c>
    </row>
    <row r="54" spans="1:5" x14ac:dyDescent="0.25">
      <c r="A54" s="38">
        <v>3</v>
      </c>
      <c r="B54" s="38">
        <v>0</v>
      </c>
      <c r="C54" s="38">
        <v>0</v>
      </c>
      <c r="D54" s="38">
        <v>0</v>
      </c>
      <c r="E54" s="38">
        <v>3348</v>
      </c>
    </row>
    <row r="55" spans="1:5" x14ac:dyDescent="0.25">
      <c r="A55" s="39">
        <v>4</v>
      </c>
      <c r="B55" s="39">
        <v>1</v>
      </c>
      <c r="C55" s="39">
        <v>0</v>
      </c>
      <c r="D55" s="39">
        <v>1</v>
      </c>
      <c r="E55" s="39">
        <v>2884</v>
      </c>
    </row>
    <row r="56" spans="1:5" x14ac:dyDescent="0.25">
      <c r="A56" s="38">
        <v>3</v>
      </c>
      <c r="B56" s="38">
        <v>0</v>
      </c>
      <c r="C56" s="38">
        <v>1</v>
      </c>
      <c r="D56" s="38">
        <v>0</v>
      </c>
      <c r="E56" s="38">
        <v>3981</v>
      </c>
    </row>
    <row r="57" spans="1:5" x14ac:dyDescent="0.25">
      <c r="A57" s="39">
        <v>5</v>
      </c>
      <c r="B57" s="39">
        <v>0</v>
      </c>
      <c r="C57" s="39">
        <v>1</v>
      </c>
      <c r="D57" s="39">
        <v>0</v>
      </c>
      <c r="E57" s="39">
        <v>732</v>
      </c>
    </row>
    <row r="58" spans="1:5" x14ac:dyDescent="0.25">
      <c r="A58" s="38">
        <v>5</v>
      </c>
      <c r="B58" s="38">
        <v>1</v>
      </c>
      <c r="C58" s="38">
        <v>1</v>
      </c>
      <c r="D58" s="38">
        <v>0</v>
      </c>
      <c r="E58" s="38">
        <v>1228</v>
      </c>
    </row>
    <row r="59" spans="1:5" x14ac:dyDescent="0.25">
      <c r="A59" s="39">
        <v>4</v>
      </c>
      <c r="B59" s="39">
        <v>1</v>
      </c>
      <c r="C59" s="39">
        <v>0</v>
      </c>
      <c r="D59" s="39">
        <v>0</v>
      </c>
      <c r="E59" s="39">
        <v>3348</v>
      </c>
    </row>
    <row r="60" spans="1:5" x14ac:dyDescent="0.25">
      <c r="A60" s="38">
        <v>5</v>
      </c>
      <c r="B60" s="38">
        <v>1</v>
      </c>
      <c r="C60" s="38">
        <v>1</v>
      </c>
      <c r="D60" s="38">
        <v>0</v>
      </c>
      <c r="E60" s="38">
        <v>716</v>
      </c>
    </row>
    <row r="61" spans="1:5" x14ac:dyDescent="0.25">
      <c r="A61" s="39">
        <v>4</v>
      </c>
      <c r="B61" s="39">
        <v>0</v>
      </c>
      <c r="C61" s="39">
        <v>1</v>
      </c>
      <c r="D61" s="39">
        <v>0</v>
      </c>
      <c r="E61" s="39">
        <v>3773</v>
      </c>
    </row>
    <row r="62" spans="1:5" x14ac:dyDescent="0.25">
      <c r="A62" s="38">
        <v>5</v>
      </c>
      <c r="B62" s="38">
        <v>1</v>
      </c>
      <c r="C62" s="38">
        <v>1</v>
      </c>
      <c r="D62" s="38">
        <v>0</v>
      </c>
      <c r="E62" s="38">
        <v>787</v>
      </c>
    </row>
    <row r="63" spans="1:5" x14ac:dyDescent="0.25">
      <c r="A63" s="39">
        <v>3</v>
      </c>
      <c r="B63" s="39">
        <v>1</v>
      </c>
      <c r="C63" s="39">
        <v>0</v>
      </c>
      <c r="D63" s="39">
        <v>1</v>
      </c>
      <c r="E63" s="39">
        <v>3003</v>
      </c>
    </row>
    <row r="64" spans="1:5" x14ac:dyDescent="0.25">
      <c r="A64" s="38">
        <v>4</v>
      </c>
      <c r="B64" s="38">
        <v>0</v>
      </c>
      <c r="C64" s="38">
        <v>0</v>
      </c>
      <c r="D64" s="38">
        <v>0</v>
      </c>
      <c r="E64" s="38">
        <v>3348</v>
      </c>
    </row>
    <row r="65" spans="1:5" x14ac:dyDescent="0.25">
      <c r="A65" s="39">
        <v>4</v>
      </c>
      <c r="B65" s="39">
        <v>1</v>
      </c>
      <c r="C65" s="39">
        <v>0</v>
      </c>
      <c r="D65" s="39">
        <v>0</v>
      </c>
      <c r="E65" s="39">
        <v>2700</v>
      </c>
    </row>
    <row r="66" spans="1:5" x14ac:dyDescent="0.25">
      <c r="A66" s="38">
        <v>3</v>
      </c>
      <c r="B66" s="38">
        <v>0</v>
      </c>
      <c r="C66" s="38">
        <v>0</v>
      </c>
      <c r="D66" s="38">
        <v>1</v>
      </c>
      <c r="E66" s="38">
        <v>1467</v>
      </c>
    </row>
    <row r="67" spans="1:5" x14ac:dyDescent="0.25">
      <c r="A67" s="39">
        <v>4</v>
      </c>
      <c r="B67" s="39">
        <v>0</v>
      </c>
      <c r="C67" s="39">
        <v>0</v>
      </c>
      <c r="D67" s="39">
        <v>0</v>
      </c>
      <c r="E67" s="39">
        <v>3933</v>
      </c>
    </row>
    <row r="68" spans="1:5" x14ac:dyDescent="0.25">
      <c r="A68" s="38">
        <v>4</v>
      </c>
      <c r="B68" s="38">
        <v>1</v>
      </c>
      <c r="C68" s="38">
        <v>1</v>
      </c>
      <c r="D68" s="38">
        <v>0</v>
      </c>
      <c r="E68" s="38">
        <v>732</v>
      </c>
    </row>
    <row r="69" spans="1:5" x14ac:dyDescent="0.25">
      <c r="A69" s="39">
        <v>4</v>
      </c>
      <c r="B69" s="39">
        <v>0</v>
      </c>
      <c r="C69" s="39">
        <v>0</v>
      </c>
      <c r="D69" s="39">
        <v>1</v>
      </c>
      <c r="E69" s="39">
        <v>1467</v>
      </c>
    </row>
    <row r="70" spans="1:5" x14ac:dyDescent="0.25">
      <c r="A70" s="38">
        <v>5</v>
      </c>
      <c r="B70" s="38">
        <v>0</v>
      </c>
      <c r="C70" s="38">
        <v>0</v>
      </c>
      <c r="D70" s="38">
        <v>0</v>
      </c>
      <c r="E70" s="38">
        <v>1282</v>
      </c>
    </row>
    <row r="71" spans="1:5" x14ac:dyDescent="0.25">
      <c r="A71" s="39">
        <v>4</v>
      </c>
      <c r="B71" s="39">
        <v>1</v>
      </c>
      <c r="C71" s="39">
        <v>1</v>
      </c>
      <c r="D71" s="39">
        <v>0</v>
      </c>
      <c r="E71" s="39">
        <v>787</v>
      </c>
    </row>
    <row r="72" spans="1:5" x14ac:dyDescent="0.25">
      <c r="A72" s="38">
        <v>4</v>
      </c>
      <c r="B72" s="38">
        <v>0</v>
      </c>
      <c r="C72" s="38">
        <v>0</v>
      </c>
      <c r="D72" s="38">
        <v>1</v>
      </c>
      <c r="E72" s="38">
        <v>2884</v>
      </c>
    </row>
    <row r="73" spans="1:5" x14ac:dyDescent="0.25">
      <c r="A73" s="39">
        <v>3</v>
      </c>
      <c r="B73" s="39">
        <v>0</v>
      </c>
      <c r="C73" s="39">
        <v>1</v>
      </c>
      <c r="D73" s="39">
        <v>0</v>
      </c>
      <c r="E73" s="39">
        <v>3981</v>
      </c>
    </row>
    <row r="74" spans="1:5" x14ac:dyDescent="0.25">
      <c r="A74" s="38">
        <v>5</v>
      </c>
      <c r="B74" s="38">
        <v>1</v>
      </c>
      <c r="C74" s="38">
        <v>0</v>
      </c>
      <c r="D74" s="38">
        <v>0</v>
      </c>
      <c r="E74" s="38">
        <v>4027</v>
      </c>
    </row>
    <row r="75" spans="1:5" x14ac:dyDescent="0.25">
      <c r="A75" s="39">
        <v>3</v>
      </c>
      <c r="B75" s="39">
        <v>0</v>
      </c>
      <c r="C75" s="39">
        <v>0</v>
      </c>
      <c r="D75" s="39">
        <v>0</v>
      </c>
      <c r="E75" s="39">
        <v>3348</v>
      </c>
    </row>
    <row r="76" spans="1:5" x14ac:dyDescent="0.25">
      <c r="A76" s="38">
        <v>5</v>
      </c>
      <c r="B76" s="38">
        <v>0</v>
      </c>
      <c r="C76" s="38">
        <v>1</v>
      </c>
      <c r="D76" s="38">
        <v>0</v>
      </c>
      <c r="E76" s="38">
        <v>3981</v>
      </c>
    </row>
    <row r="77" spans="1:5" x14ac:dyDescent="0.25">
      <c r="A77" s="39">
        <v>5</v>
      </c>
      <c r="B77" s="39">
        <v>1</v>
      </c>
      <c r="C77" s="39">
        <v>0</v>
      </c>
      <c r="D77" s="39">
        <v>1</v>
      </c>
      <c r="E77" s="39">
        <v>1467</v>
      </c>
    </row>
    <row r="78" spans="1:5" x14ac:dyDescent="0.25">
      <c r="A78" s="38">
        <v>4</v>
      </c>
      <c r="B78" s="38">
        <v>0</v>
      </c>
      <c r="C78" s="38">
        <v>0</v>
      </c>
      <c r="D78" s="38">
        <v>0</v>
      </c>
      <c r="E78" s="38">
        <v>2034</v>
      </c>
    </row>
    <row r="79" spans="1:5" x14ac:dyDescent="0.25">
      <c r="A79" s="39">
        <v>5</v>
      </c>
      <c r="B79" s="39">
        <v>1</v>
      </c>
      <c r="C79" s="39">
        <v>1</v>
      </c>
      <c r="D79" s="39">
        <v>0</v>
      </c>
      <c r="E79" s="39">
        <v>787</v>
      </c>
    </row>
    <row r="80" spans="1:5" x14ac:dyDescent="0.25">
      <c r="A80" s="38">
        <v>4</v>
      </c>
      <c r="B80" s="38">
        <v>0</v>
      </c>
      <c r="C80" s="38">
        <v>0</v>
      </c>
      <c r="D80" s="38">
        <v>1</v>
      </c>
      <c r="E80" s="38">
        <v>2884</v>
      </c>
    </row>
    <row r="81" spans="1:5" x14ac:dyDescent="0.25">
      <c r="A81" s="39">
        <v>4</v>
      </c>
      <c r="B81" s="39">
        <v>1</v>
      </c>
      <c r="C81" s="39">
        <v>0</v>
      </c>
      <c r="D81" s="39">
        <v>1</v>
      </c>
      <c r="E81" s="39">
        <v>2916</v>
      </c>
    </row>
    <row r="82" spans="1:5" x14ac:dyDescent="0.25">
      <c r="A82" s="38">
        <v>3</v>
      </c>
      <c r="B82" s="38">
        <v>1</v>
      </c>
      <c r="C82" s="38">
        <v>1</v>
      </c>
      <c r="D82" s="38">
        <v>0</v>
      </c>
      <c r="E82" s="38">
        <v>3773</v>
      </c>
    </row>
    <row r="83" spans="1:5" x14ac:dyDescent="0.25">
      <c r="A83" s="39">
        <v>4</v>
      </c>
      <c r="B83" s="39">
        <v>0</v>
      </c>
      <c r="C83" s="39">
        <v>0</v>
      </c>
      <c r="D83" s="39">
        <v>0</v>
      </c>
      <c r="E83" s="39">
        <v>3025</v>
      </c>
    </row>
    <row r="84" spans="1:5" x14ac:dyDescent="0.25">
      <c r="A84" s="38">
        <v>2</v>
      </c>
      <c r="B84" s="38">
        <v>1</v>
      </c>
      <c r="C84" s="38">
        <v>1</v>
      </c>
      <c r="D84" s="38">
        <v>0</v>
      </c>
      <c r="E84" s="38">
        <v>315</v>
      </c>
    </row>
    <row r="85" spans="1:5" x14ac:dyDescent="0.25">
      <c r="A85" s="39">
        <v>4</v>
      </c>
      <c r="B85" s="39">
        <v>1</v>
      </c>
      <c r="C85" s="39">
        <v>0</v>
      </c>
      <c r="D85" s="39">
        <v>0</v>
      </c>
      <c r="E85" s="39">
        <v>4027</v>
      </c>
    </row>
    <row r="86" spans="1:5" x14ac:dyDescent="0.25">
      <c r="A86" s="38">
        <v>4</v>
      </c>
      <c r="B86" s="38">
        <v>0</v>
      </c>
      <c r="C86" s="38">
        <v>0</v>
      </c>
      <c r="D86" s="38">
        <v>0</v>
      </c>
      <c r="E86" s="38">
        <v>4027</v>
      </c>
    </row>
    <row r="87" spans="1:5" x14ac:dyDescent="0.25">
      <c r="A87" s="39">
        <v>4</v>
      </c>
      <c r="B87" s="39">
        <v>0</v>
      </c>
      <c r="C87" s="39">
        <v>0</v>
      </c>
      <c r="D87" s="39">
        <v>0</v>
      </c>
      <c r="E87" s="39">
        <v>2034</v>
      </c>
    </row>
    <row r="88" spans="1:5" x14ac:dyDescent="0.25">
      <c r="A88" s="38">
        <v>5</v>
      </c>
      <c r="B88" s="38">
        <v>1</v>
      </c>
      <c r="C88" s="38">
        <v>0</v>
      </c>
      <c r="D88" s="38">
        <v>1</v>
      </c>
      <c r="E88" s="38">
        <v>2916</v>
      </c>
    </row>
    <row r="89" spans="1:5" x14ac:dyDescent="0.25">
      <c r="A89" s="39">
        <v>4</v>
      </c>
      <c r="B89" s="39">
        <v>1</v>
      </c>
      <c r="C89" s="39">
        <v>0</v>
      </c>
      <c r="D89" s="39">
        <v>0</v>
      </c>
      <c r="E89" s="39">
        <v>3933</v>
      </c>
    </row>
    <row r="90" spans="1:5" x14ac:dyDescent="0.25">
      <c r="A90" s="38">
        <v>4</v>
      </c>
      <c r="B90" s="38">
        <v>1</v>
      </c>
      <c r="C90" s="38">
        <v>1</v>
      </c>
      <c r="D90" s="38">
        <v>0</v>
      </c>
      <c r="E90" s="38">
        <v>315</v>
      </c>
    </row>
    <row r="91" spans="1:5" x14ac:dyDescent="0.25">
      <c r="A91" s="39">
        <v>4</v>
      </c>
      <c r="B91" s="39">
        <v>1</v>
      </c>
      <c r="C91" s="39">
        <v>0</v>
      </c>
      <c r="D91" s="39">
        <v>1</v>
      </c>
      <c r="E91" s="39">
        <v>2916</v>
      </c>
    </row>
    <row r="92" spans="1:5" x14ac:dyDescent="0.25">
      <c r="A92" s="38">
        <v>3</v>
      </c>
      <c r="B92" s="38">
        <v>0</v>
      </c>
      <c r="C92" s="38">
        <v>1</v>
      </c>
      <c r="D92" s="38">
        <v>0</v>
      </c>
      <c r="E92" s="38">
        <v>315</v>
      </c>
    </row>
    <row r="93" spans="1:5" x14ac:dyDescent="0.25">
      <c r="A93" s="39">
        <v>5</v>
      </c>
      <c r="B93" s="39">
        <v>1</v>
      </c>
      <c r="C93" s="39">
        <v>0</v>
      </c>
      <c r="D93" s="39">
        <v>1</v>
      </c>
      <c r="E93" s="39">
        <v>826</v>
      </c>
    </row>
    <row r="94" spans="1:5" x14ac:dyDescent="0.25">
      <c r="A94" s="38">
        <v>4</v>
      </c>
      <c r="B94" s="38">
        <v>0</v>
      </c>
      <c r="C94" s="38">
        <v>1</v>
      </c>
      <c r="D94" s="38">
        <v>0</v>
      </c>
      <c r="E94" s="38">
        <v>3981</v>
      </c>
    </row>
    <row r="95" spans="1:5" x14ac:dyDescent="0.25">
      <c r="A95" s="39">
        <v>2</v>
      </c>
      <c r="B95" s="39">
        <v>1</v>
      </c>
      <c r="C95" s="39">
        <v>0</v>
      </c>
      <c r="D95" s="39">
        <v>0</v>
      </c>
      <c r="E95" s="39">
        <v>2959</v>
      </c>
    </row>
    <row r="96" spans="1:5" x14ac:dyDescent="0.25">
      <c r="A96" s="38">
        <v>4</v>
      </c>
      <c r="B96" s="38">
        <v>1</v>
      </c>
      <c r="C96" s="38">
        <v>1</v>
      </c>
      <c r="D96" s="38">
        <v>0</v>
      </c>
      <c r="E96" s="38">
        <v>1228</v>
      </c>
    </row>
    <row r="97" spans="1:5" x14ac:dyDescent="0.25">
      <c r="A97" s="39">
        <v>5</v>
      </c>
      <c r="B97" s="39">
        <v>1</v>
      </c>
      <c r="C97" s="39">
        <v>1</v>
      </c>
      <c r="D97" s="39">
        <v>0</v>
      </c>
      <c r="E97" s="39">
        <v>315</v>
      </c>
    </row>
    <row r="98" spans="1:5" x14ac:dyDescent="0.25">
      <c r="A98" s="38">
        <v>3</v>
      </c>
      <c r="B98" s="38">
        <v>0</v>
      </c>
      <c r="C98" s="38">
        <v>1</v>
      </c>
      <c r="D98" s="38">
        <v>0</v>
      </c>
      <c r="E98" s="38">
        <v>3773</v>
      </c>
    </row>
    <row r="99" spans="1:5" x14ac:dyDescent="0.25">
      <c r="A99" s="39">
        <v>4</v>
      </c>
      <c r="B99" s="39">
        <v>1</v>
      </c>
      <c r="C99" s="39">
        <v>0</v>
      </c>
      <c r="D99" s="39">
        <v>1</v>
      </c>
      <c r="E99" s="39">
        <v>3003</v>
      </c>
    </row>
    <row r="100" spans="1:5" x14ac:dyDescent="0.25">
      <c r="A100" s="38">
        <v>4</v>
      </c>
      <c r="B100" s="38">
        <v>0</v>
      </c>
      <c r="C100" s="38">
        <v>1</v>
      </c>
      <c r="D100" s="38">
        <v>0</v>
      </c>
      <c r="E100" s="38">
        <v>732</v>
      </c>
    </row>
    <row r="101" spans="1:5" x14ac:dyDescent="0.25">
      <c r="A101" s="39">
        <v>4</v>
      </c>
      <c r="B101" s="39">
        <v>1</v>
      </c>
      <c r="C101" s="39">
        <v>0</v>
      </c>
      <c r="D101" s="39">
        <v>1</v>
      </c>
      <c r="E101" s="39">
        <v>2916</v>
      </c>
    </row>
    <row r="102" spans="1:5" x14ac:dyDescent="0.25">
      <c r="A102" s="38">
        <v>5</v>
      </c>
      <c r="B102" s="38">
        <v>1</v>
      </c>
      <c r="C102" s="38">
        <v>0</v>
      </c>
      <c r="D102" s="38">
        <v>0</v>
      </c>
      <c r="E102" s="38">
        <v>2034</v>
      </c>
    </row>
    <row r="103" spans="1:5" x14ac:dyDescent="0.25">
      <c r="A103" s="39">
        <v>5</v>
      </c>
      <c r="B103" s="39">
        <v>1</v>
      </c>
      <c r="C103" s="39">
        <v>0</v>
      </c>
      <c r="D103" s="39">
        <v>0</v>
      </c>
      <c r="E103" s="39">
        <v>1282</v>
      </c>
    </row>
    <row r="104" spans="1:5" x14ac:dyDescent="0.25">
      <c r="A104" s="38">
        <v>3</v>
      </c>
      <c r="B104" s="38">
        <v>0</v>
      </c>
      <c r="C104" s="38">
        <v>0</v>
      </c>
      <c r="D104" s="38">
        <v>1</v>
      </c>
      <c r="E104" s="38">
        <v>826</v>
      </c>
    </row>
    <row r="105" spans="1:5" x14ac:dyDescent="0.25">
      <c r="A105" s="39">
        <v>3</v>
      </c>
      <c r="B105" s="39">
        <v>0</v>
      </c>
      <c r="C105" s="39">
        <v>1</v>
      </c>
      <c r="D105" s="39">
        <v>0</v>
      </c>
      <c r="E105" s="39">
        <v>716</v>
      </c>
    </row>
    <row r="106" spans="1:5" x14ac:dyDescent="0.25">
      <c r="A106" s="38">
        <v>4</v>
      </c>
      <c r="B106" s="38">
        <v>1</v>
      </c>
      <c r="C106" s="38">
        <v>1</v>
      </c>
      <c r="D106" s="38">
        <v>0</v>
      </c>
      <c r="E106" s="38">
        <v>315</v>
      </c>
    </row>
    <row r="107" spans="1:5" x14ac:dyDescent="0.25">
      <c r="A107" s="39">
        <v>4</v>
      </c>
      <c r="B107" s="39">
        <v>0</v>
      </c>
      <c r="C107" s="39">
        <v>0</v>
      </c>
      <c r="D107" s="39">
        <v>0</v>
      </c>
      <c r="E107" s="39">
        <v>3025</v>
      </c>
    </row>
    <row r="108" spans="1:5" x14ac:dyDescent="0.25">
      <c r="A108" s="38">
        <v>4</v>
      </c>
      <c r="B108" s="38">
        <v>1</v>
      </c>
      <c r="C108" s="38">
        <v>0</v>
      </c>
      <c r="D108" s="38">
        <v>1</v>
      </c>
      <c r="E108" s="38">
        <v>188</v>
      </c>
    </row>
    <row r="109" spans="1:5" x14ac:dyDescent="0.25">
      <c r="A109" s="39">
        <v>5</v>
      </c>
      <c r="B109" s="39">
        <v>1</v>
      </c>
      <c r="C109" s="39">
        <v>1</v>
      </c>
      <c r="D109" s="39">
        <v>0</v>
      </c>
      <c r="E109" s="39">
        <v>315</v>
      </c>
    </row>
    <row r="110" spans="1:5" x14ac:dyDescent="0.25">
      <c r="A110" s="38">
        <v>3</v>
      </c>
      <c r="B110" s="38">
        <v>0</v>
      </c>
      <c r="C110" s="38">
        <v>0</v>
      </c>
      <c r="D110" s="38">
        <v>1</v>
      </c>
      <c r="E110" s="38">
        <v>826</v>
      </c>
    </row>
    <row r="111" spans="1:5" x14ac:dyDescent="0.25">
      <c r="A111" s="39">
        <v>5</v>
      </c>
      <c r="B111" s="39">
        <v>0</v>
      </c>
      <c r="C111" s="39">
        <v>1</v>
      </c>
      <c r="D111" s="39">
        <v>0</v>
      </c>
      <c r="E111" s="39">
        <v>315</v>
      </c>
    </row>
    <row r="112" spans="1:5" x14ac:dyDescent="0.25">
      <c r="A112" s="38">
        <v>3</v>
      </c>
      <c r="B112" s="38">
        <v>0</v>
      </c>
      <c r="C112" s="38">
        <v>1</v>
      </c>
      <c r="D112" s="38">
        <v>0</v>
      </c>
      <c r="E112" s="38">
        <v>3981</v>
      </c>
    </row>
    <row r="113" spans="1:5" x14ac:dyDescent="0.25">
      <c r="A113" s="39">
        <v>4</v>
      </c>
      <c r="B113" s="39">
        <v>0</v>
      </c>
      <c r="C113" s="39">
        <v>0</v>
      </c>
      <c r="D113" s="39">
        <v>0</v>
      </c>
      <c r="E113" s="39">
        <v>4027</v>
      </c>
    </row>
    <row r="114" spans="1:5" x14ac:dyDescent="0.25">
      <c r="A114" s="38">
        <v>4</v>
      </c>
      <c r="B114" s="38">
        <v>1</v>
      </c>
      <c r="C114" s="38">
        <v>0</v>
      </c>
      <c r="D114" s="38">
        <v>0</v>
      </c>
      <c r="E114" s="38">
        <v>2700</v>
      </c>
    </row>
    <row r="115" spans="1:5" x14ac:dyDescent="0.25">
      <c r="A115" s="39">
        <v>1</v>
      </c>
      <c r="B115" s="39">
        <v>0</v>
      </c>
      <c r="C115" s="39">
        <v>0</v>
      </c>
      <c r="D115" s="39">
        <v>0</v>
      </c>
      <c r="E115" s="39">
        <v>2034</v>
      </c>
    </row>
    <row r="116" spans="1:5" x14ac:dyDescent="0.25">
      <c r="A116" s="38">
        <v>1</v>
      </c>
      <c r="B116" s="38">
        <v>1</v>
      </c>
      <c r="C116" s="38">
        <v>1</v>
      </c>
      <c r="D116" s="38">
        <v>0</v>
      </c>
      <c r="E116" s="38">
        <v>1228</v>
      </c>
    </row>
    <row r="117" spans="1:5" x14ac:dyDescent="0.25">
      <c r="A117" s="39">
        <v>5</v>
      </c>
      <c r="B117" s="39">
        <v>0</v>
      </c>
      <c r="C117" s="39">
        <v>1</v>
      </c>
      <c r="D117" s="39">
        <v>0</v>
      </c>
      <c r="E117" s="39">
        <v>1228</v>
      </c>
    </row>
    <row r="118" spans="1:5" x14ac:dyDescent="0.25">
      <c r="A118" s="38">
        <v>2</v>
      </c>
      <c r="B118" s="38">
        <v>0</v>
      </c>
      <c r="C118" s="38">
        <v>0</v>
      </c>
      <c r="D118" s="38">
        <v>0</v>
      </c>
      <c r="E118" s="38">
        <v>3933</v>
      </c>
    </row>
    <row r="119" spans="1:5" x14ac:dyDescent="0.25">
      <c r="A119" s="39">
        <v>3</v>
      </c>
      <c r="B119" s="39">
        <v>0</v>
      </c>
      <c r="C119" s="39">
        <v>0</v>
      </c>
      <c r="D119" s="39">
        <v>1</v>
      </c>
      <c r="E119" s="39">
        <v>3003</v>
      </c>
    </row>
    <row r="120" spans="1:5" x14ac:dyDescent="0.25">
      <c r="A120" s="38">
        <v>3</v>
      </c>
      <c r="B120" s="38">
        <v>1</v>
      </c>
      <c r="C120" s="38">
        <v>1</v>
      </c>
      <c r="D120" s="38">
        <v>0</v>
      </c>
      <c r="E120" s="38">
        <v>3773</v>
      </c>
    </row>
    <row r="121" spans="1:5" x14ac:dyDescent="0.25">
      <c r="A121" s="39">
        <v>4</v>
      </c>
      <c r="B121" s="39">
        <v>0</v>
      </c>
      <c r="C121" s="39">
        <v>1</v>
      </c>
      <c r="D121" s="39">
        <v>0</v>
      </c>
      <c r="E121" s="39">
        <v>3981</v>
      </c>
    </row>
    <row r="122" spans="1:5" x14ac:dyDescent="0.25">
      <c r="A122" s="38">
        <v>4</v>
      </c>
      <c r="B122" s="38">
        <v>0</v>
      </c>
      <c r="C122" s="38">
        <v>1</v>
      </c>
      <c r="D122" s="38">
        <v>0</v>
      </c>
      <c r="E122" s="38">
        <v>3773</v>
      </c>
    </row>
    <row r="123" spans="1:5" x14ac:dyDescent="0.25">
      <c r="A123" s="39">
        <v>3</v>
      </c>
      <c r="B123" s="39">
        <v>1</v>
      </c>
      <c r="C123" s="39">
        <v>0</v>
      </c>
      <c r="D123" s="39">
        <v>1</v>
      </c>
      <c r="E123" s="39">
        <v>3003</v>
      </c>
    </row>
    <row r="124" spans="1:5" x14ac:dyDescent="0.25">
      <c r="A124" s="38">
        <v>4</v>
      </c>
      <c r="B124" s="38">
        <v>1</v>
      </c>
      <c r="C124" s="38">
        <v>1</v>
      </c>
      <c r="D124" s="38">
        <v>0</v>
      </c>
      <c r="E124" s="38">
        <v>716</v>
      </c>
    </row>
    <row r="125" spans="1:5" x14ac:dyDescent="0.25">
      <c r="A125" s="39">
        <v>5</v>
      </c>
      <c r="B125" s="39">
        <v>0</v>
      </c>
      <c r="C125" s="39">
        <v>0</v>
      </c>
      <c r="D125" s="39">
        <v>0</v>
      </c>
      <c r="E125" s="39">
        <v>3933</v>
      </c>
    </row>
    <row r="126" spans="1:5" x14ac:dyDescent="0.25">
      <c r="A126" s="38">
        <v>4</v>
      </c>
      <c r="B126" s="38">
        <v>1</v>
      </c>
      <c r="C126" s="38">
        <v>0</v>
      </c>
      <c r="D126" s="38">
        <v>1</v>
      </c>
      <c r="E126" s="38">
        <v>826</v>
      </c>
    </row>
    <row r="127" spans="1:5" x14ac:dyDescent="0.25">
      <c r="A127" s="39">
        <v>3</v>
      </c>
      <c r="B127" s="39">
        <v>1</v>
      </c>
      <c r="C127" s="39">
        <v>1</v>
      </c>
      <c r="D127" s="39">
        <v>0</v>
      </c>
      <c r="E127" s="39">
        <v>716</v>
      </c>
    </row>
    <row r="128" spans="1:5" x14ac:dyDescent="0.25">
      <c r="A128" s="38">
        <v>4</v>
      </c>
      <c r="B128" s="38">
        <v>1</v>
      </c>
      <c r="C128" s="38">
        <v>0</v>
      </c>
      <c r="D128" s="38">
        <v>1</v>
      </c>
      <c r="E128" s="38">
        <v>826</v>
      </c>
    </row>
    <row r="129" spans="1:5" x14ac:dyDescent="0.25">
      <c r="A129" s="39">
        <v>5</v>
      </c>
      <c r="B129" s="39">
        <v>0</v>
      </c>
      <c r="C129" s="39">
        <v>1</v>
      </c>
      <c r="D129" s="39">
        <v>0</v>
      </c>
      <c r="E129" s="39">
        <v>716</v>
      </c>
    </row>
    <row r="130" spans="1:5" x14ac:dyDescent="0.25">
      <c r="A130" s="38">
        <v>5</v>
      </c>
      <c r="B130" s="38">
        <v>1</v>
      </c>
      <c r="C130" s="38">
        <v>0</v>
      </c>
      <c r="D130" s="38">
        <v>1</v>
      </c>
      <c r="E130" s="38">
        <v>188</v>
      </c>
    </row>
    <row r="131" spans="1:5" x14ac:dyDescent="0.25">
      <c r="A131" s="39">
        <v>4</v>
      </c>
      <c r="B131" s="39">
        <v>0</v>
      </c>
      <c r="C131" s="39">
        <v>0</v>
      </c>
      <c r="D131" s="39">
        <v>0</v>
      </c>
      <c r="E131" s="39">
        <v>1282</v>
      </c>
    </row>
    <row r="132" spans="1:5" x14ac:dyDescent="0.25">
      <c r="A132" s="38">
        <v>5</v>
      </c>
      <c r="B132" s="38">
        <v>0</v>
      </c>
      <c r="C132" s="38">
        <v>0</v>
      </c>
      <c r="D132" s="38">
        <v>0</v>
      </c>
      <c r="E132" s="38">
        <v>3348</v>
      </c>
    </row>
    <row r="133" spans="1:5" x14ac:dyDescent="0.25">
      <c r="A133" s="39">
        <v>2</v>
      </c>
      <c r="B133" s="39">
        <v>0</v>
      </c>
      <c r="C133" s="39">
        <v>0</v>
      </c>
      <c r="D133" s="39">
        <v>0</v>
      </c>
      <c r="E133" s="39">
        <v>3933</v>
      </c>
    </row>
    <row r="134" spans="1:5" x14ac:dyDescent="0.25">
      <c r="A134" s="38">
        <v>5</v>
      </c>
      <c r="B134" s="38">
        <v>1</v>
      </c>
      <c r="C134" s="38">
        <v>0</v>
      </c>
      <c r="D134" s="38">
        <v>0</v>
      </c>
      <c r="E134" s="38">
        <v>1282</v>
      </c>
    </row>
    <row r="135" spans="1:5" x14ac:dyDescent="0.25">
      <c r="A135" s="39">
        <v>4</v>
      </c>
      <c r="B135" s="39">
        <v>1</v>
      </c>
      <c r="C135" s="39">
        <v>0</v>
      </c>
      <c r="D135" s="39">
        <v>1</v>
      </c>
      <c r="E135" s="39">
        <v>1467</v>
      </c>
    </row>
    <row r="136" spans="1:5" x14ac:dyDescent="0.25">
      <c r="A136" s="38">
        <v>5</v>
      </c>
      <c r="B136" s="38">
        <v>1</v>
      </c>
      <c r="C136" s="38">
        <v>0</v>
      </c>
      <c r="D136" s="38">
        <v>0</v>
      </c>
      <c r="E136" s="38">
        <v>3933</v>
      </c>
    </row>
    <row r="137" spans="1:5" x14ac:dyDescent="0.25">
      <c r="A137" s="39">
        <v>2</v>
      </c>
      <c r="B137" s="39">
        <v>0</v>
      </c>
      <c r="C137" s="39">
        <v>0</v>
      </c>
      <c r="D137" s="39">
        <v>1</v>
      </c>
      <c r="E137" s="39">
        <v>3003</v>
      </c>
    </row>
    <row r="138" spans="1:5" x14ac:dyDescent="0.25">
      <c r="A138" s="38">
        <v>3</v>
      </c>
      <c r="B138" s="38">
        <v>0</v>
      </c>
      <c r="C138" s="38">
        <v>0</v>
      </c>
      <c r="D138" s="38">
        <v>1</v>
      </c>
      <c r="E138" s="38">
        <v>2884</v>
      </c>
    </row>
    <row r="139" spans="1:5" x14ac:dyDescent="0.25">
      <c r="A139" s="39">
        <v>4</v>
      </c>
      <c r="B139" s="39">
        <v>1</v>
      </c>
      <c r="C139" s="39">
        <v>0</v>
      </c>
      <c r="D139" s="39">
        <v>1</v>
      </c>
      <c r="E139" s="39">
        <v>3003</v>
      </c>
    </row>
    <row r="140" spans="1:5" x14ac:dyDescent="0.25">
      <c r="A140" s="38">
        <v>5</v>
      </c>
      <c r="B140" s="38">
        <v>0</v>
      </c>
      <c r="C140" s="38">
        <v>0</v>
      </c>
      <c r="D140" s="38">
        <v>0</v>
      </c>
      <c r="E140" s="38">
        <v>2700</v>
      </c>
    </row>
    <row r="141" spans="1:5" x14ac:dyDescent="0.25">
      <c r="A141" s="39">
        <v>3</v>
      </c>
      <c r="B141" s="39">
        <v>0</v>
      </c>
      <c r="C141" s="39">
        <v>0</v>
      </c>
      <c r="D141" s="39">
        <v>1</v>
      </c>
      <c r="E141" s="39">
        <v>2884</v>
      </c>
    </row>
    <row r="142" spans="1:5" x14ac:dyDescent="0.25">
      <c r="A142" s="38">
        <v>5</v>
      </c>
      <c r="B142" s="38">
        <v>0</v>
      </c>
      <c r="C142" s="38">
        <v>0</v>
      </c>
      <c r="D142" s="38">
        <v>0</v>
      </c>
      <c r="E142" s="38">
        <v>3348</v>
      </c>
    </row>
    <row r="143" spans="1:5" x14ac:dyDescent="0.25">
      <c r="A143" s="39">
        <v>5</v>
      </c>
      <c r="B143" s="39">
        <v>0</v>
      </c>
      <c r="C143" s="39">
        <v>0</v>
      </c>
      <c r="D143" s="39">
        <v>1</v>
      </c>
      <c r="E143" s="39">
        <v>188</v>
      </c>
    </row>
    <row r="144" spans="1:5" x14ac:dyDescent="0.25">
      <c r="A144" s="38">
        <v>3</v>
      </c>
      <c r="B144" s="38">
        <v>0</v>
      </c>
      <c r="C144" s="38">
        <v>0</v>
      </c>
      <c r="D144" s="38">
        <v>1</v>
      </c>
      <c r="E144" s="38">
        <v>1467</v>
      </c>
    </row>
    <row r="145" spans="1:5" x14ac:dyDescent="0.25">
      <c r="A145" s="39">
        <v>3</v>
      </c>
      <c r="B145" s="39">
        <v>0</v>
      </c>
      <c r="C145" s="39">
        <v>0</v>
      </c>
      <c r="D145" s="39">
        <v>0</v>
      </c>
      <c r="E145" s="39">
        <v>2700</v>
      </c>
    </row>
    <row r="146" spans="1:5" x14ac:dyDescent="0.25">
      <c r="A146" s="38">
        <v>4</v>
      </c>
      <c r="B146" s="38">
        <v>0</v>
      </c>
      <c r="C146" s="38">
        <v>0</v>
      </c>
      <c r="D146" s="38">
        <v>1</v>
      </c>
      <c r="E146" s="38">
        <v>1467</v>
      </c>
    </row>
    <row r="147" spans="1:5" x14ac:dyDescent="0.25">
      <c r="A147" s="39">
        <v>4</v>
      </c>
      <c r="B147" s="39">
        <v>0</v>
      </c>
      <c r="C147" s="39">
        <v>1</v>
      </c>
      <c r="D147" s="39">
        <v>0</v>
      </c>
      <c r="E147" s="39">
        <v>787</v>
      </c>
    </row>
    <row r="148" spans="1:5" x14ac:dyDescent="0.25">
      <c r="A148" s="38">
        <v>2</v>
      </c>
      <c r="B148" s="38">
        <v>1</v>
      </c>
      <c r="C148" s="38">
        <v>1</v>
      </c>
      <c r="D148" s="38">
        <v>0</v>
      </c>
      <c r="E148" s="38">
        <v>1228</v>
      </c>
    </row>
    <row r="149" spans="1:5" x14ac:dyDescent="0.25">
      <c r="A149" s="39">
        <v>1</v>
      </c>
      <c r="B149" s="39">
        <v>0</v>
      </c>
      <c r="C149" s="39">
        <v>0</v>
      </c>
      <c r="D149" s="39">
        <v>1</v>
      </c>
      <c r="E149" s="39">
        <v>188</v>
      </c>
    </row>
    <row r="150" spans="1:5" x14ac:dyDescent="0.25">
      <c r="A150" s="38">
        <v>4</v>
      </c>
      <c r="B150" s="38">
        <v>0</v>
      </c>
      <c r="C150" s="38">
        <v>0</v>
      </c>
      <c r="D150" s="38">
        <v>0</v>
      </c>
      <c r="E150" s="38">
        <v>4027</v>
      </c>
    </row>
    <row r="151" spans="1:5" x14ac:dyDescent="0.25">
      <c r="A151" s="39">
        <v>4</v>
      </c>
      <c r="B151" s="39">
        <v>1</v>
      </c>
      <c r="C151" s="39">
        <v>1</v>
      </c>
      <c r="D151" s="39">
        <v>0</v>
      </c>
      <c r="E151" s="39">
        <v>3981</v>
      </c>
    </row>
    <row r="152" spans="1:5" x14ac:dyDescent="0.25">
      <c r="A152" s="38">
        <v>4</v>
      </c>
      <c r="B152" s="38">
        <v>0</v>
      </c>
      <c r="C152" s="38">
        <v>1</v>
      </c>
      <c r="D152" s="38">
        <v>0</v>
      </c>
      <c r="E152" s="38">
        <v>787</v>
      </c>
    </row>
    <row r="153" spans="1:5" x14ac:dyDescent="0.25">
      <c r="A153" s="39">
        <v>4</v>
      </c>
      <c r="B153" s="39">
        <v>1</v>
      </c>
      <c r="C153" s="39">
        <v>1</v>
      </c>
      <c r="D153" s="39">
        <v>0</v>
      </c>
      <c r="E153" s="39">
        <v>3981</v>
      </c>
    </row>
    <row r="154" spans="1:5" x14ac:dyDescent="0.25">
      <c r="A154" s="38">
        <v>4</v>
      </c>
      <c r="B154" s="38">
        <v>0</v>
      </c>
      <c r="C154" s="38">
        <v>0</v>
      </c>
      <c r="D154" s="38">
        <v>0</v>
      </c>
      <c r="E154" s="38">
        <v>2959</v>
      </c>
    </row>
    <row r="155" spans="1:5" x14ac:dyDescent="0.25">
      <c r="A155" s="39">
        <v>5</v>
      </c>
      <c r="B155" s="39">
        <v>1</v>
      </c>
      <c r="C155" s="39">
        <v>0</v>
      </c>
      <c r="D155" s="39">
        <v>0</v>
      </c>
      <c r="E155" s="39">
        <v>4027</v>
      </c>
    </row>
    <row r="156" spans="1:5" x14ac:dyDescent="0.25">
      <c r="A156" s="38">
        <v>4</v>
      </c>
      <c r="B156" s="38">
        <v>0</v>
      </c>
      <c r="C156" s="38">
        <v>1</v>
      </c>
      <c r="D156" s="38">
        <v>0</v>
      </c>
      <c r="E156" s="38">
        <v>315</v>
      </c>
    </row>
    <row r="157" spans="1:5" x14ac:dyDescent="0.25">
      <c r="A157" s="39">
        <v>5</v>
      </c>
      <c r="B157" s="39">
        <v>0</v>
      </c>
      <c r="C157" s="39">
        <v>0</v>
      </c>
      <c r="D157" s="39">
        <v>0</v>
      </c>
      <c r="E157" s="39">
        <v>3025</v>
      </c>
    </row>
    <row r="158" spans="1:5" x14ac:dyDescent="0.25">
      <c r="A158" s="38">
        <v>1</v>
      </c>
      <c r="B158" s="38">
        <v>0</v>
      </c>
      <c r="C158" s="38">
        <v>0</v>
      </c>
      <c r="D158" s="38">
        <v>0</v>
      </c>
      <c r="E158" s="38">
        <v>1282</v>
      </c>
    </row>
    <row r="159" spans="1:5" x14ac:dyDescent="0.25">
      <c r="A159" s="39">
        <v>5</v>
      </c>
      <c r="B159" s="39">
        <v>1</v>
      </c>
      <c r="C159" s="39">
        <v>0</v>
      </c>
      <c r="D159" s="39">
        <v>1</v>
      </c>
      <c r="E159" s="39">
        <v>2884</v>
      </c>
    </row>
    <row r="160" spans="1:5" x14ac:dyDescent="0.25">
      <c r="A160" s="38">
        <v>5</v>
      </c>
      <c r="B160" s="38">
        <v>1</v>
      </c>
      <c r="C160" s="38">
        <v>0</v>
      </c>
      <c r="D160" s="38">
        <v>0</v>
      </c>
      <c r="E160" s="38">
        <v>2700</v>
      </c>
    </row>
    <row r="161" spans="1:5" x14ac:dyDescent="0.25">
      <c r="A161" s="39">
        <v>5</v>
      </c>
      <c r="B161" s="39">
        <v>0</v>
      </c>
      <c r="C161" s="39">
        <v>1</v>
      </c>
      <c r="D161" s="39">
        <v>0</v>
      </c>
      <c r="E161" s="39">
        <v>1228</v>
      </c>
    </row>
    <row r="162" spans="1:5" x14ac:dyDescent="0.25">
      <c r="A162" s="38">
        <v>3</v>
      </c>
      <c r="B162" s="38">
        <v>0</v>
      </c>
      <c r="C162" s="38">
        <v>0</v>
      </c>
      <c r="D162" s="38">
        <v>1</v>
      </c>
      <c r="E162" s="38">
        <v>2884</v>
      </c>
    </row>
    <row r="163" spans="1:5" x14ac:dyDescent="0.25">
      <c r="A163" s="39">
        <v>3</v>
      </c>
      <c r="B163" s="39">
        <v>1</v>
      </c>
      <c r="C163" s="39">
        <v>1</v>
      </c>
      <c r="D163" s="39">
        <v>0</v>
      </c>
      <c r="E163" s="39">
        <v>716</v>
      </c>
    </row>
    <row r="164" spans="1:5" x14ac:dyDescent="0.25">
      <c r="A164" s="38">
        <v>4</v>
      </c>
      <c r="B164" s="38">
        <v>0</v>
      </c>
      <c r="C164" s="38">
        <v>0</v>
      </c>
      <c r="D164" s="38">
        <v>0</v>
      </c>
      <c r="E164" s="38">
        <v>2959</v>
      </c>
    </row>
    <row r="165" spans="1:5" x14ac:dyDescent="0.25">
      <c r="A165" s="39">
        <v>4</v>
      </c>
      <c r="B165" s="39">
        <v>0</v>
      </c>
      <c r="C165" s="39">
        <v>1</v>
      </c>
      <c r="D165" s="39">
        <v>0</v>
      </c>
      <c r="E165" s="39">
        <v>3773</v>
      </c>
    </row>
    <row r="166" spans="1:5" x14ac:dyDescent="0.25">
      <c r="A166" s="38">
        <v>1</v>
      </c>
      <c r="B166" s="38">
        <v>0</v>
      </c>
      <c r="C166" s="38">
        <v>0</v>
      </c>
      <c r="D166" s="38">
        <v>0</v>
      </c>
      <c r="E166" s="38">
        <v>2959</v>
      </c>
    </row>
    <row r="167" spans="1:5" x14ac:dyDescent="0.25">
      <c r="A167" s="39">
        <v>5</v>
      </c>
      <c r="B167" s="39">
        <v>0</v>
      </c>
      <c r="C167" s="39">
        <v>1</v>
      </c>
      <c r="D167" s="39">
        <v>0</v>
      </c>
      <c r="E167" s="39">
        <v>787</v>
      </c>
    </row>
    <row r="168" spans="1:5" x14ac:dyDescent="0.25">
      <c r="A168" s="38">
        <v>5</v>
      </c>
      <c r="B168" s="38">
        <v>0</v>
      </c>
      <c r="C168" s="38">
        <v>1</v>
      </c>
      <c r="D168" s="38">
        <v>0</v>
      </c>
      <c r="E168" s="38">
        <v>787</v>
      </c>
    </row>
    <row r="169" spans="1:5" x14ac:dyDescent="0.25">
      <c r="A169" s="39">
        <v>4</v>
      </c>
      <c r="B169" s="39">
        <v>1</v>
      </c>
      <c r="C169" s="39">
        <v>1</v>
      </c>
      <c r="D169" s="39">
        <v>0</v>
      </c>
      <c r="E169" s="39">
        <v>716</v>
      </c>
    </row>
    <row r="170" spans="1:5" x14ac:dyDescent="0.25">
      <c r="A170" s="38">
        <v>5</v>
      </c>
      <c r="B170" s="38">
        <v>1</v>
      </c>
      <c r="C170" s="38">
        <v>0</v>
      </c>
      <c r="D170" s="38">
        <v>1</v>
      </c>
      <c r="E170" s="38">
        <v>3003</v>
      </c>
    </row>
    <row r="171" spans="1:5" x14ac:dyDescent="0.25">
      <c r="A171" s="39">
        <v>5</v>
      </c>
      <c r="B171" s="39">
        <v>1</v>
      </c>
      <c r="C171" s="39">
        <v>1</v>
      </c>
      <c r="D171" s="39">
        <v>0</v>
      </c>
      <c r="E171" s="39">
        <v>732</v>
      </c>
    </row>
    <row r="172" spans="1:5" x14ac:dyDescent="0.25">
      <c r="A172" s="38">
        <v>5</v>
      </c>
      <c r="B172" s="38">
        <v>1</v>
      </c>
      <c r="C172" s="38">
        <v>1</v>
      </c>
      <c r="D172" s="38">
        <v>0</v>
      </c>
      <c r="E172" s="38">
        <v>3981</v>
      </c>
    </row>
    <row r="173" spans="1:5" x14ac:dyDescent="0.25">
      <c r="A173" s="39">
        <v>5</v>
      </c>
      <c r="B173" s="39">
        <v>0</v>
      </c>
      <c r="C173" s="39">
        <v>0</v>
      </c>
      <c r="D173" s="39">
        <v>1</v>
      </c>
      <c r="E173" s="39">
        <v>826</v>
      </c>
    </row>
    <row r="174" spans="1:5" x14ac:dyDescent="0.25">
      <c r="A174" s="38">
        <v>5</v>
      </c>
      <c r="B174" s="38">
        <v>1</v>
      </c>
      <c r="C174" s="38">
        <v>0</v>
      </c>
      <c r="D174" s="38">
        <v>1</v>
      </c>
      <c r="E174" s="38">
        <v>2916</v>
      </c>
    </row>
    <row r="175" spans="1:5" x14ac:dyDescent="0.25">
      <c r="A175" s="39">
        <v>5</v>
      </c>
      <c r="B175" s="39">
        <v>0</v>
      </c>
      <c r="C175" s="39">
        <v>1</v>
      </c>
      <c r="D175" s="39">
        <v>0</v>
      </c>
      <c r="E175" s="39">
        <v>3773</v>
      </c>
    </row>
    <row r="176" spans="1:5" x14ac:dyDescent="0.25">
      <c r="A176" s="38">
        <v>5</v>
      </c>
      <c r="B176" s="38">
        <v>0</v>
      </c>
      <c r="C176" s="38">
        <v>0</v>
      </c>
      <c r="D176" s="38">
        <v>0</v>
      </c>
      <c r="E176" s="38">
        <v>3933</v>
      </c>
    </row>
    <row r="177" spans="1:5" x14ac:dyDescent="0.25">
      <c r="A177" s="39">
        <v>5</v>
      </c>
      <c r="B177" s="39">
        <v>0</v>
      </c>
      <c r="C177" s="39">
        <v>0</v>
      </c>
      <c r="D177" s="39">
        <v>0</v>
      </c>
      <c r="E177" s="39">
        <v>1282</v>
      </c>
    </row>
    <row r="178" spans="1:5" x14ac:dyDescent="0.25">
      <c r="A178" s="38">
        <v>3</v>
      </c>
      <c r="B178" s="38">
        <v>0</v>
      </c>
      <c r="C178" s="38">
        <v>1</v>
      </c>
      <c r="D178" s="38">
        <v>0</v>
      </c>
      <c r="E178" s="38">
        <v>315</v>
      </c>
    </row>
    <row r="179" spans="1:5" x14ac:dyDescent="0.25">
      <c r="A179" s="39">
        <v>4</v>
      </c>
      <c r="B179" s="39">
        <v>1</v>
      </c>
      <c r="C179" s="39">
        <v>0</v>
      </c>
      <c r="D179" s="39">
        <v>0</v>
      </c>
      <c r="E179" s="39">
        <v>3933</v>
      </c>
    </row>
    <row r="180" spans="1:5" x14ac:dyDescent="0.25">
      <c r="A180" s="38">
        <v>4</v>
      </c>
      <c r="B180" s="38">
        <v>1</v>
      </c>
      <c r="C180" s="38">
        <v>0</v>
      </c>
      <c r="D180" s="38">
        <v>0</v>
      </c>
      <c r="E180" s="38">
        <v>4027</v>
      </c>
    </row>
    <row r="181" spans="1:5" x14ac:dyDescent="0.25">
      <c r="A181" s="39">
        <v>4</v>
      </c>
      <c r="B181" s="39">
        <v>0</v>
      </c>
      <c r="C181" s="39">
        <v>0</v>
      </c>
      <c r="D181" s="39">
        <v>0</v>
      </c>
      <c r="E181" s="39">
        <v>2700</v>
      </c>
    </row>
    <row r="182" spans="1:5" x14ac:dyDescent="0.25">
      <c r="A182" s="38">
        <v>5</v>
      </c>
      <c r="B182" s="38">
        <v>1</v>
      </c>
      <c r="C182" s="38">
        <v>0</v>
      </c>
      <c r="D182" s="38">
        <v>1</v>
      </c>
      <c r="E182" s="38">
        <v>2916</v>
      </c>
    </row>
    <row r="183" spans="1:5" x14ac:dyDescent="0.25">
      <c r="A183" s="39">
        <v>3</v>
      </c>
      <c r="B183" s="39">
        <v>0</v>
      </c>
      <c r="C183" s="39">
        <v>0</v>
      </c>
      <c r="D183" s="39">
        <v>1</v>
      </c>
      <c r="E183" s="39">
        <v>3003</v>
      </c>
    </row>
    <row r="184" spans="1:5" x14ac:dyDescent="0.25">
      <c r="A184" s="38">
        <v>3</v>
      </c>
      <c r="B184" s="38">
        <v>0</v>
      </c>
      <c r="C184" s="38">
        <v>0</v>
      </c>
      <c r="D184" s="38">
        <v>1</v>
      </c>
      <c r="E184" s="38">
        <v>826</v>
      </c>
    </row>
    <row r="185" spans="1:5" x14ac:dyDescent="0.25">
      <c r="A185" s="39">
        <v>4</v>
      </c>
      <c r="B185" s="39">
        <v>0</v>
      </c>
      <c r="C185" s="39">
        <v>0</v>
      </c>
      <c r="D185" s="39">
        <v>1</v>
      </c>
      <c r="E185" s="39">
        <v>2916</v>
      </c>
    </row>
    <row r="186" spans="1:5" x14ac:dyDescent="0.25">
      <c r="A186" s="38">
        <v>4</v>
      </c>
      <c r="B186" s="38">
        <v>0</v>
      </c>
      <c r="C186" s="38">
        <v>0</v>
      </c>
      <c r="D186" s="38">
        <v>1</v>
      </c>
      <c r="E186" s="38">
        <v>1467</v>
      </c>
    </row>
    <row r="187" spans="1:5" x14ac:dyDescent="0.25">
      <c r="A187" s="39">
        <v>4</v>
      </c>
      <c r="B187" s="39">
        <v>1</v>
      </c>
      <c r="C187" s="39">
        <v>0</v>
      </c>
      <c r="D187" s="39">
        <v>1</v>
      </c>
      <c r="E187" s="39">
        <v>3003</v>
      </c>
    </row>
    <row r="188" spans="1:5" x14ac:dyDescent="0.25">
      <c r="A188" s="38">
        <v>3</v>
      </c>
      <c r="B188" s="38">
        <v>0</v>
      </c>
      <c r="C188" s="38">
        <v>1</v>
      </c>
      <c r="D188" s="38">
        <v>0</v>
      </c>
      <c r="E188" s="38">
        <v>3773</v>
      </c>
    </row>
    <row r="189" spans="1:5" x14ac:dyDescent="0.25">
      <c r="A189" s="39">
        <v>5</v>
      </c>
      <c r="B189" s="39">
        <v>0</v>
      </c>
      <c r="C189" s="39">
        <v>0</v>
      </c>
      <c r="D189" s="39">
        <v>0</v>
      </c>
      <c r="E189" s="39">
        <v>3025</v>
      </c>
    </row>
    <row r="190" spans="1:5" x14ac:dyDescent="0.25">
      <c r="A190" s="38">
        <v>4</v>
      </c>
      <c r="B190" s="38">
        <v>0</v>
      </c>
      <c r="C190" s="38">
        <v>0</v>
      </c>
      <c r="D190" s="38">
        <v>0</v>
      </c>
      <c r="E190" s="38">
        <v>3933</v>
      </c>
    </row>
    <row r="191" spans="1:5" x14ac:dyDescent="0.25">
      <c r="A191" s="39">
        <v>4</v>
      </c>
      <c r="B191" s="39">
        <v>0</v>
      </c>
      <c r="C191" s="39">
        <v>1</v>
      </c>
      <c r="D191" s="39">
        <v>0</v>
      </c>
      <c r="E191" s="39">
        <v>1228</v>
      </c>
    </row>
    <row r="192" spans="1:5" x14ac:dyDescent="0.25">
      <c r="A192" s="38">
        <v>5</v>
      </c>
      <c r="B192" s="38">
        <v>0</v>
      </c>
      <c r="C192" s="38">
        <v>0</v>
      </c>
      <c r="D192" s="38">
        <v>0</v>
      </c>
      <c r="E192" s="38">
        <v>3348</v>
      </c>
    </row>
    <row r="193" spans="1:5" x14ac:dyDescent="0.25">
      <c r="A193" s="39">
        <v>2</v>
      </c>
      <c r="B193" s="39">
        <v>0</v>
      </c>
      <c r="C193" s="39">
        <v>0</v>
      </c>
      <c r="D193" s="39">
        <v>0</v>
      </c>
      <c r="E193" s="39">
        <v>2959</v>
      </c>
    </row>
    <row r="194" spans="1:5" x14ac:dyDescent="0.25">
      <c r="A194" s="38">
        <v>4</v>
      </c>
      <c r="B194" s="38">
        <v>0</v>
      </c>
      <c r="C194" s="38">
        <v>0</v>
      </c>
      <c r="D194" s="38">
        <v>0</v>
      </c>
      <c r="E194" s="38">
        <v>3025</v>
      </c>
    </row>
    <row r="195" spans="1:5" x14ac:dyDescent="0.25">
      <c r="A195" s="39">
        <v>5</v>
      </c>
      <c r="B195" s="39">
        <v>0</v>
      </c>
      <c r="C195" s="39">
        <v>0</v>
      </c>
      <c r="D195" s="39">
        <v>0</v>
      </c>
      <c r="E195" s="39">
        <v>3025</v>
      </c>
    </row>
    <row r="196" spans="1:5" x14ac:dyDescent="0.25">
      <c r="A196" s="38">
        <v>2</v>
      </c>
      <c r="B196" s="38">
        <v>1</v>
      </c>
      <c r="C196" s="38">
        <v>0</v>
      </c>
      <c r="D196" s="38">
        <v>1</v>
      </c>
      <c r="E196" s="38">
        <v>2916</v>
      </c>
    </row>
    <row r="197" spans="1:5" x14ac:dyDescent="0.25">
      <c r="A197" s="39">
        <v>4</v>
      </c>
      <c r="B197" s="39">
        <v>0</v>
      </c>
      <c r="C197" s="39">
        <v>0</v>
      </c>
      <c r="D197" s="39">
        <v>1</v>
      </c>
      <c r="E197" s="39">
        <v>826</v>
      </c>
    </row>
    <row r="198" spans="1:5" x14ac:dyDescent="0.25">
      <c r="A198" s="38">
        <v>5</v>
      </c>
      <c r="B198" s="38">
        <v>1</v>
      </c>
      <c r="C198" s="38">
        <v>1</v>
      </c>
      <c r="D198" s="38">
        <v>0</v>
      </c>
      <c r="E198" s="38">
        <v>3981</v>
      </c>
    </row>
    <row r="199" spans="1:5" x14ac:dyDescent="0.25">
      <c r="A199" s="39">
        <v>3</v>
      </c>
      <c r="B199" s="39">
        <v>0</v>
      </c>
      <c r="C199" s="39">
        <v>1</v>
      </c>
      <c r="D199" s="39">
        <v>0</v>
      </c>
      <c r="E199" s="39">
        <v>716</v>
      </c>
    </row>
    <row r="200" spans="1:5" x14ac:dyDescent="0.25">
      <c r="A200" s="38">
        <v>2</v>
      </c>
      <c r="B200" s="38">
        <v>0</v>
      </c>
      <c r="C200" s="38">
        <v>1</v>
      </c>
      <c r="D200" s="38">
        <v>0</v>
      </c>
      <c r="E200" s="38">
        <v>3981</v>
      </c>
    </row>
    <row r="201" spans="1:5" x14ac:dyDescent="0.25">
      <c r="A201" s="39">
        <v>3</v>
      </c>
      <c r="B201" s="39">
        <v>0</v>
      </c>
      <c r="C201" s="39">
        <v>0</v>
      </c>
      <c r="D201" s="39">
        <v>0</v>
      </c>
      <c r="E201" s="39">
        <v>3348</v>
      </c>
    </row>
    <row r="202" spans="1:5" x14ac:dyDescent="0.25">
      <c r="A202" s="38">
        <v>5</v>
      </c>
      <c r="B202" s="38">
        <v>1</v>
      </c>
      <c r="C202" s="38">
        <v>1</v>
      </c>
      <c r="D202" s="38">
        <v>0</v>
      </c>
      <c r="E202" s="38">
        <v>716</v>
      </c>
    </row>
    <row r="203" spans="1:5" x14ac:dyDescent="0.25">
      <c r="A203" s="39">
        <v>4</v>
      </c>
      <c r="B203" s="39">
        <v>1</v>
      </c>
      <c r="C203" s="39">
        <v>0</v>
      </c>
      <c r="D203" s="39">
        <v>1</v>
      </c>
      <c r="E203" s="39">
        <v>1467</v>
      </c>
    </row>
    <row r="204" spans="1:5" x14ac:dyDescent="0.25">
      <c r="A204" s="38">
        <v>5</v>
      </c>
      <c r="B204" s="38">
        <v>1</v>
      </c>
      <c r="C204" s="38">
        <v>0</v>
      </c>
      <c r="D204" s="38">
        <v>0</v>
      </c>
      <c r="E204" s="38">
        <v>4027</v>
      </c>
    </row>
    <row r="205" spans="1:5" x14ac:dyDescent="0.25">
      <c r="A205" s="39">
        <v>5</v>
      </c>
      <c r="B205" s="39">
        <v>0</v>
      </c>
      <c r="C205" s="39">
        <v>0</v>
      </c>
      <c r="D205" s="39">
        <v>0</v>
      </c>
      <c r="E205" s="39">
        <v>2700</v>
      </c>
    </row>
    <row r="206" spans="1:5" x14ac:dyDescent="0.25">
      <c r="A206" s="38">
        <v>5</v>
      </c>
      <c r="B206" s="38">
        <v>1</v>
      </c>
      <c r="C206" s="38">
        <v>0</v>
      </c>
      <c r="D206" s="38">
        <v>0</v>
      </c>
      <c r="E206" s="38">
        <v>3025</v>
      </c>
    </row>
    <row r="207" spans="1:5" x14ac:dyDescent="0.25">
      <c r="A207" s="39">
        <v>5</v>
      </c>
      <c r="B207" s="39">
        <v>0</v>
      </c>
      <c r="C207" s="39">
        <v>1</v>
      </c>
      <c r="D207" s="39">
        <v>0</v>
      </c>
      <c r="E207" s="39">
        <v>1228</v>
      </c>
    </row>
    <row r="208" spans="1:5" x14ac:dyDescent="0.25">
      <c r="A208" s="38">
        <v>5</v>
      </c>
      <c r="B208" s="38">
        <v>0</v>
      </c>
      <c r="C208" s="38">
        <v>0</v>
      </c>
      <c r="D208" s="38">
        <v>0</v>
      </c>
      <c r="E208" s="38">
        <v>1282</v>
      </c>
    </row>
    <row r="209" spans="1:5" x14ac:dyDescent="0.25">
      <c r="A209" s="39">
        <v>3</v>
      </c>
      <c r="B209" s="39">
        <v>0</v>
      </c>
      <c r="C209" s="39">
        <v>1</v>
      </c>
      <c r="D209" s="39">
        <v>0</v>
      </c>
      <c r="E209" s="39">
        <v>3981</v>
      </c>
    </row>
    <row r="210" spans="1:5" x14ac:dyDescent="0.25">
      <c r="A210" s="38">
        <v>4</v>
      </c>
      <c r="B210" s="38">
        <v>0</v>
      </c>
      <c r="C210" s="38">
        <v>0</v>
      </c>
      <c r="D210" s="38">
        <v>1</v>
      </c>
      <c r="E210" s="38">
        <v>2884</v>
      </c>
    </row>
    <row r="211" spans="1:5" x14ac:dyDescent="0.25">
      <c r="A211" s="39">
        <v>5</v>
      </c>
      <c r="B211" s="39">
        <v>0</v>
      </c>
      <c r="C211" s="39">
        <v>0</v>
      </c>
      <c r="D211" s="39">
        <v>1</v>
      </c>
      <c r="E211" s="39">
        <v>1467</v>
      </c>
    </row>
    <row r="212" spans="1:5" x14ac:dyDescent="0.25">
      <c r="A212" s="38">
        <v>4</v>
      </c>
      <c r="B212" s="38">
        <v>1</v>
      </c>
      <c r="C212" s="38">
        <v>0</v>
      </c>
      <c r="D212" s="38">
        <v>1</v>
      </c>
      <c r="E212" s="38">
        <v>2884</v>
      </c>
    </row>
    <row r="213" spans="1:5" x14ac:dyDescent="0.25">
      <c r="A213" s="39">
        <v>5</v>
      </c>
      <c r="B213" s="39">
        <v>0</v>
      </c>
      <c r="C213" s="39">
        <v>0</v>
      </c>
      <c r="D213" s="39">
        <v>0</v>
      </c>
      <c r="E213" s="39">
        <v>3025</v>
      </c>
    </row>
    <row r="214" spans="1:5" x14ac:dyDescent="0.25">
      <c r="A214" s="38">
        <v>5</v>
      </c>
      <c r="B214" s="38">
        <v>1</v>
      </c>
      <c r="C214" s="38">
        <v>0</v>
      </c>
      <c r="D214" s="38">
        <v>0</v>
      </c>
      <c r="E214" s="38">
        <v>3025</v>
      </c>
    </row>
    <row r="215" spans="1:5" x14ac:dyDescent="0.25">
      <c r="A215" s="39">
        <v>5</v>
      </c>
      <c r="B215" s="39">
        <v>1</v>
      </c>
      <c r="C215" s="39">
        <v>0</v>
      </c>
      <c r="D215" s="39">
        <v>1</v>
      </c>
      <c r="E215" s="39">
        <v>826</v>
      </c>
    </row>
    <row r="216" spans="1:5" x14ac:dyDescent="0.25">
      <c r="A216" s="38">
        <v>4</v>
      </c>
      <c r="B216" s="38">
        <v>0</v>
      </c>
      <c r="C216" s="38">
        <v>1</v>
      </c>
      <c r="D216" s="38">
        <v>0</v>
      </c>
      <c r="E216" s="38">
        <v>3773</v>
      </c>
    </row>
    <row r="217" spans="1:5" x14ac:dyDescent="0.25">
      <c r="A217" s="39">
        <v>5</v>
      </c>
      <c r="B217" s="39">
        <v>0</v>
      </c>
      <c r="C217" s="39">
        <v>0</v>
      </c>
      <c r="D217" s="39">
        <v>0</v>
      </c>
      <c r="E217" s="39">
        <v>2959</v>
      </c>
    </row>
    <row r="218" spans="1:5" x14ac:dyDescent="0.25">
      <c r="A218" s="38">
        <v>2</v>
      </c>
      <c r="B218" s="38">
        <v>1</v>
      </c>
      <c r="C218" s="38">
        <v>0</v>
      </c>
      <c r="D218" s="38">
        <v>0</v>
      </c>
      <c r="E218" s="38">
        <v>2959</v>
      </c>
    </row>
    <row r="219" spans="1:5" x14ac:dyDescent="0.25">
      <c r="A219" s="39">
        <v>5</v>
      </c>
      <c r="B219" s="39">
        <v>1</v>
      </c>
      <c r="C219" s="39">
        <v>1</v>
      </c>
      <c r="D219" s="39">
        <v>0</v>
      </c>
      <c r="E219" s="39">
        <v>732</v>
      </c>
    </row>
    <row r="220" spans="1:5" x14ac:dyDescent="0.25">
      <c r="A220" s="38">
        <v>2</v>
      </c>
      <c r="B220" s="38">
        <v>0</v>
      </c>
      <c r="C220" s="38">
        <v>0</v>
      </c>
      <c r="D220" s="38">
        <v>0</v>
      </c>
      <c r="E220" s="38">
        <v>3933</v>
      </c>
    </row>
    <row r="221" spans="1:5" x14ac:dyDescent="0.25">
      <c r="A221" s="39">
        <v>4</v>
      </c>
      <c r="B221" s="39">
        <v>0</v>
      </c>
      <c r="C221" s="39">
        <v>0</v>
      </c>
      <c r="D221" s="39">
        <v>1</v>
      </c>
      <c r="E221" s="39">
        <v>2884</v>
      </c>
    </row>
    <row r="222" spans="1:5" x14ac:dyDescent="0.25">
      <c r="A222" s="38">
        <v>5</v>
      </c>
      <c r="B222" s="38">
        <v>0</v>
      </c>
      <c r="C222" s="38">
        <v>1</v>
      </c>
      <c r="D222" s="38">
        <v>0</v>
      </c>
      <c r="E222" s="38">
        <v>787</v>
      </c>
    </row>
    <row r="223" spans="1:5" x14ac:dyDescent="0.25">
      <c r="A223" s="39">
        <v>5</v>
      </c>
      <c r="B223" s="39">
        <v>0</v>
      </c>
      <c r="C223" s="39">
        <v>1</v>
      </c>
      <c r="D223" s="39">
        <v>0</v>
      </c>
      <c r="E223" s="39">
        <v>732</v>
      </c>
    </row>
    <row r="224" spans="1:5" x14ac:dyDescent="0.25">
      <c r="A224" s="38">
        <v>4</v>
      </c>
      <c r="B224" s="38">
        <v>0</v>
      </c>
      <c r="C224" s="38">
        <v>0</v>
      </c>
      <c r="D224" s="38">
        <v>0</v>
      </c>
      <c r="E224" s="38">
        <v>2034</v>
      </c>
    </row>
    <row r="225" spans="1:5" x14ac:dyDescent="0.25">
      <c r="A225" s="39">
        <v>5</v>
      </c>
      <c r="B225" s="39">
        <v>0</v>
      </c>
      <c r="C225" s="39">
        <v>1</v>
      </c>
      <c r="D225" s="39">
        <v>0</v>
      </c>
      <c r="E225" s="39">
        <v>1228</v>
      </c>
    </row>
    <row r="226" spans="1:5" x14ac:dyDescent="0.25">
      <c r="A226" s="38">
        <v>5</v>
      </c>
      <c r="B226" s="38">
        <v>1</v>
      </c>
      <c r="C226" s="38">
        <v>0</v>
      </c>
      <c r="D226" s="38">
        <v>0</v>
      </c>
      <c r="E226" s="38">
        <v>2959</v>
      </c>
    </row>
    <row r="227" spans="1:5" x14ac:dyDescent="0.25">
      <c r="A227" s="39">
        <v>4</v>
      </c>
      <c r="B227" s="39">
        <v>1</v>
      </c>
      <c r="C227" s="39">
        <v>0</v>
      </c>
      <c r="D227" s="39">
        <v>1</v>
      </c>
      <c r="E227" s="39">
        <v>3003</v>
      </c>
    </row>
    <row r="228" spans="1:5" x14ac:dyDescent="0.25">
      <c r="A228" s="38">
        <v>4</v>
      </c>
      <c r="B228" s="38">
        <v>0</v>
      </c>
      <c r="C228" s="38">
        <v>0</v>
      </c>
      <c r="D228" s="38">
        <v>1</v>
      </c>
      <c r="E228" s="38">
        <v>2884</v>
      </c>
    </row>
    <row r="229" spans="1:5" x14ac:dyDescent="0.25">
      <c r="A229" s="39">
        <v>4</v>
      </c>
      <c r="B229" s="39">
        <v>0</v>
      </c>
      <c r="C229" s="39">
        <v>1</v>
      </c>
      <c r="D229" s="39">
        <v>0</v>
      </c>
      <c r="E229" s="39">
        <v>3981</v>
      </c>
    </row>
    <row r="230" spans="1:5" x14ac:dyDescent="0.25">
      <c r="A230" s="38">
        <v>5</v>
      </c>
      <c r="B230" s="38">
        <v>0</v>
      </c>
      <c r="C230" s="38">
        <v>0</v>
      </c>
      <c r="D230" s="38">
        <v>0</v>
      </c>
      <c r="E230" s="38">
        <v>2034</v>
      </c>
    </row>
    <row r="231" spans="1:5" x14ac:dyDescent="0.25">
      <c r="A231" s="39">
        <v>4</v>
      </c>
      <c r="B231" s="39">
        <v>0</v>
      </c>
      <c r="C231" s="39">
        <v>0</v>
      </c>
      <c r="D231" s="39">
        <v>1</v>
      </c>
      <c r="E231" s="39">
        <v>2916</v>
      </c>
    </row>
    <row r="232" spans="1:5" x14ac:dyDescent="0.25">
      <c r="A232" s="38">
        <v>4</v>
      </c>
      <c r="B232" s="38">
        <v>1</v>
      </c>
      <c r="C232" s="38">
        <v>0</v>
      </c>
      <c r="D232" s="38">
        <v>0</v>
      </c>
      <c r="E232" s="38">
        <v>1282</v>
      </c>
    </row>
    <row r="233" spans="1:5" x14ac:dyDescent="0.25">
      <c r="A233" s="39">
        <v>5</v>
      </c>
      <c r="B233" s="39">
        <v>1</v>
      </c>
      <c r="C233" s="39">
        <v>0</v>
      </c>
      <c r="D233" s="39">
        <v>1</v>
      </c>
      <c r="E233" s="39">
        <v>2916</v>
      </c>
    </row>
    <row r="234" spans="1:5" x14ac:dyDescent="0.25">
      <c r="A234" s="38">
        <v>5</v>
      </c>
      <c r="B234" s="38">
        <v>0</v>
      </c>
      <c r="C234" s="38">
        <v>0</v>
      </c>
      <c r="D234" s="38">
        <v>1</v>
      </c>
      <c r="E234" s="38">
        <v>1467</v>
      </c>
    </row>
    <row r="235" spans="1:5" x14ac:dyDescent="0.25">
      <c r="A235" s="39">
        <v>5</v>
      </c>
      <c r="B235" s="39">
        <v>1</v>
      </c>
      <c r="C235" s="39">
        <v>0</v>
      </c>
      <c r="D235" s="39">
        <v>0</v>
      </c>
      <c r="E235" s="39">
        <v>4027</v>
      </c>
    </row>
    <row r="236" spans="1:5" x14ac:dyDescent="0.25">
      <c r="A236" s="38">
        <v>5</v>
      </c>
      <c r="B236" s="38">
        <v>1</v>
      </c>
      <c r="C236" s="38">
        <v>0</v>
      </c>
      <c r="D236" s="38">
        <v>1</v>
      </c>
      <c r="E236" s="38">
        <v>1467</v>
      </c>
    </row>
    <row r="237" spans="1:5" x14ac:dyDescent="0.25">
      <c r="A237" s="39">
        <v>5</v>
      </c>
      <c r="B237" s="39">
        <v>1</v>
      </c>
      <c r="C237" s="39">
        <v>1</v>
      </c>
      <c r="D237" s="39">
        <v>0</v>
      </c>
      <c r="E237" s="39">
        <v>716</v>
      </c>
    </row>
    <row r="238" spans="1:5" x14ac:dyDescent="0.25">
      <c r="A238" s="38">
        <v>5</v>
      </c>
      <c r="B238" s="38">
        <v>1</v>
      </c>
      <c r="C238" s="38">
        <v>1</v>
      </c>
      <c r="D238" s="38">
        <v>0</v>
      </c>
      <c r="E238" s="38">
        <v>787</v>
      </c>
    </row>
    <row r="239" spans="1:5" x14ac:dyDescent="0.25">
      <c r="A239" s="39">
        <v>5</v>
      </c>
      <c r="B239" s="39">
        <v>0</v>
      </c>
      <c r="C239" s="39">
        <v>1</v>
      </c>
      <c r="D239" s="39">
        <v>0</v>
      </c>
      <c r="E239" s="39">
        <v>716</v>
      </c>
    </row>
    <row r="240" spans="1:5" x14ac:dyDescent="0.25">
      <c r="A240" s="38">
        <v>5</v>
      </c>
      <c r="B240" s="38">
        <v>1</v>
      </c>
      <c r="C240" s="38">
        <v>0</v>
      </c>
      <c r="D240" s="38">
        <v>0</v>
      </c>
      <c r="E240" s="38">
        <v>4027</v>
      </c>
    </row>
    <row r="241" spans="1:5" x14ac:dyDescent="0.25">
      <c r="A241" s="39">
        <v>5</v>
      </c>
      <c r="B241" s="39">
        <v>1</v>
      </c>
      <c r="C241" s="39">
        <v>0</v>
      </c>
      <c r="D241" s="39">
        <v>0</v>
      </c>
      <c r="E241" s="39">
        <v>2700</v>
      </c>
    </row>
    <row r="242" spans="1:5" x14ac:dyDescent="0.25">
      <c r="A242" s="38">
        <v>3</v>
      </c>
      <c r="B242" s="38">
        <v>0</v>
      </c>
      <c r="C242" s="38">
        <v>0</v>
      </c>
      <c r="D242" s="38">
        <v>0</v>
      </c>
      <c r="E242" s="38">
        <v>2034</v>
      </c>
    </row>
    <row r="243" spans="1:5" x14ac:dyDescent="0.25">
      <c r="A243" s="39">
        <v>4</v>
      </c>
      <c r="B243" s="39">
        <v>1</v>
      </c>
      <c r="C243" s="39">
        <v>0</v>
      </c>
      <c r="D243" s="39">
        <v>1</v>
      </c>
      <c r="E243" s="39">
        <v>2884</v>
      </c>
    </row>
    <row r="244" spans="1:5" x14ac:dyDescent="0.25">
      <c r="A244" s="38">
        <v>5</v>
      </c>
      <c r="B244" s="38">
        <v>1</v>
      </c>
      <c r="C244" s="38">
        <v>0</v>
      </c>
      <c r="D244" s="38">
        <v>1</v>
      </c>
      <c r="E244" s="38">
        <v>2916</v>
      </c>
    </row>
    <row r="245" spans="1:5" x14ac:dyDescent="0.25">
      <c r="A245" s="39">
        <v>5</v>
      </c>
      <c r="B245" s="39">
        <v>0</v>
      </c>
      <c r="C245" s="39">
        <v>1</v>
      </c>
      <c r="D245" s="39">
        <v>0</v>
      </c>
      <c r="E245" s="39">
        <v>732</v>
      </c>
    </row>
    <row r="246" spans="1:5" x14ac:dyDescent="0.25">
      <c r="A246" s="38">
        <v>5</v>
      </c>
      <c r="B246" s="38">
        <v>0</v>
      </c>
      <c r="C246" s="38">
        <v>1</v>
      </c>
      <c r="D246" s="38">
        <v>0</v>
      </c>
      <c r="E246" s="38">
        <v>732</v>
      </c>
    </row>
    <row r="247" spans="1:5" x14ac:dyDescent="0.25">
      <c r="A247" s="39">
        <v>4</v>
      </c>
      <c r="B247" s="39">
        <v>0</v>
      </c>
      <c r="C247" s="39">
        <v>0</v>
      </c>
      <c r="D247" s="39">
        <v>1</v>
      </c>
      <c r="E247" s="39">
        <v>2884</v>
      </c>
    </row>
    <row r="248" spans="1:5" x14ac:dyDescent="0.25">
      <c r="A248" s="38">
        <v>5</v>
      </c>
      <c r="B248" s="38">
        <v>0</v>
      </c>
      <c r="C248" s="38">
        <v>0</v>
      </c>
      <c r="D248" s="38">
        <v>0</v>
      </c>
      <c r="E248" s="38">
        <v>3933</v>
      </c>
    </row>
    <row r="249" spans="1:5" x14ac:dyDescent="0.25">
      <c r="A249" s="39">
        <v>5</v>
      </c>
      <c r="B249" s="39">
        <v>1</v>
      </c>
      <c r="C249" s="39">
        <v>0</v>
      </c>
      <c r="D249" s="39">
        <v>0</v>
      </c>
      <c r="E249" s="39">
        <v>3348</v>
      </c>
    </row>
    <row r="250" spans="1:5" x14ac:dyDescent="0.25">
      <c r="A250" s="38">
        <v>5</v>
      </c>
      <c r="B250" s="38">
        <v>1</v>
      </c>
      <c r="C250" s="38">
        <v>1</v>
      </c>
      <c r="D250" s="38">
        <v>0</v>
      </c>
      <c r="E250" s="38">
        <v>315</v>
      </c>
    </row>
    <row r="251" spans="1:5" x14ac:dyDescent="0.25">
      <c r="A251" s="39">
        <v>4</v>
      </c>
      <c r="B251" s="39">
        <v>0</v>
      </c>
      <c r="C251" s="39">
        <v>0</v>
      </c>
      <c r="D251" s="39">
        <v>1</v>
      </c>
      <c r="E251" s="39">
        <v>3003</v>
      </c>
    </row>
    <row r="252" spans="1:5" x14ac:dyDescent="0.25">
      <c r="A252" s="38">
        <v>5</v>
      </c>
      <c r="B252" s="38">
        <v>0</v>
      </c>
      <c r="C252" s="38">
        <v>0</v>
      </c>
      <c r="D252" s="38">
        <v>1</v>
      </c>
      <c r="E252" s="38">
        <v>2916</v>
      </c>
    </row>
    <row r="253" spans="1:5" x14ac:dyDescent="0.25">
      <c r="A253" s="39">
        <v>5</v>
      </c>
      <c r="B253" s="39">
        <v>1</v>
      </c>
      <c r="C253" s="39">
        <v>0</v>
      </c>
      <c r="D253" s="39">
        <v>0</v>
      </c>
      <c r="E253" s="39">
        <v>3348</v>
      </c>
    </row>
    <row r="254" spans="1:5" x14ac:dyDescent="0.25">
      <c r="A254" s="38">
        <v>4</v>
      </c>
      <c r="B254" s="38">
        <v>0</v>
      </c>
      <c r="C254" s="38">
        <v>1</v>
      </c>
      <c r="D254" s="38">
        <v>0</v>
      </c>
      <c r="E254" s="38">
        <v>315</v>
      </c>
    </row>
    <row r="255" spans="1:5" x14ac:dyDescent="0.25">
      <c r="A255" s="39">
        <v>5</v>
      </c>
      <c r="B255" s="39">
        <v>1</v>
      </c>
      <c r="C255" s="39">
        <v>1</v>
      </c>
      <c r="D255" s="39">
        <v>0</v>
      </c>
      <c r="E255" s="39">
        <v>1228</v>
      </c>
    </row>
    <row r="256" spans="1:5" x14ac:dyDescent="0.25">
      <c r="A256" s="38">
        <v>5</v>
      </c>
      <c r="B256" s="38">
        <v>1</v>
      </c>
      <c r="C256" s="38">
        <v>0</v>
      </c>
      <c r="D256" s="38">
        <v>0</v>
      </c>
      <c r="E256" s="38">
        <v>3025</v>
      </c>
    </row>
    <row r="257" spans="1:5" x14ac:dyDescent="0.25">
      <c r="A257" s="39">
        <v>3</v>
      </c>
      <c r="B257" s="39">
        <v>0</v>
      </c>
      <c r="C257" s="39">
        <v>0</v>
      </c>
      <c r="D257" s="39">
        <v>1</v>
      </c>
      <c r="E257" s="39">
        <v>826</v>
      </c>
    </row>
    <row r="258" spans="1:5" x14ac:dyDescent="0.25">
      <c r="A258" s="38">
        <v>5</v>
      </c>
      <c r="B258" s="38">
        <v>1</v>
      </c>
      <c r="C258" s="38">
        <v>0</v>
      </c>
      <c r="D258" s="38">
        <v>0</v>
      </c>
      <c r="E258" s="38">
        <v>3348</v>
      </c>
    </row>
    <row r="259" spans="1:5" x14ac:dyDescent="0.25">
      <c r="A259" s="39">
        <v>4</v>
      </c>
      <c r="B259" s="39">
        <v>0</v>
      </c>
      <c r="C259" s="39">
        <v>1</v>
      </c>
      <c r="D259" s="39">
        <v>0</v>
      </c>
      <c r="E259" s="39">
        <v>3773</v>
      </c>
    </row>
    <row r="260" spans="1:5" x14ac:dyDescent="0.25">
      <c r="A260" s="38">
        <v>4</v>
      </c>
      <c r="B260" s="38">
        <v>0</v>
      </c>
      <c r="C260" s="38">
        <v>1</v>
      </c>
      <c r="D260" s="38">
        <v>0</v>
      </c>
      <c r="E260" s="38">
        <v>3981</v>
      </c>
    </row>
    <row r="261" spans="1:5" x14ac:dyDescent="0.25">
      <c r="A261" s="39">
        <v>5</v>
      </c>
      <c r="B261" s="39">
        <v>1</v>
      </c>
      <c r="C261" s="39">
        <v>0</v>
      </c>
      <c r="D261" s="39">
        <v>0</v>
      </c>
      <c r="E261" s="39">
        <v>3025</v>
      </c>
    </row>
    <row r="262" spans="1:5" x14ac:dyDescent="0.25">
      <c r="A262" s="38">
        <v>5</v>
      </c>
      <c r="B262" s="38">
        <v>0</v>
      </c>
      <c r="C262" s="38">
        <v>0</v>
      </c>
      <c r="D262" s="38">
        <v>0</v>
      </c>
      <c r="E262" s="38">
        <v>2034</v>
      </c>
    </row>
    <row r="263" spans="1:5" x14ac:dyDescent="0.25">
      <c r="A263" s="39">
        <v>5</v>
      </c>
      <c r="B263" s="39">
        <v>0</v>
      </c>
      <c r="C263" s="39">
        <v>0</v>
      </c>
      <c r="D263" s="39">
        <v>0</v>
      </c>
      <c r="E263" s="39">
        <v>2700</v>
      </c>
    </row>
    <row r="264" spans="1:5" x14ac:dyDescent="0.25">
      <c r="A264" s="38">
        <v>4</v>
      </c>
      <c r="B264" s="38">
        <v>0</v>
      </c>
      <c r="C264" s="38">
        <v>0</v>
      </c>
      <c r="D264" s="38">
        <v>1</v>
      </c>
      <c r="E264" s="38">
        <v>2884</v>
      </c>
    </row>
    <row r="265" spans="1:5" x14ac:dyDescent="0.25">
      <c r="A265" s="39">
        <v>5</v>
      </c>
      <c r="B265" s="39">
        <v>0</v>
      </c>
      <c r="C265" s="39">
        <v>0</v>
      </c>
      <c r="D265" s="39">
        <v>1</v>
      </c>
      <c r="E265" s="39">
        <v>1467</v>
      </c>
    </row>
    <row r="266" spans="1:5" x14ac:dyDescent="0.25">
      <c r="A266" s="38">
        <v>4</v>
      </c>
      <c r="B266" s="38">
        <v>0</v>
      </c>
      <c r="C266" s="38">
        <v>0</v>
      </c>
      <c r="D266" s="38">
        <v>0</v>
      </c>
      <c r="E266" s="38">
        <v>3933</v>
      </c>
    </row>
    <row r="267" spans="1:5" x14ac:dyDescent="0.25">
      <c r="A267" s="39">
        <v>5</v>
      </c>
      <c r="B267" s="39">
        <v>0</v>
      </c>
      <c r="C267" s="39">
        <v>0</v>
      </c>
      <c r="D267" s="39">
        <v>0</v>
      </c>
      <c r="E267" s="39">
        <v>4027</v>
      </c>
    </row>
    <row r="268" spans="1:5" x14ac:dyDescent="0.25">
      <c r="A268" s="38">
        <v>5</v>
      </c>
      <c r="B268" s="38">
        <v>0</v>
      </c>
      <c r="C268" s="38">
        <v>1</v>
      </c>
      <c r="D268" s="38">
        <v>0</v>
      </c>
      <c r="E268" s="38">
        <v>716</v>
      </c>
    </row>
    <row r="269" spans="1:5" x14ac:dyDescent="0.25">
      <c r="A269" s="39">
        <v>2</v>
      </c>
      <c r="B269" s="39">
        <v>1</v>
      </c>
      <c r="C269" s="39">
        <v>1</v>
      </c>
      <c r="D269" s="39">
        <v>0</v>
      </c>
      <c r="E269" s="39">
        <v>3773</v>
      </c>
    </row>
    <row r="270" spans="1:5" x14ac:dyDescent="0.25">
      <c r="A270" s="38">
        <v>5</v>
      </c>
      <c r="B270" s="38">
        <v>1</v>
      </c>
      <c r="C270" s="38">
        <v>1</v>
      </c>
      <c r="D270" s="38">
        <v>0</v>
      </c>
      <c r="E270" s="38">
        <v>315</v>
      </c>
    </row>
    <row r="271" spans="1:5" x14ac:dyDescent="0.25">
      <c r="A271" s="39">
        <v>1</v>
      </c>
      <c r="B271" s="39">
        <v>1</v>
      </c>
      <c r="C271" s="39">
        <v>1</v>
      </c>
      <c r="D271" s="39">
        <v>0</v>
      </c>
      <c r="E271" s="39">
        <v>3773</v>
      </c>
    </row>
    <row r="272" spans="1:5" x14ac:dyDescent="0.25">
      <c r="A272" s="38">
        <v>3</v>
      </c>
      <c r="B272" s="38">
        <v>0</v>
      </c>
      <c r="C272" s="38">
        <v>1</v>
      </c>
      <c r="D272" s="38">
        <v>0</v>
      </c>
      <c r="E272" s="38">
        <v>3981</v>
      </c>
    </row>
    <row r="273" spans="1:5" x14ac:dyDescent="0.25">
      <c r="A273" s="39">
        <v>2</v>
      </c>
      <c r="B273" s="39">
        <v>0</v>
      </c>
      <c r="C273" s="39">
        <v>1</v>
      </c>
      <c r="D273" s="39">
        <v>0</v>
      </c>
      <c r="E273" s="39">
        <v>716</v>
      </c>
    </row>
    <row r="274" spans="1:5" x14ac:dyDescent="0.25">
      <c r="A274" s="38">
        <v>4</v>
      </c>
      <c r="B274" s="38">
        <v>0</v>
      </c>
      <c r="C274" s="38">
        <v>0</v>
      </c>
      <c r="D274" s="38">
        <v>0</v>
      </c>
      <c r="E274" s="38">
        <v>3348</v>
      </c>
    </row>
    <row r="275" spans="1:5" x14ac:dyDescent="0.25">
      <c r="A275" s="39">
        <v>4</v>
      </c>
      <c r="B275" s="39">
        <v>1</v>
      </c>
      <c r="C275" s="39">
        <v>1</v>
      </c>
      <c r="D275" s="39">
        <v>0</v>
      </c>
      <c r="E275" s="39">
        <v>3773</v>
      </c>
    </row>
    <row r="276" spans="1:5" x14ac:dyDescent="0.25">
      <c r="A276" s="38">
        <v>4</v>
      </c>
      <c r="B276" s="38">
        <v>0</v>
      </c>
      <c r="C276" s="38">
        <v>1</v>
      </c>
      <c r="D276" s="38">
        <v>0</v>
      </c>
      <c r="E276" s="38">
        <v>3773</v>
      </c>
    </row>
    <row r="277" spans="1:5" x14ac:dyDescent="0.25">
      <c r="A277" s="39">
        <v>2</v>
      </c>
      <c r="B277" s="39">
        <v>1</v>
      </c>
      <c r="C277" s="39">
        <v>0</v>
      </c>
      <c r="D277" s="39">
        <v>1</v>
      </c>
      <c r="E277" s="39">
        <v>2916</v>
      </c>
    </row>
    <row r="278" spans="1:5" x14ac:dyDescent="0.25">
      <c r="A278" s="38">
        <v>5</v>
      </c>
      <c r="B278" s="38">
        <v>1</v>
      </c>
      <c r="C278" s="38">
        <v>0</v>
      </c>
      <c r="D278" s="38">
        <v>0</v>
      </c>
      <c r="E278" s="38">
        <v>3933</v>
      </c>
    </row>
    <row r="279" spans="1:5" x14ac:dyDescent="0.25">
      <c r="A279" s="39">
        <v>5</v>
      </c>
      <c r="B279" s="39">
        <v>1</v>
      </c>
      <c r="C279" s="39">
        <v>0</v>
      </c>
      <c r="D279" s="39">
        <v>1</v>
      </c>
      <c r="E279" s="39">
        <v>1467</v>
      </c>
    </row>
    <row r="280" spans="1:5" x14ac:dyDescent="0.25">
      <c r="A280" s="38">
        <v>5</v>
      </c>
      <c r="B280" s="38">
        <v>1</v>
      </c>
      <c r="C280" s="38">
        <v>1</v>
      </c>
      <c r="D280" s="38">
        <v>0</v>
      </c>
      <c r="E280" s="38">
        <v>1228</v>
      </c>
    </row>
    <row r="281" spans="1:5" x14ac:dyDescent="0.25">
      <c r="A281" s="39">
        <v>3</v>
      </c>
      <c r="B281" s="39">
        <v>1</v>
      </c>
      <c r="C281" s="39">
        <v>1</v>
      </c>
      <c r="D281" s="39">
        <v>0</v>
      </c>
      <c r="E281" s="39">
        <v>3981</v>
      </c>
    </row>
    <row r="282" spans="1:5" x14ac:dyDescent="0.25">
      <c r="A282" s="38">
        <v>4</v>
      </c>
      <c r="B282" s="38">
        <v>0</v>
      </c>
      <c r="C282" s="38">
        <v>0</v>
      </c>
      <c r="D282" s="38">
        <v>1</v>
      </c>
      <c r="E282" s="38">
        <v>188</v>
      </c>
    </row>
    <row r="283" spans="1:5" x14ac:dyDescent="0.25">
      <c r="A283" s="39">
        <v>5</v>
      </c>
      <c r="B283" s="39">
        <v>0</v>
      </c>
      <c r="C283" s="39">
        <v>0</v>
      </c>
      <c r="D283" s="39">
        <v>1</v>
      </c>
      <c r="E283" s="39">
        <v>188</v>
      </c>
    </row>
    <row r="284" spans="1:5" x14ac:dyDescent="0.25">
      <c r="A284" s="38">
        <v>5</v>
      </c>
      <c r="B284" s="38">
        <v>0</v>
      </c>
      <c r="C284" s="38">
        <v>0</v>
      </c>
      <c r="D284" s="38">
        <v>0</v>
      </c>
      <c r="E284" s="38">
        <v>1282</v>
      </c>
    </row>
    <row r="285" spans="1:5" x14ac:dyDescent="0.25">
      <c r="A285" s="39">
        <v>5</v>
      </c>
      <c r="B285" s="39">
        <v>1</v>
      </c>
      <c r="C285" s="39">
        <v>0</v>
      </c>
      <c r="D285" s="39">
        <v>0</v>
      </c>
      <c r="E285" s="39">
        <v>4027</v>
      </c>
    </row>
    <row r="286" spans="1:5" x14ac:dyDescent="0.25">
      <c r="A286" s="38">
        <v>1</v>
      </c>
      <c r="B286" s="38">
        <v>0</v>
      </c>
      <c r="C286" s="38">
        <v>0</v>
      </c>
      <c r="D286" s="38">
        <v>1</v>
      </c>
      <c r="E286" s="38">
        <v>3003</v>
      </c>
    </row>
    <row r="287" spans="1:5" x14ac:dyDescent="0.25">
      <c r="A287" s="39">
        <v>4</v>
      </c>
      <c r="B287" s="39">
        <v>0</v>
      </c>
      <c r="C287" s="39">
        <v>0</v>
      </c>
      <c r="D287" s="39">
        <v>0</v>
      </c>
      <c r="E287" s="39">
        <v>1282</v>
      </c>
    </row>
    <row r="288" spans="1:5" x14ac:dyDescent="0.25">
      <c r="A288" s="38">
        <v>5</v>
      </c>
      <c r="B288" s="38">
        <v>1</v>
      </c>
      <c r="C288" s="38">
        <v>0</v>
      </c>
      <c r="D288" s="38">
        <v>1</v>
      </c>
      <c r="E288" s="38">
        <v>826</v>
      </c>
    </row>
    <row r="289" spans="1:5" x14ac:dyDescent="0.25">
      <c r="A289" s="39">
        <v>5</v>
      </c>
      <c r="B289" s="39">
        <v>0</v>
      </c>
      <c r="C289" s="39">
        <v>1</v>
      </c>
      <c r="D289" s="39">
        <v>0</v>
      </c>
      <c r="E289" s="39">
        <v>315</v>
      </c>
    </row>
    <row r="290" spans="1:5" x14ac:dyDescent="0.25">
      <c r="A290" s="38">
        <v>5</v>
      </c>
      <c r="B290" s="38">
        <v>0</v>
      </c>
      <c r="C290" s="38">
        <v>0</v>
      </c>
      <c r="D290" s="38">
        <v>1</v>
      </c>
      <c r="E290" s="38">
        <v>1467</v>
      </c>
    </row>
    <row r="291" spans="1:5" x14ac:dyDescent="0.25">
      <c r="A291" s="39">
        <v>5</v>
      </c>
      <c r="B291" s="39">
        <v>1</v>
      </c>
      <c r="C291" s="39">
        <v>0</v>
      </c>
      <c r="D291" s="39">
        <v>0</v>
      </c>
      <c r="E291" s="39">
        <v>2959</v>
      </c>
    </row>
    <row r="292" spans="1:5" x14ac:dyDescent="0.25">
      <c r="A292" s="38">
        <v>4</v>
      </c>
      <c r="B292" s="38">
        <v>1</v>
      </c>
      <c r="C292" s="38">
        <v>0</v>
      </c>
      <c r="D292" s="38">
        <v>1</v>
      </c>
      <c r="E292" s="38">
        <v>188</v>
      </c>
    </row>
    <row r="293" spans="1:5" x14ac:dyDescent="0.25">
      <c r="A293" s="39">
        <v>3</v>
      </c>
      <c r="B293" s="39">
        <v>0</v>
      </c>
      <c r="C293" s="39">
        <v>1</v>
      </c>
      <c r="D293" s="39">
        <v>0</v>
      </c>
      <c r="E293" s="39">
        <v>1228</v>
      </c>
    </row>
    <row r="294" spans="1:5" x14ac:dyDescent="0.25">
      <c r="A294" s="38">
        <v>4</v>
      </c>
      <c r="B294" s="38">
        <v>0</v>
      </c>
      <c r="C294" s="38">
        <v>0</v>
      </c>
      <c r="D294" s="38">
        <v>0</v>
      </c>
      <c r="E294" s="38">
        <v>3933</v>
      </c>
    </row>
    <row r="295" spans="1:5" x14ac:dyDescent="0.25">
      <c r="A295" s="39">
        <v>5</v>
      </c>
      <c r="B295" s="39">
        <v>0</v>
      </c>
      <c r="C295" s="39">
        <v>1</v>
      </c>
      <c r="D295" s="39">
        <v>0</v>
      </c>
      <c r="E295" s="39">
        <v>1228</v>
      </c>
    </row>
    <row r="296" spans="1:5" x14ac:dyDescent="0.25">
      <c r="A296" s="38">
        <v>5</v>
      </c>
      <c r="B296" s="38">
        <v>1</v>
      </c>
      <c r="C296" s="38">
        <v>0</v>
      </c>
      <c r="D296" s="38">
        <v>1</v>
      </c>
      <c r="E296" s="38">
        <v>2884</v>
      </c>
    </row>
    <row r="297" spans="1:5" x14ac:dyDescent="0.25">
      <c r="A297" s="39">
        <v>5</v>
      </c>
      <c r="B297" s="39">
        <v>1</v>
      </c>
      <c r="C297" s="39">
        <v>0</v>
      </c>
      <c r="D297" s="39">
        <v>1</v>
      </c>
      <c r="E297" s="39">
        <v>188</v>
      </c>
    </row>
    <row r="298" spans="1:5" x14ac:dyDescent="0.25">
      <c r="A298" s="38">
        <v>2</v>
      </c>
      <c r="B298" s="38">
        <v>1</v>
      </c>
      <c r="C298" s="38">
        <v>0</v>
      </c>
      <c r="D298" s="38">
        <v>0</v>
      </c>
      <c r="E298" s="38">
        <v>1282</v>
      </c>
    </row>
    <row r="299" spans="1:5" x14ac:dyDescent="0.25">
      <c r="A299" s="39">
        <v>5</v>
      </c>
      <c r="B299" s="39">
        <v>1</v>
      </c>
      <c r="C299" s="39">
        <v>0</v>
      </c>
      <c r="D299" s="39">
        <v>1</v>
      </c>
      <c r="E299" s="39">
        <v>188</v>
      </c>
    </row>
    <row r="300" spans="1:5" x14ac:dyDescent="0.25">
      <c r="A300" s="38">
        <v>4</v>
      </c>
      <c r="B300" s="38">
        <v>0</v>
      </c>
      <c r="C300" s="38">
        <v>0</v>
      </c>
      <c r="D300" s="38">
        <v>0</v>
      </c>
      <c r="E300" s="38">
        <v>2959</v>
      </c>
    </row>
    <row r="301" spans="1:5" x14ac:dyDescent="0.25">
      <c r="A301" s="39">
        <v>3</v>
      </c>
      <c r="B301" s="39">
        <v>0</v>
      </c>
      <c r="C301" s="39">
        <v>1</v>
      </c>
      <c r="D301" s="39">
        <v>0</v>
      </c>
      <c r="E301" s="39">
        <v>3773</v>
      </c>
    </row>
    <row r="302" spans="1:5" x14ac:dyDescent="0.25">
      <c r="A302" s="38">
        <v>3</v>
      </c>
      <c r="B302" s="38">
        <v>1</v>
      </c>
      <c r="C302" s="38">
        <v>0</v>
      </c>
      <c r="D302" s="38">
        <v>0</v>
      </c>
      <c r="E302" s="38">
        <v>3025</v>
      </c>
    </row>
    <row r="303" spans="1:5" x14ac:dyDescent="0.25">
      <c r="A303" s="39">
        <v>5</v>
      </c>
      <c r="B303" s="39">
        <v>0</v>
      </c>
      <c r="C303" s="39">
        <v>1</v>
      </c>
      <c r="D303" s="39">
        <v>0</v>
      </c>
      <c r="E303" s="39">
        <v>315</v>
      </c>
    </row>
    <row r="304" spans="1:5" x14ac:dyDescent="0.25">
      <c r="A304" s="38">
        <v>5</v>
      </c>
      <c r="B304" s="38">
        <v>0</v>
      </c>
      <c r="C304" s="38">
        <v>0</v>
      </c>
      <c r="D304" s="38">
        <v>0</v>
      </c>
      <c r="E304" s="38">
        <v>4027</v>
      </c>
    </row>
    <row r="305" spans="1:5" x14ac:dyDescent="0.25">
      <c r="A305" s="39">
        <v>4</v>
      </c>
      <c r="B305" s="39">
        <v>0</v>
      </c>
      <c r="C305" s="39">
        <v>1</v>
      </c>
      <c r="D305" s="39">
        <v>0</v>
      </c>
      <c r="E305" s="39">
        <v>315</v>
      </c>
    </row>
    <row r="306" spans="1:5" x14ac:dyDescent="0.25">
      <c r="A306" s="38">
        <v>4</v>
      </c>
      <c r="B306" s="38">
        <v>1</v>
      </c>
      <c r="C306" s="38">
        <v>0</v>
      </c>
      <c r="D306" s="38">
        <v>1</v>
      </c>
      <c r="E306" s="38">
        <v>3003</v>
      </c>
    </row>
    <row r="307" spans="1:5" x14ac:dyDescent="0.25">
      <c r="A307" s="39">
        <v>4</v>
      </c>
      <c r="B307" s="39">
        <v>1</v>
      </c>
      <c r="C307" s="39">
        <v>0</v>
      </c>
      <c r="D307" s="39">
        <v>1</v>
      </c>
      <c r="E307" s="39">
        <v>1467</v>
      </c>
    </row>
    <row r="308" spans="1:5" x14ac:dyDescent="0.25">
      <c r="A308" s="38">
        <v>5</v>
      </c>
      <c r="B308" s="38">
        <v>0</v>
      </c>
      <c r="C308" s="38">
        <v>0</v>
      </c>
      <c r="D308" s="38">
        <v>0</v>
      </c>
      <c r="E308" s="38">
        <v>2959</v>
      </c>
    </row>
    <row r="309" spans="1:5" x14ac:dyDescent="0.25">
      <c r="A309" s="39">
        <v>3</v>
      </c>
      <c r="B309" s="39">
        <v>1</v>
      </c>
      <c r="C309" s="39">
        <v>1</v>
      </c>
      <c r="D309" s="39">
        <v>0</v>
      </c>
      <c r="E309" s="39">
        <v>787</v>
      </c>
    </row>
    <row r="310" spans="1:5" x14ac:dyDescent="0.25">
      <c r="A310" s="38">
        <v>5</v>
      </c>
      <c r="B310" s="38">
        <v>0</v>
      </c>
      <c r="C310" s="38">
        <v>0</v>
      </c>
      <c r="D310" s="38">
        <v>0</v>
      </c>
      <c r="E310" s="38">
        <v>2034</v>
      </c>
    </row>
    <row r="311" spans="1:5" x14ac:dyDescent="0.25">
      <c r="A311" s="39">
        <v>3</v>
      </c>
      <c r="B311" s="39">
        <v>0</v>
      </c>
      <c r="C311" s="39">
        <v>1</v>
      </c>
      <c r="D311" s="39">
        <v>0</v>
      </c>
      <c r="E311" s="39">
        <v>716</v>
      </c>
    </row>
    <row r="312" spans="1:5" x14ac:dyDescent="0.25">
      <c r="A312" s="38">
        <v>4</v>
      </c>
      <c r="B312" s="38">
        <v>0</v>
      </c>
      <c r="C312" s="38">
        <v>1</v>
      </c>
      <c r="D312" s="38">
        <v>0</v>
      </c>
      <c r="E312" s="38">
        <v>1228</v>
      </c>
    </row>
    <row r="313" spans="1:5" x14ac:dyDescent="0.25">
      <c r="A313" s="39">
        <v>3</v>
      </c>
      <c r="B313" s="39">
        <v>0</v>
      </c>
      <c r="C313" s="39">
        <v>0</v>
      </c>
      <c r="D313" s="39">
        <v>1</v>
      </c>
      <c r="E313" s="39">
        <v>2884</v>
      </c>
    </row>
    <row r="314" spans="1:5" x14ac:dyDescent="0.25">
      <c r="A314" s="38">
        <v>4</v>
      </c>
      <c r="B314" s="38">
        <v>1</v>
      </c>
      <c r="C314" s="38">
        <v>0</v>
      </c>
      <c r="D314" s="38">
        <v>0</v>
      </c>
      <c r="E314" s="38">
        <v>3025</v>
      </c>
    </row>
    <row r="315" spans="1:5" x14ac:dyDescent="0.25">
      <c r="A315" s="39">
        <v>5</v>
      </c>
      <c r="B315" s="39">
        <v>1</v>
      </c>
      <c r="C315" s="39">
        <v>0</v>
      </c>
      <c r="D315" s="39">
        <v>0</v>
      </c>
      <c r="E315" s="39">
        <v>2034</v>
      </c>
    </row>
    <row r="316" spans="1:5" x14ac:dyDescent="0.25">
      <c r="A316" s="38">
        <v>3</v>
      </c>
      <c r="B316" s="38">
        <v>0</v>
      </c>
      <c r="C316" s="38">
        <v>1</v>
      </c>
      <c r="D316" s="38">
        <v>0</v>
      </c>
      <c r="E316" s="38">
        <v>315</v>
      </c>
    </row>
    <row r="317" spans="1:5" x14ac:dyDescent="0.25">
      <c r="A317" s="39">
        <v>5</v>
      </c>
      <c r="B317" s="39">
        <v>0</v>
      </c>
      <c r="C317" s="39">
        <v>0</v>
      </c>
      <c r="D317" s="39">
        <v>0</v>
      </c>
      <c r="E317" s="39">
        <v>2034</v>
      </c>
    </row>
    <row r="318" spans="1:5" x14ac:dyDescent="0.25">
      <c r="A318" s="38">
        <v>5</v>
      </c>
      <c r="B318" s="38">
        <v>0</v>
      </c>
      <c r="C318" s="38">
        <v>0</v>
      </c>
      <c r="D318" s="38">
        <v>0</v>
      </c>
      <c r="E318" s="38">
        <v>2959</v>
      </c>
    </row>
    <row r="319" spans="1:5" x14ac:dyDescent="0.25">
      <c r="A319" s="39">
        <v>4</v>
      </c>
      <c r="B319" s="39">
        <v>1</v>
      </c>
      <c r="C319" s="39">
        <v>1</v>
      </c>
      <c r="D319" s="39">
        <v>0</v>
      </c>
      <c r="E319" s="39">
        <v>787</v>
      </c>
    </row>
    <row r="320" spans="1:5" x14ac:dyDescent="0.25">
      <c r="A320" s="38">
        <v>4</v>
      </c>
      <c r="B320" s="38">
        <v>1</v>
      </c>
      <c r="C320" s="38">
        <v>1</v>
      </c>
      <c r="D320" s="38">
        <v>0</v>
      </c>
      <c r="E320" s="38">
        <v>1228</v>
      </c>
    </row>
    <row r="321" spans="1:5" x14ac:dyDescent="0.25">
      <c r="A321" s="39">
        <v>4</v>
      </c>
      <c r="B321" s="39">
        <v>1</v>
      </c>
      <c r="C321" s="39">
        <v>0</v>
      </c>
      <c r="D321" s="39">
        <v>0</v>
      </c>
      <c r="E321" s="39">
        <v>2034</v>
      </c>
    </row>
    <row r="322" spans="1:5" x14ac:dyDescent="0.25">
      <c r="A322" s="38">
        <v>3</v>
      </c>
      <c r="B322" s="38">
        <v>1</v>
      </c>
      <c r="C322" s="38">
        <v>1</v>
      </c>
      <c r="D322" s="38">
        <v>0</v>
      </c>
      <c r="E322" s="38">
        <v>3981</v>
      </c>
    </row>
    <row r="323" spans="1:5" x14ac:dyDescent="0.25">
      <c r="A323" s="39">
        <v>5</v>
      </c>
      <c r="B323" s="39">
        <v>0</v>
      </c>
      <c r="C323" s="39">
        <v>0</v>
      </c>
      <c r="D323" s="39">
        <v>0</v>
      </c>
      <c r="E323" s="39">
        <v>3025</v>
      </c>
    </row>
    <row r="324" spans="1:5" x14ac:dyDescent="0.25">
      <c r="A324" s="38">
        <v>5</v>
      </c>
      <c r="B324" s="38">
        <v>0</v>
      </c>
      <c r="C324" s="38">
        <v>0</v>
      </c>
      <c r="D324" s="38">
        <v>0</v>
      </c>
      <c r="E324" s="38">
        <v>3025</v>
      </c>
    </row>
    <row r="325" spans="1:5" x14ac:dyDescent="0.25">
      <c r="A325" s="39">
        <v>5</v>
      </c>
      <c r="B325" s="39">
        <v>1</v>
      </c>
      <c r="C325" s="39">
        <v>0</v>
      </c>
      <c r="D325" s="39">
        <v>0</v>
      </c>
      <c r="E325" s="39">
        <v>3933</v>
      </c>
    </row>
    <row r="326" spans="1:5" x14ac:dyDescent="0.25">
      <c r="A326" s="38">
        <v>4</v>
      </c>
      <c r="B326" s="38">
        <v>0</v>
      </c>
      <c r="C326" s="38">
        <v>0</v>
      </c>
      <c r="D326" s="38">
        <v>1</v>
      </c>
      <c r="E326" s="38">
        <v>1467</v>
      </c>
    </row>
    <row r="327" spans="1:5" x14ac:dyDescent="0.25">
      <c r="A327" s="39">
        <v>4</v>
      </c>
      <c r="B327" s="39">
        <v>1</v>
      </c>
      <c r="C327" s="39">
        <v>0</v>
      </c>
      <c r="D327" s="39">
        <v>1</v>
      </c>
      <c r="E327" s="39">
        <v>3003</v>
      </c>
    </row>
    <row r="328" spans="1:5" x14ac:dyDescent="0.25">
      <c r="A328" s="38">
        <v>4</v>
      </c>
      <c r="B328" s="38">
        <v>0</v>
      </c>
      <c r="C328" s="38">
        <v>1</v>
      </c>
      <c r="D328" s="38">
        <v>0</v>
      </c>
      <c r="E328" s="38">
        <v>1228</v>
      </c>
    </row>
    <row r="329" spans="1:5" x14ac:dyDescent="0.25">
      <c r="A329" s="39">
        <v>5</v>
      </c>
      <c r="B329" s="39">
        <v>0</v>
      </c>
      <c r="C329" s="39">
        <v>0</v>
      </c>
      <c r="D329" s="39">
        <v>0</v>
      </c>
      <c r="E329" s="39">
        <v>2959</v>
      </c>
    </row>
    <row r="330" spans="1:5" x14ac:dyDescent="0.25">
      <c r="A330" s="38">
        <v>4</v>
      </c>
      <c r="B330" s="38">
        <v>0</v>
      </c>
      <c r="C330" s="38">
        <v>0</v>
      </c>
      <c r="D330" s="38">
        <v>1</v>
      </c>
      <c r="E330" s="38">
        <v>3003</v>
      </c>
    </row>
    <row r="331" spans="1:5" x14ac:dyDescent="0.25">
      <c r="A331" s="39">
        <v>2</v>
      </c>
      <c r="B331" s="39">
        <v>0</v>
      </c>
      <c r="C331" s="39">
        <v>1</v>
      </c>
      <c r="D331" s="39">
        <v>0</v>
      </c>
      <c r="E331" s="39">
        <v>3773</v>
      </c>
    </row>
    <row r="332" spans="1:5" x14ac:dyDescent="0.25">
      <c r="A332" s="38">
        <v>3</v>
      </c>
      <c r="B332" s="38">
        <v>0</v>
      </c>
      <c r="C332" s="38">
        <v>1</v>
      </c>
      <c r="D332" s="38">
        <v>0</v>
      </c>
      <c r="E332" s="38">
        <v>315</v>
      </c>
    </row>
    <row r="333" spans="1:5" x14ac:dyDescent="0.25">
      <c r="A333" s="39">
        <v>4</v>
      </c>
      <c r="B333" s="39">
        <v>1</v>
      </c>
      <c r="C333" s="39">
        <v>0</v>
      </c>
      <c r="D333" s="39">
        <v>0</v>
      </c>
      <c r="E333" s="39">
        <v>1282</v>
      </c>
    </row>
    <row r="334" spans="1:5" x14ac:dyDescent="0.25">
      <c r="A334" s="38">
        <v>4</v>
      </c>
      <c r="B334" s="38">
        <v>1</v>
      </c>
      <c r="C334" s="38">
        <v>0</v>
      </c>
      <c r="D334" s="38">
        <v>0</v>
      </c>
      <c r="E334" s="38">
        <v>4027</v>
      </c>
    </row>
    <row r="335" spans="1:5" x14ac:dyDescent="0.25">
      <c r="A335" s="39">
        <v>4</v>
      </c>
      <c r="B335" s="39">
        <v>1</v>
      </c>
      <c r="C335" s="39">
        <v>0</v>
      </c>
      <c r="D335" s="39">
        <v>1</v>
      </c>
      <c r="E335" s="39">
        <v>826</v>
      </c>
    </row>
    <row r="336" spans="1:5" x14ac:dyDescent="0.25">
      <c r="A336" s="38">
        <v>5</v>
      </c>
      <c r="B336" s="38">
        <v>0</v>
      </c>
      <c r="C336" s="38">
        <v>1</v>
      </c>
      <c r="D336" s="38">
        <v>0</v>
      </c>
      <c r="E336" s="38">
        <v>716</v>
      </c>
    </row>
    <row r="337" spans="1:5" x14ac:dyDescent="0.25">
      <c r="A337" s="39">
        <v>5</v>
      </c>
      <c r="B337" s="39">
        <v>1</v>
      </c>
      <c r="C337" s="39">
        <v>0</v>
      </c>
      <c r="D337" s="39">
        <v>0</v>
      </c>
      <c r="E337" s="39">
        <v>2034</v>
      </c>
    </row>
    <row r="338" spans="1:5" x14ac:dyDescent="0.25">
      <c r="A338" s="38">
        <v>4</v>
      </c>
      <c r="B338" s="38">
        <v>0</v>
      </c>
      <c r="C338" s="38">
        <v>0</v>
      </c>
      <c r="D338" s="38">
        <v>0</v>
      </c>
      <c r="E338" s="38">
        <v>2034</v>
      </c>
    </row>
    <row r="339" spans="1:5" x14ac:dyDescent="0.25">
      <c r="A339" s="39">
        <v>2</v>
      </c>
      <c r="B339" s="39">
        <v>0</v>
      </c>
      <c r="C339" s="39">
        <v>0</v>
      </c>
      <c r="D339" s="39">
        <v>1</v>
      </c>
      <c r="E339" s="39">
        <v>188</v>
      </c>
    </row>
    <row r="340" spans="1:5" x14ac:dyDescent="0.25">
      <c r="A340" s="38">
        <v>4</v>
      </c>
      <c r="B340" s="38">
        <v>0</v>
      </c>
      <c r="C340" s="38">
        <v>1</v>
      </c>
      <c r="D340" s="38">
        <v>0</v>
      </c>
      <c r="E340" s="38">
        <v>3773</v>
      </c>
    </row>
    <row r="341" spans="1:5" x14ac:dyDescent="0.25">
      <c r="A341" s="39">
        <v>4</v>
      </c>
      <c r="B341" s="39">
        <v>1</v>
      </c>
      <c r="C341" s="39">
        <v>1</v>
      </c>
      <c r="D341" s="39">
        <v>0</v>
      </c>
      <c r="E341" s="39">
        <v>3773</v>
      </c>
    </row>
    <row r="342" spans="1:5" x14ac:dyDescent="0.25">
      <c r="A342" s="38">
        <v>5</v>
      </c>
      <c r="B342" s="38">
        <v>0</v>
      </c>
      <c r="C342" s="38">
        <v>0</v>
      </c>
      <c r="D342" s="38">
        <v>1</v>
      </c>
      <c r="E342" s="38">
        <v>826</v>
      </c>
    </row>
    <row r="343" spans="1:5" x14ac:dyDescent="0.25">
      <c r="A343" s="39">
        <v>5</v>
      </c>
      <c r="B343" s="39">
        <v>0</v>
      </c>
      <c r="C343" s="39">
        <v>0</v>
      </c>
      <c r="D343" s="39">
        <v>0</v>
      </c>
      <c r="E343" s="39">
        <v>2700</v>
      </c>
    </row>
    <row r="344" spans="1:5" x14ac:dyDescent="0.25">
      <c r="A344" s="38">
        <v>4</v>
      </c>
      <c r="B344" s="38">
        <v>1</v>
      </c>
      <c r="C344" s="38">
        <v>0</v>
      </c>
      <c r="D344" s="38">
        <v>1</v>
      </c>
      <c r="E344" s="38">
        <v>2884</v>
      </c>
    </row>
    <row r="345" spans="1:5" x14ac:dyDescent="0.25">
      <c r="A345" s="39">
        <v>5</v>
      </c>
      <c r="B345" s="39">
        <v>0</v>
      </c>
      <c r="C345" s="39">
        <v>1</v>
      </c>
      <c r="D345" s="39">
        <v>0</v>
      </c>
      <c r="E345" s="39">
        <v>1228</v>
      </c>
    </row>
    <row r="346" spans="1:5" x14ac:dyDescent="0.25">
      <c r="A346" s="38">
        <v>5</v>
      </c>
      <c r="B346" s="38">
        <v>0</v>
      </c>
      <c r="C346" s="38">
        <v>0</v>
      </c>
      <c r="D346" s="38">
        <v>0</v>
      </c>
      <c r="E346" s="38">
        <v>2034</v>
      </c>
    </row>
    <row r="347" spans="1:5" x14ac:dyDescent="0.25">
      <c r="A347" s="39">
        <v>5</v>
      </c>
      <c r="B347" s="39">
        <v>1</v>
      </c>
      <c r="C347" s="39">
        <v>0</v>
      </c>
      <c r="D347" s="39">
        <v>1</v>
      </c>
      <c r="E347" s="39">
        <v>2916</v>
      </c>
    </row>
    <row r="348" spans="1:5" x14ac:dyDescent="0.25">
      <c r="A348" s="38">
        <v>5</v>
      </c>
      <c r="B348" s="38">
        <v>1</v>
      </c>
      <c r="C348" s="38">
        <v>0</v>
      </c>
      <c r="D348" s="38">
        <v>0</v>
      </c>
      <c r="E348" s="38">
        <v>2700</v>
      </c>
    </row>
    <row r="349" spans="1:5" x14ac:dyDescent="0.25">
      <c r="A349" s="39">
        <v>5</v>
      </c>
      <c r="B349" s="39">
        <v>1</v>
      </c>
      <c r="C349" s="39">
        <v>0</v>
      </c>
      <c r="D349" s="39">
        <v>0</v>
      </c>
      <c r="E349" s="39">
        <v>4027</v>
      </c>
    </row>
    <row r="350" spans="1:5" x14ac:dyDescent="0.25">
      <c r="A350" s="38">
        <v>5</v>
      </c>
      <c r="B350" s="38">
        <v>1</v>
      </c>
      <c r="C350" s="38">
        <v>0</v>
      </c>
      <c r="D350" s="38">
        <v>0</v>
      </c>
      <c r="E350" s="38">
        <v>3933</v>
      </c>
    </row>
    <row r="351" spans="1:5" x14ac:dyDescent="0.25">
      <c r="A351" s="39">
        <v>3</v>
      </c>
      <c r="B351" s="39">
        <v>1</v>
      </c>
      <c r="C351" s="39">
        <v>0</v>
      </c>
      <c r="D351" s="39">
        <v>1</v>
      </c>
      <c r="E351" s="39">
        <v>1467</v>
      </c>
    </row>
    <row r="352" spans="1:5" x14ac:dyDescent="0.25">
      <c r="A352" s="38">
        <v>3</v>
      </c>
      <c r="B352" s="38">
        <v>0</v>
      </c>
      <c r="C352" s="38">
        <v>1</v>
      </c>
      <c r="D352" s="38">
        <v>0</v>
      </c>
      <c r="E352" s="38">
        <v>3773</v>
      </c>
    </row>
    <row r="353" spans="1:5" x14ac:dyDescent="0.25">
      <c r="A353" s="39">
        <v>5</v>
      </c>
      <c r="B353" s="39">
        <v>0</v>
      </c>
      <c r="C353" s="39">
        <v>0</v>
      </c>
      <c r="D353" s="39">
        <v>0</v>
      </c>
      <c r="E353" s="39">
        <v>3933</v>
      </c>
    </row>
    <row r="354" spans="1:5" x14ac:dyDescent="0.25">
      <c r="A354" s="38">
        <v>5</v>
      </c>
      <c r="B354" s="38">
        <v>1</v>
      </c>
      <c r="C354" s="38">
        <v>0</v>
      </c>
      <c r="D354" s="38">
        <v>0</v>
      </c>
      <c r="E354" s="38">
        <v>1282</v>
      </c>
    </row>
    <row r="355" spans="1:5" x14ac:dyDescent="0.25">
      <c r="A355" s="39">
        <v>5</v>
      </c>
      <c r="B355" s="39">
        <v>0</v>
      </c>
      <c r="C355" s="39">
        <v>1</v>
      </c>
      <c r="D355" s="39">
        <v>0</v>
      </c>
      <c r="E355" s="39">
        <v>3773</v>
      </c>
    </row>
    <row r="356" spans="1:5" x14ac:dyDescent="0.25">
      <c r="A356" s="38">
        <v>5</v>
      </c>
      <c r="B356" s="38">
        <v>0</v>
      </c>
      <c r="C356" s="38">
        <v>0</v>
      </c>
      <c r="D356" s="38">
        <v>0</v>
      </c>
      <c r="E356" s="38">
        <v>2959</v>
      </c>
    </row>
    <row r="357" spans="1:5" x14ac:dyDescent="0.25">
      <c r="A357" s="39">
        <v>2</v>
      </c>
      <c r="B357" s="39">
        <v>0</v>
      </c>
      <c r="C357" s="39">
        <v>0</v>
      </c>
      <c r="D357" s="39">
        <v>1</v>
      </c>
      <c r="E357" s="39">
        <v>3003</v>
      </c>
    </row>
    <row r="358" spans="1:5" x14ac:dyDescent="0.25">
      <c r="A358" s="38">
        <v>2</v>
      </c>
      <c r="B358" s="38">
        <v>0</v>
      </c>
      <c r="C358" s="38">
        <v>0</v>
      </c>
      <c r="D358" s="38">
        <v>1</v>
      </c>
      <c r="E358" s="38">
        <v>188</v>
      </c>
    </row>
    <row r="359" spans="1:5" x14ac:dyDescent="0.25">
      <c r="A359" s="39">
        <v>4</v>
      </c>
      <c r="B359" s="39">
        <v>1</v>
      </c>
      <c r="C359" s="39">
        <v>0</v>
      </c>
      <c r="D359" s="39">
        <v>0</v>
      </c>
      <c r="E359" s="39">
        <v>4027</v>
      </c>
    </row>
    <row r="360" spans="1:5" x14ac:dyDescent="0.25">
      <c r="A360" s="38">
        <v>5</v>
      </c>
      <c r="B360" s="38">
        <v>1</v>
      </c>
      <c r="C360" s="38">
        <v>0</v>
      </c>
      <c r="D360" s="38">
        <v>0</v>
      </c>
      <c r="E360" s="38">
        <v>2700</v>
      </c>
    </row>
    <row r="361" spans="1:5" x14ac:dyDescent="0.25">
      <c r="A361" s="39">
        <v>1</v>
      </c>
      <c r="B361" s="39">
        <v>0</v>
      </c>
      <c r="C361" s="39">
        <v>1</v>
      </c>
      <c r="D361" s="39">
        <v>0</v>
      </c>
      <c r="E361" s="39">
        <v>3773</v>
      </c>
    </row>
    <row r="362" spans="1:5" x14ac:dyDescent="0.25">
      <c r="A362" s="38">
        <v>4</v>
      </c>
      <c r="B362" s="38">
        <v>0</v>
      </c>
      <c r="C362" s="38">
        <v>1</v>
      </c>
      <c r="D362" s="38">
        <v>0</v>
      </c>
      <c r="E362" s="38">
        <v>716</v>
      </c>
    </row>
    <row r="363" spans="1:5" x14ac:dyDescent="0.25">
      <c r="A363" s="39">
        <v>5</v>
      </c>
      <c r="B363" s="39">
        <v>1</v>
      </c>
      <c r="C363" s="39">
        <v>0</v>
      </c>
      <c r="D363" s="39">
        <v>0</v>
      </c>
      <c r="E363" s="39">
        <v>2700</v>
      </c>
    </row>
    <row r="364" spans="1:5" x14ac:dyDescent="0.25">
      <c r="A364" s="38">
        <v>4</v>
      </c>
      <c r="B364" s="38">
        <v>1</v>
      </c>
      <c r="C364" s="38">
        <v>0</v>
      </c>
      <c r="D364" s="38">
        <v>0</v>
      </c>
      <c r="E364" s="38">
        <v>3348</v>
      </c>
    </row>
    <row r="365" spans="1:5" x14ac:dyDescent="0.25">
      <c r="A365" s="39">
        <v>4</v>
      </c>
      <c r="B365" s="39">
        <v>1</v>
      </c>
      <c r="C365" s="39">
        <v>0</v>
      </c>
      <c r="D365" s="39">
        <v>0</v>
      </c>
      <c r="E365" s="39">
        <v>3348</v>
      </c>
    </row>
    <row r="366" spans="1:5" x14ac:dyDescent="0.25">
      <c r="A366" s="38">
        <v>5</v>
      </c>
      <c r="B366" s="38">
        <v>0</v>
      </c>
      <c r="C366" s="38">
        <v>1</v>
      </c>
      <c r="D366" s="38">
        <v>0</v>
      </c>
      <c r="E366" s="38">
        <v>787</v>
      </c>
    </row>
    <row r="367" spans="1:5" x14ac:dyDescent="0.25">
      <c r="A367" s="39">
        <v>2</v>
      </c>
      <c r="B367" s="39">
        <v>0</v>
      </c>
      <c r="C367" s="39">
        <v>1</v>
      </c>
      <c r="D367" s="39">
        <v>0</v>
      </c>
      <c r="E367" s="39">
        <v>315</v>
      </c>
    </row>
    <row r="368" spans="1:5" x14ac:dyDescent="0.25">
      <c r="A368" s="38">
        <v>5</v>
      </c>
      <c r="B368" s="38">
        <v>0</v>
      </c>
      <c r="C368" s="38">
        <v>0</v>
      </c>
      <c r="D368" s="38">
        <v>0</v>
      </c>
      <c r="E368" s="38">
        <v>3933</v>
      </c>
    </row>
    <row r="369" spans="1:5" x14ac:dyDescent="0.25">
      <c r="A369" s="39">
        <v>2</v>
      </c>
      <c r="B369" s="39">
        <v>0</v>
      </c>
      <c r="C369" s="39">
        <v>0</v>
      </c>
      <c r="D369" s="39">
        <v>0</v>
      </c>
      <c r="E369" s="39">
        <v>2700</v>
      </c>
    </row>
    <row r="370" spans="1:5" x14ac:dyDescent="0.25">
      <c r="A370" s="38">
        <v>2</v>
      </c>
      <c r="B370" s="38">
        <v>0</v>
      </c>
      <c r="C370" s="38">
        <v>1</v>
      </c>
      <c r="D370" s="38">
        <v>0</v>
      </c>
      <c r="E370" s="38">
        <v>3773</v>
      </c>
    </row>
    <row r="371" spans="1:5" x14ac:dyDescent="0.25">
      <c r="A371" s="39">
        <v>5</v>
      </c>
      <c r="B371" s="39">
        <v>0</v>
      </c>
      <c r="C371" s="39">
        <v>1</v>
      </c>
      <c r="D371" s="39">
        <v>0</v>
      </c>
      <c r="E371" s="39">
        <v>732</v>
      </c>
    </row>
    <row r="372" spans="1:5" x14ac:dyDescent="0.25">
      <c r="A372" s="38">
        <v>4</v>
      </c>
      <c r="B372" s="38">
        <v>0</v>
      </c>
      <c r="C372" s="38">
        <v>1</v>
      </c>
      <c r="D372" s="38">
        <v>0</v>
      </c>
      <c r="E372" s="38">
        <v>787</v>
      </c>
    </row>
    <row r="373" spans="1:5" x14ac:dyDescent="0.25">
      <c r="A373" s="39">
        <v>5</v>
      </c>
      <c r="B373" s="39">
        <v>0</v>
      </c>
      <c r="C373" s="39">
        <v>0</v>
      </c>
      <c r="D373" s="39">
        <v>0</v>
      </c>
      <c r="E373" s="39">
        <v>1282</v>
      </c>
    </row>
    <row r="374" spans="1:5" x14ac:dyDescent="0.25">
      <c r="A374" s="38">
        <v>4</v>
      </c>
      <c r="B374" s="38">
        <v>0</v>
      </c>
      <c r="C374" s="38">
        <v>0</v>
      </c>
      <c r="D374" s="38">
        <v>1</v>
      </c>
      <c r="E374" s="38">
        <v>826</v>
      </c>
    </row>
    <row r="375" spans="1:5" x14ac:dyDescent="0.25">
      <c r="E375" s="39">
        <v>2884</v>
      </c>
    </row>
  </sheetData>
  <pageMargins left="0.7" right="0.7" top="0.75" bottom="0.75" header="0.3" footer="0.3"/>
  <legacyDrawing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5C798-5852-44AB-92C3-471FAD27F334}">
  <sheetPr codeName="Sheet36">
    <tabColor rgb="FFC00000"/>
  </sheetPr>
  <dimension ref="B1:CV81"/>
  <sheetViews>
    <sheetView showGridLines="0" topLeftCell="A49" workbookViewId="0">
      <selection activeCell="F27" sqref="F27:I27"/>
    </sheetView>
  </sheetViews>
  <sheetFormatPr defaultRowHeight="15" x14ac:dyDescent="0.25"/>
  <cols>
    <col min="3" max="3" width="31" bestFit="1" customWidth="1"/>
    <col min="4" max="4" width="73.7109375" customWidth="1"/>
    <col min="5" max="5" width="27" customWidth="1"/>
    <col min="6" max="6" width="27.140625" customWidth="1"/>
    <col min="7" max="7" width="15.7109375" customWidth="1"/>
    <col min="8" max="8" width="11.85546875" customWidth="1"/>
    <col min="9" max="9" width="12" bestFit="1" customWidth="1"/>
    <col min="10" max="10" width="10.7109375" bestFit="1" customWidth="1"/>
    <col min="14" max="14" width="15.5703125" bestFit="1" customWidth="1"/>
  </cols>
  <sheetData>
    <row r="1" spans="2:100" ht="18.75" x14ac:dyDescent="0.3">
      <c r="B1" s="6" t="s">
        <v>734</v>
      </c>
      <c r="N1" t="s">
        <v>822</v>
      </c>
      <c r="CV1" s="12" t="s">
        <v>748</v>
      </c>
    </row>
    <row r="3" spans="2:100" ht="15.75" x14ac:dyDescent="0.25">
      <c r="B3" s="13" t="s">
        <v>147</v>
      </c>
      <c r="C3" s="14"/>
      <c r="D3" s="14"/>
      <c r="E3" s="14"/>
      <c r="F3" s="14"/>
      <c r="G3" s="14"/>
      <c r="H3" s="14"/>
      <c r="I3" s="14"/>
      <c r="J3" s="14"/>
      <c r="K3" s="15"/>
      <c r="N3" s="13" t="s">
        <v>148</v>
      </c>
      <c r="O3" s="14"/>
      <c r="P3" s="14"/>
      <c r="Q3" s="15"/>
    </row>
    <row r="4" spans="2:100" x14ac:dyDescent="0.25">
      <c r="B4" s="25" t="s">
        <v>153</v>
      </c>
      <c r="C4" s="21"/>
      <c r="D4" s="25" t="s">
        <v>720</v>
      </c>
      <c r="E4" s="21"/>
      <c r="F4" s="25" t="s">
        <v>721</v>
      </c>
      <c r="G4" s="21"/>
      <c r="H4" s="25" t="s">
        <v>722</v>
      </c>
      <c r="I4" s="21"/>
      <c r="J4" s="25" t="s">
        <v>645</v>
      </c>
      <c r="K4" s="21"/>
      <c r="N4" s="11" t="s">
        <v>149</v>
      </c>
      <c r="O4" s="11" t="s">
        <v>150</v>
      </c>
      <c r="P4" s="11" t="s">
        <v>151</v>
      </c>
      <c r="Q4" s="11" t="s">
        <v>152</v>
      </c>
    </row>
    <row r="5" spans="2:100" x14ac:dyDescent="0.25">
      <c r="B5" s="25" t="s">
        <v>723</v>
      </c>
      <c r="C5" s="21"/>
      <c r="D5" s="25" t="s">
        <v>830</v>
      </c>
      <c r="E5" s="21"/>
      <c r="F5" s="25" t="s">
        <v>724</v>
      </c>
      <c r="G5" s="21"/>
      <c r="H5" s="25" t="s">
        <v>831</v>
      </c>
      <c r="I5" s="21"/>
      <c r="J5" s="19"/>
      <c r="K5" s="21"/>
      <c r="N5" s="10">
        <v>16</v>
      </c>
      <c r="O5" s="10">
        <v>6</v>
      </c>
      <c r="P5" s="10">
        <v>10</v>
      </c>
      <c r="Q5" s="10">
        <v>32</v>
      </c>
    </row>
    <row r="10" spans="2:100" ht="18.75" x14ac:dyDescent="0.3">
      <c r="B10" s="7" t="s">
        <v>153</v>
      </c>
    </row>
    <row r="12" spans="2:100" ht="15.75" x14ac:dyDescent="0.25">
      <c r="C12" s="13" t="s">
        <v>154</v>
      </c>
      <c r="D12" s="14"/>
      <c r="E12" s="14"/>
      <c r="F12" s="14"/>
      <c r="G12" s="14"/>
      <c r="H12" s="14"/>
      <c r="I12" s="14"/>
      <c r="J12" s="14"/>
      <c r="K12" s="15"/>
    </row>
    <row r="13" spans="2:100" x14ac:dyDescent="0.25">
      <c r="C13" s="16" t="s">
        <v>155</v>
      </c>
      <c r="D13" s="17"/>
      <c r="E13" s="17"/>
      <c r="F13" s="18"/>
      <c r="G13" s="22" t="s">
        <v>156</v>
      </c>
      <c r="H13" s="23"/>
      <c r="I13" s="23"/>
      <c r="J13" s="23"/>
      <c r="K13" s="24"/>
    </row>
    <row r="14" spans="2:100" x14ac:dyDescent="0.25">
      <c r="C14" s="16" t="s">
        <v>157</v>
      </c>
      <c r="D14" s="17"/>
      <c r="E14" s="17"/>
      <c r="F14" s="18"/>
      <c r="G14" s="22" t="s">
        <v>819</v>
      </c>
      <c r="H14" s="23"/>
      <c r="I14" s="23"/>
      <c r="J14" s="23"/>
      <c r="K14" s="24"/>
    </row>
    <row r="15" spans="2:100" x14ac:dyDescent="0.25">
      <c r="C15" s="16" t="s">
        <v>735</v>
      </c>
      <c r="D15" s="17"/>
      <c r="E15" s="17"/>
      <c r="F15" s="18"/>
      <c r="G15" s="22" t="s">
        <v>820</v>
      </c>
      <c r="H15" s="23"/>
      <c r="I15" s="23"/>
      <c r="J15" s="23"/>
      <c r="K15" s="24"/>
    </row>
    <row r="16" spans="2:100" x14ac:dyDescent="0.25">
      <c r="C16" s="16" t="s">
        <v>736</v>
      </c>
      <c r="D16" s="17"/>
      <c r="E16" s="17"/>
      <c r="F16" s="18"/>
      <c r="G16" s="22">
        <v>373</v>
      </c>
      <c r="H16" s="23"/>
      <c r="I16" s="23"/>
      <c r="J16" s="23"/>
      <c r="K16" s="24"/>
    </row>
    <row r="17" spans="3:11" x14ac:dyDescent="0.25">
      <c r="C17" s="16" t="s">
        <v>737</v>
      </c>
      <c r="D17" s="17"/>
      <c r="E17" s="17"/>
      <c r="F17" s="18"/>
      <c r="G17" s="22" t="s">
        <v>821</v>
      </c>
      <c r="H17" s="23"/>
      <c r="I17" s="23"/>
      <c r="J17" s="23"/>
      <c r="K17" s="24"/>
    </row>
    <row r="18" spans="3:11" x14ac:dyDescent="0.25">
      <c r="C18" s="16" t="s">
        <v>738</v>
      </c>
      <c r="D18" s="17"/>
      <c r="E18" s="17"/>
      <c r="F18" s="18"/>
      <c r="G18" s="22">
        <v>93</v>
      </c>
      <c r="H18" s="23"/>
      <c r="I18" s="23"/>
      <c r="J18" s="23"/>
      <c r="K18" s="24"/>
    </row>
    <row r="20" spans="3:11" ht="15.75" x14ac:dyDescent="0.25">
      <c r="C20" s="13" t="s">
        <v>161</v>
      </c>
      <c r="D20" s="14"/>
      <c r="E20" s="14"/>
      <c r="F20" s="14"/>
      <c r="G20" s="14"/>
      <c r="H20" s="15"/>
    </row>
    <row r="21" spans="3:11" x14ac:dyDescent="0.25">
      <c r="C21" s="16" t="s">
        <v>739</v>
      </c>
      <c r="D21" s="18"/>
      <c r="E21" s="22">
        <v>4</v>
      </c>
      <c r="F21" s="23"/>
      <c r="G21" s="23"/>
      <c r="H21" s="24"/>
    </row>
    <row r="22" spans="3:11" x14ac:dyDescent="0.25">
      <c r="C22" s="16" t="s">
        <v>740</v>
      </c>
      <c r="D22" s="18"/>
      <c r="E22" s="10" t="s">
        <v>15</v>
      </c>
      <c r="F22" s="10" t="s">
        <v>139</v>
      </c>
      <c r="G22" s="10" t="s">
        <v>140</v>
      </c>
      <c r="H22" s="10" t="s">
        <v>141</v>
      </c>
    </row>
    <row r="23" spans="3:11" x14ac:dyDescent="0.25">
      <c r="C23" s="16" t="s">
        <v>741</v>
      </c>
      <c r="D23" s="18"/>
      <c r="E23" s="10"/>
      <c r="F23" s="10"/>
      <c r="G23" s="10"/>
      <c r="H23" s="10"/>
    </row>
    <row r="24" spans="3:11" x14ac:dyDescent="0.25">
      <c r="C24" s="16" t="s">
        <v>742</v>
      </c>
      <c r="D24" s="18"/>
      <c r="E24" s="19" t="s">
        <v>4</v>
      </c>
      <c r="F24" s="20"/>
      <c r="G24" s="20"/>
      <c r="H24" s="21"/>
    </row>
    <row r="26" spans="3:11" ht="15.75" x14ac:dyDescent="0.25">
      <c r="C26" s="13" t="s">
        <v>743</v>
      </c>
      <c r="D26" s="14"/>
      <c r="E26" s="14"/>
      <c r="F26" s="14"/>
      <c r="G26" s="14"/>
      <c r="H26" s="14"/>
      <c r="I26" s="15"/>
    </row>
    <row r="27" spans="3:11" x14ac:dyDescent="0.25">
      <c r="C27" s="16" t="s">
        <v>744</v>
      </c>
      <c r="D27" s="17"/>
      <c r="E27" s="18"/>
      <c r="F27" s="22" t="b">
        <v>0</v>
      </c>
      <c r="G27" s="23"/>
      <c r="H27" s="23"/>
      <c r="I27" s="24"/>
    </row>
    <row r="29" spans="3:11" ht="15.75" x14ac:dyDescent="0.25">
      <c r="C29" s="13" t="s">
        <v>745</v>
      </c>
      <c r="D29" s="14"/>
      <c r="E29" s="14"/>
      <c r="F29" s="14"/>
      <c r="G29" s="14"/>
      <c r="H29" s="14"/>
      <c r="I29" s="15"/>
    </row>
    <row r="30" spans="3:11" x14ac:dyDescent="0.25">
      <c r="C30" s="16" t="s">
        <v>746</v>
      </c>
      <c r="D30" s="17"/>
      <c r="E30" s="18"/>
      <c r="F30" s="22" t="b">
        <v>1</v>
      </c>
      <c r="G30" s="23"/>
      <c r="H30" s="23"/>
      <c r="I30" s="24"/>
    </row>
    <row r="32" spans="3:11" ht="15.75" x14ac:dyDescent="0.25">
      <c r="C32" s="13" t="s">
        <v>747</v>
      </c>
      <c r="D32" s="14"/>
      <c r="E32" s="14"/>
      <c r="F32" s="14"/>
      <c r="G32" s="14"/>
      <c r="H32" s="14"/>
      <c r="I32" s="15"/>
    </row>
    <row r="33" spans="3:9" x14ac:dyDescent="0.25">
      <c r="C33" s="16" t="s">
        <v>749</v>
      </c>
      <c r="D33" s="17"/>
      <c r="E33" s="18"/>
      <c r="F33" s="22" t="b">
        <v>0</v>
      </c>
      <c r="G33" s="23"/>
      <c r="H33" s="23"/>
      <c r="I33" s="24"/>
    </row>
    <row r="34" spans="3:9" x14ac:dyDescent="0.25">
      <c r="C34" s="16" t="s">
        <v>750</v>
      </c>
      <c r="D34" s="17"/>
      <c r="E34" s="18"/>
      <c r="F34" s="22" t="b">
        <v>0</v>
      </c>
      <c r="G34" s="23"/>
      <c r="H34" s="23"/>
      <c r="I34" s="24"/>
    </row>
    <row r="35" spans="3:9" x14ac:dyDescent="0.25">
      <c r="C35" s="16" t="s">
        <v>751</v>
      </c>
      <c r="D35" s="17"/>
      <c r="E35" s="18"/>
      <c r="F35" s="22" t="b">
        <v>1</v>
      </c>
      <c r="G35" s="23"/>
      <c r="H35" s="23"/>
      <c r="I35" s="24"/>
    </row>
    <row r="37" spans="3:9" ht="15.75" x14ac:dyDescent="0.25">
      <c r="C37" s="13" t="s">
        <v>752</v>
      </c>
      <c r="D37" s="14"/>
      <c r="E37" s="14"/>
      <c r="F37" s="14"/>
      <c r="G37" s="14"/>
      <c r="H37" s="14"/>
      <c r="I37" s="15"/>
    </row>
    <row r="38" spans="3:9" x14ac:dyDescent="0.25">
      <c r="C38" s="16" t="s">
        <v>753</v>
      </c>
      <c r="D38" s="17"/>
      <c r="E38" s="18"/>
      <c r="F38" s="22" t="b">
        <v>0</v>
      </c>
      <c r="G38" s="23"/>
      <c r="H38" s="23"/>
      <c r="I38" s="24"/>
    </row>
    <row r="39" spans="3:9" x14ac:dyDescent="0.25">
      <c r="C39" s="16" t="s">
        <v>754</v>
      </c>
      <c r="D39" s="17"/>
      <c r="E39" s="18"/>
      <c r="F39" s="22" t="b">
        <v>0</v>
      </c>
      <c r="G39" s="23"/>
      <c r="H39" s="23"/>
      <c r="I39" s="24"/>
    </row>
    <row r="40" spans="3:9" x14ac:dyDescent="0.25">
      <c r="C40" s="16" t="s">
        <v>755</v>
      </c>
      <c r="D40" s="17"/>
      <c r="E40" s="18"/>
      <c r="F40" s="22" t="b">
        <v>0</v>
      </c>
      <c r="G40" s="23"/>
      <c r="H40" s="23"/>
      <c r="I40" s="24"/>
    </row>
    <row r="41" spans="3:9" x14ac:dyDescent="0.25">
      <c r="C41" s="16" t="s">
        <v>756</v>
      </c>
      <c r="D41" s="17"/>
      <c r="E41" s="18"/>
      <c r="F41" s="22" t="b">
        <v>0</v>
      </c>
      <c r="G41" s="23"/>
      <c r="H41" s="23"/>
      <c r="I41" s="24"/>
    </row>
    <row r="43" spans="3:9" ht="15.75" x14ac:dyDescent="0.25">
      <c r="C43" s="13" t="s">
        <v>757</v>
      </c>
      <c r="D43" s="14"/>
      <c r="E43" s="14"/>
      <c r="F43" s="14"/>
      <c r="G43" s="15"/>
    </row>
    <row r="44" spans="3:9" x14ac:dyDescent="0.25">
      <c r="C44" s="19" t="s">
        <v>758</v>
      </c>
      <c r="D44" s="20"/>
      <c r="E44" s="20"/>
      <c r="F44" s="20"/>
      <c r="G44" s="21"/>
    </row>
    <row r="45" spans="3:9" x14ac:dyDescent="0.25">
      <c r="C45" s="19" t="s">
        <v>834</v>
      </c>
      <c r="D45" s="20"/>
      <c r="E45" s="20"/>
      <c r="F45" s="20"/>
      <c r="G45" s="21"/>
    </row>
    <row r="46" spans="3:9" x14ac:dyDescent="0.25">
      <c r="C46" s="19" t="s">
        <v>759</v>
      </c>
      <c r="D46" s="20"/>
      <c r="E46" s="20"/>
      <c r="F46" s="20"/>
      <c r="G46" s="21"/>
    </row>
    <row r="47" spans="3:9" x14ac:dyDescent="0.25">
      <c r="C47" s="19" t="s">
        <v>835</v>
      </c>
      <c r="D47" s="20"/>
      <c r="E47" s="20"/>
      <c r="F47" s="20"/>
      <c r="G47" s="21"/>
    </row>
    <row r="50" spans="2:5" ht="18.75" x14ac:dyDescent="0.3">
      <c r="B50" s="7" t="s">
        <v>720</v>
      </c>
    </row>
    <row r="52" spans="2:5" x14ac:dyDescent="0.25">
      <c r="C52" s="9" t="s">
        <v>726</v>
      </c>
      <c r="D52" s="5" t="s">
        <v>727</v>
      </c>
    </row>
    <row r="53" spans="2:5" x14ac:dyDescent="0.25">
      <c r="C53" s="9" t="s">
        <v>760</v>
      </c>
      <c r="D53" s="8">
        <v>368</v>
      </c>
    </row>
    <row r="54" spans="2:5" x14ac:dyDescent="0.25">
      <c r="C54" s="9" t="s">
        <v>732</v>
      </c>
      <c r="D54" s="8">
        <v>7.505799592002893E-2</v>
      </c>
    </row>
    <row r="55" spans="2:5" x14ac:dyDescent="0.25">
      <c r="C55" s="9" t="s">
        <v>761</v>
      </c>
      <c r="D55" s="8">
        <v>6.5004278484377065E-2</v>
      </c>
    </row>
    <row r="56" spans="2:5" x14ac:dyDescent="0.25">
      <c r="C56" s="9" t="s">
        <v>762</v>
      </c>
      <c r="D56" s="8">
        <v>0.98921830040092684</v>
      </c>
    </row>
    <row r="57" spans="2:5" x14ac:dyDescent="0.25">
      <c r="C57" s="9" t="s">
        <v>763</v>
      </c>
      <c r="D57" s="8">
        <v>360.10744727210022</v>
      </c>
    </row>
    <row r="59" spans="2:5" ht="18.75" x14ac:dyDescent="0.3">
      <c r="B59" s="7" t="s">
        <v>721</v>
      </c>
    </row>
    <row r="61" spans="2:5" x14ac:dyDescent="0.25">
      <c r="C61" s="9" t="s">
        <v>764</v>
      </c>
      <c r="D61" s="5" t="s">
        <v>765</v>
      </c>
      <c r="E61" s="5" t="s">
        <v>766</v>
      </c>
    </row>
    <row r="62" spans="2:5" x14ac:dyDescent="0.25">
      <c r="C62" s="9" t="s">
        <v>767</v>
      </c>
      <c r="D62" s="8">
        <v>6.2285871908598498</v>
      </c>
      <c r="E62" s="8" t="b">
        <v>1</v>
      </c>
    </row>
    <row r="63" spans="2:5" x14ac:dyDescent="0.25">
      <c r="C63" s="9" t="s">
        <v>15</v>
      </c>
      <c r="D63" s="8">
        <v>50459.451968882895</v>
      </c>
      <c r="E63" s="8" t="b">
        <v>1</v>
      </c>
    </row>
    <row r="64" spans="2:5" x14ac:dyDescent="0.25">
      <c r="C64" s="9" t="s">
        <v>139</v>
      </c>
      <c r="D64" s="8">
        <v>10.114515726221262</v>
      </c>
      <c r="E64" s="8" t="b">
        <v>1</v>
      </c>
    </row>
    <row r="65" spans="2:10" x14ac:dyDescent="0.25">
      <c r="C65" s="9" t="s">
        <v>140</v>
      </c>
      <c r="D65" s="8">
        <v>10.3159518212866</v>
      </c>
      <c r="E65" s="8" t="b">
        <v>1</v>
      </c>
    </row>
    <row r="66" spans="2:10" x14ac:dyDescent="0.25">
      <c r="C66" s="9" t="s">
        <v>141</v>
      </c>
      <c r="D66" s="8">
        <v>8.866858101628166</v>
      </c>
      <c r="E66" s="8" t="b">
        <v>1</v>
      </c>
    </row>
    <row r="69" spans="2:10" x14ac:dyDescent="0.25">
      <c r="C69" s="9" t="s">
        <v>768</v>
      </c>
      <c r="D69" s="8">
        <v>4.1790982347586923E-9</v>
      </c>
    </row>
    <row r="71" spans="2:10" ht="18.75" x14ac:dyDescent="0.3">
      <c r="B71" s="7" t="s">
        <v>722</v>
      </c>
    </row>
    <row r="73" spans="2:10" x14ac:dyDescent="0.25">
      <c r="C73" s="9" t="s">
        <v>764</v>
      </c>
      <c r="D73" s="5" t="s">
        <v>769</v>
      </c>
      <c r="E73" s="5" t="s">
        <v>836</v>
      </c>
      <c r="F73" s="5" t="s">
        <v>837</v>
      </c>
      <c r="G73" s="5" t="s">
        <v>838</v>
      </c>
      <c r="H73" s="5" t="s">
        <v>839</v>
      </c>
      <c r="I73" s="5" t="s">
        <v>840</v>
      </c>
    </row>
    <row r="74" spans="2:10" x14ac:dyDescent="0.25">
      <c r="C74" s="9" t="s">
        <v>767</v>
      </c>
      <c r="D74" s="8">
        <v>4.6618818207251316</v>
      </c>
      <c r="E74" s="8">
        <v>4.3495750750294704</v>
      </c>
      <c r="F74" s="8">
        <v>4.9741885664207928</v>
      </c>
      <c r="G74" s="8">
        <v>0.15881904998497201</v>
      </c>
      <c r="H74" s="8">
        <v>29.353417119459248</v>
      </c>
      <c r="I74" s="8">
        <v>1.9651557294792281E-98</v>
      </c>
    </row>
    <row r="75" spans="2:10" x14ac:dyDescent="0.25">
      <c r="C75" s="9" t="s">
        <v>15</v>
      </c>
      <c r="D75" s="8">
        <v>-1.4752049767734229E-4</v>
      </c>
      <c r="E75" s="8">
        <v>-2.3425858887880774E-4</v>
      </c>
      <c r="F75" s="8">
        <v>-6.0782406475876844E-5</v>
      </c>
      <c r="G75" s="8">
        <v>4.4109393831508266E-5</v>
      </c>
      <c r="H75" s="8">
        <v>-3.3444235992190241</v>
      </c>
      <c r="I75" s="32">
        <v>9.0933625605756812E-4</v>
      </c>
      <c r="J75" s="33" t="s">
        <v>841</v>
      </c>
    </row>
    <row r="76" spans="2:10" x14ac:dyDescent="0.25">
      <c r="C76" s="9" t="s">
        <v>139</v>
      </c>
      <c r="D76" s="8">
        <v>0.25888408111873701</v>
      </c>
      <c r="E76" s="8">
        <v>5.359342248575133E-2</v>
      </c>
      <c r="F76" s="8">
        <v>0.46417473975172269</v>
      </c>
      <c r="G76" s="8">
        <v>0.10439757649888309</v>
      </c>
      <c r="H76" s="8">
        <v>2.4797901426524658</v>
      </c>
      <c r="I76" s="32">
        <v>1.3592778331424667E-2</v>
      </c>
      <c r="J76" s="33" t="s">
        <v>841</v>
      </c>
    </row>
    <row r="77" spans="2:10" x14ac:dyDescent="0.25">
      <c r="C77" s="9" t="s">
        <v>140</v>
      </c>
      <c r="D77" s="8">
        <v>-0.52671837538448807</v>
      </c>
      <c r="E77" s="8">
        <v>-0.78539336214063482</v>
      </c>
      <c r="F77" s="8">
        <v>-0.26804338862834137</v>
      </c>
      <c r="G77" s="8">
        <v>0.13154539957174302</v>
      </c>
      <c r="H77" s="8">
        <v>-4.0040805463304947</v>
      </c>
      <c r="I77" s="32">
        <v>7.533096831454416E-5</v>
      </c>
      <c r="J77" s="33" t="s">
        <v>841</v>
      </c>
    </row>
    <row r="78" spans="2:10" x14ac:dyDescent="0.25">
      <c r="C78" s="9" t="s">
        <v>141</v>
      </c>
      <c r="D78" s="8">
        <v>-0.57233266405394478</v>
      </c>
      <c r="E78" s="8">
        <v>-0.83926174242205731</v>
      </c>
      <c r="F78" s="8">
        <v>-0.30540358568583226</v>
      </c>
      <c r="G78" s="8">
        <v>0.13574289772498113</v>
      </c>
      <c r="H78" s="8">
        <v>-4.2162991482140493</v>
      </c>
      <c r="I78" s="32">
        <v>3.129237641598549E-5</v>
      </c>
      <c r="J78" s="33" t="s">
        <v>841</v>
      </c>
    </row>
    <row r="80" spans="2:10" x14ac:dyDescent="0.25">
      <c r="D80" s="36" t="s">
        <v>843</v>
      </c>
    </row>
    <row r="81" spans="4:4" ht="30" x14ac:dyDescent="0.25">
      <c r="D81" s="35" t="s">
        <v>842</v>
      </c>
    </row>
  </sheetData>
  <mergeCells count="59">
    <mergeCell ref="B3:K3"/>
    <mergeCell ref="N3:Q3"/>
    <mergeCell ref="H4:I4"/>
    <mergeCell ref="J4:K4"/>
    <mergeCell ref="B5:C5"/>
    <mergeCell ref="D5:E5"/>
    <mergeCell ref="F5:G5"/>
    <mergeCell ref="H5:I5"/>
    <mergeCell ref="J5:K5"/>
    <mergeCell ref="C43:G43"/>
    <mergeCell ref="C44:G44"/>
    <mergeCell ref="C45:G45"/>
    <mergeCell ref="C46:G46"/>
    <mergeCell ref="C47:G47"/>
    <mergeCell ref="B4:C4"/>
    <mergeCell ref="D4:E4"/>
    <mergeCell ref="F4:G4"/>
    <mergeCell ref="C37:I37"/>
    <mergeCell ref="C38:E38"/>
    <mergeCell ref="C39:E39"/>
    <mergeCell ref="C40:E40"/>
    <mergeCell ref="C41:E41"/>
    <mergeCell ref="F38:I38"/>
    <mergeCell ref="F39:I39"/>
    <mergeCell ref="F40:I40"/>
    <mergeCell ref="F41:I41"/>
    <mergeCell ref="C32:I32"/>
    <mergeCell ref="C33:E33"/>
    <mergeCell ref="C34:E34"/>
    <mergeCell ref="C35:E35"/>
    <mergeCell ref="F33:I33"/>
    <mergeCell ref="F34:I34"/>
    <mergeCell ref="F35:I35"/>
    <mergeCell ref="C26:I26"/>
    <mergeCell ref="C27:E27"/>
    <mergeCell ref="F27:I27"/>
    <mergeCell ref="C29:I29"/>
    <mergeCell ref="C30:E30"/>
    <mergeCell ref="F30:I30"/>
    <mergeCell ref="C20:H20"/>
    <mergeCell ref="C21:D21"/>
    <mergeCell ref="C22:D22"/>
    <mergeCell ref="C23:D23"/>
    <mergeCell ref="C24:D24"/>
    <mergeCell ref="E21:H21"/>
    <mergeCell ref="E24:H24"/>
    <mergeCell ref="C18:F18"/>
    <mergeCell ref="G13:K13"/>
    <mergeCell ref="G14:K14"/>
    <mergeCell ref="G15:K15"/>
    <mergeCell ref="G16:K16"/>
    <mergeCell ref="G17:K17"/>
    <mergeCell ref="G18:K18"/>
    <mergeCell ref="C12:K12"/>
    <mergeCell ref="C13:F13"/>
    <mergeCell ref="C14:F14"/>
    <mergeCell ref="C15:F15"/>
    <mergeCell ref="C16:F16"/>
    <mergeCell ref="C17:F17"/>
  </mergeCells>
  <hyperlinks>
    <hyperlink ref="B4" location="'LinReg_Output1'!$B$10:$B$10" display="Inputs" xr:uid="{7ABC77BB-F577-4163-B08B-A318EBD12424}"/>
    <hyperlink ref="D4" location="'LinReg_Output1'!$B$50:$B$50" display="Regression Summary" xr:uid="{2BA63ED4-AD19-45CE-8D1F-21A54F5F06A8}"/>
    <hyperlink ref="F4" location="'LinReg_Output1'!$B$59:$B$59" display="Predictor Screening" xr:uid="{BA748929-F055-4392-95E5-573856E79FD2}"/>
    <hyperlink ref="H4" location="'LinReg_Output1'!$B$71:$B$71" display="Coefficients" xr:uid="{A33AD748-1C6D-45E8-95A7-6BF2C9567473}"/>
    <hyperlink ref="J4" location="'LinReg_Stored1'!$B$10:$B$10" display="PMML Model" xr:uid="{E0D63AFB-1E98-4676-BEC5-19533BCECFF4}"/>
    <hyperlink ref="B5" location="'LinReg_TrainingScore1'!$B$10:$B$10" display="Training: Prediction Summary" xr:uid="{CF54CF51-0B70-49F3-9A5D-05DC655F88B0}"/>
    <hyperlink ref="D5" location="'LinReg_TrainingScore1'!$B$19:$B$19" display="Training: Prediction Details" xr:uid="{71930843-0771-4CB4-AE99-26C96CF4EAF7}"/>
    <hyperlink ref="F5" location="'LinReg_ValidationScore1'!$B$10:$B$10" display="Validation: Prediction Summary" xr:uid="{50105232-B959-4BAD-8BD2-2A0068B3E96F}"/>
    <hyperlink ref="H5" location="'LinReg_ValidationScore1'!$B$19:$B$19" display="Validation: Prediction Details" xr:uid="{E099770F-1AB6-4096-8E54-B89DAA712DF7}"/>
  </hyperlinks>
  <pageMargins left="0.7" right="0.7" top="0.75" bottom="0.75" header="0.3" footer="0.3"/>
  <legacyDrawing r:id="rId1"/>
  <tableParts count="4">
    <tablePart r:id="rId2"/>
    <tablePart r:id="rId3"/>
    <tablePart r:id="rId4"/>
    <tablePart r:id="rId5"/>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85195-9CA4-4525-94AF-E434980C0DA7}">
  <sheetPr codeName="Sheet37">
    <tabColor rgb="FFC00000"/>
  </sheetPr>
  <dimension ref="B1:Q394"/>
  <sheetViews>
    <sheetView showGridLines="0" workbookViewId="0">
      <selection activeCell="I27" sqref="I27"/>
    </sheetView>
  </sheetViews>
  <sheetFormatPr defaultRowHeight="15" x14ac:dyDescent="0.25"/>
  <cols>
    <col min="3" max="3" width="11.5703125" customWidth="1"/>
    <col min="5" max="5" width="18.140625" customWidth="1"/>
    <col min="6" max="6" width="10.7109375" customWidth="1"/>
    <col min="14" max="14" width="15.5703125" bestFit="1" customWidth="1"/>
  </cols>
  <sheetData>
    <row r="1" spans="2:17" ht="18.75" x14ac:dyDescent="0.3">
      <c r="B1" s="6" t="s">
        <v>733</v>
      </c>
      <c r="N1" t="s">
        <v>822</v>
      </c>
    </row>
    <row r="3" spans="2:17" ht="15.75" x14ac:dyDescent="0.25">
      <c r="B3" s="13" t="s">
        <v>147</v>
      </c>
      <c r="C3" s="14"/>
      <c r="D3" s="14"/>
      <c r="E3" s="14"/>
      <c r="F3" s="14"/>
      <c r="G3" s="14"/>
      <c r="H3" s="14"/>
      <c r="I3" s="14"/>
      <c r="J3" s="14"/>
      <c r="K3" s="15"/>
      <c r="N3" s="13" t="s">
        <v>148</v>
      </c>
      <c r="O3" s="14"/>
      <c r="P3" s="14"/>
      <c r="Q3" s="15"/>
    </row>
    <row r="4" spans="2:17" x14ac:dyDescent="0.25">
      <c r="B4" s="25" t="s">
        <v>153</v>
      </c>
      <c r="C4" s="21"/>
      <c r="D4" s="25" t="s">
        <v>720</v>
      </c>
      <c r="E4" s="21"/>
      <c r="F4" s="25" t="s">
        <v>721</v>
      </c>
      <c r="G4" s="21"/>
      <c r="H4" s="25" t="s">
        <v>722</v>
      </c>
      <c r="I4" s="21"/>
      <c r="J4" s="25" t="s">
        <v>645</v>
      </c>
      <c r="K4" s="21"/>
      <c r="N4" s="11" t="s">
        <v>149</v>
      </c>
      <c r="O4" s="11" t="s">
        <v>150</v>
      </c>
      <c r="P4" s="11" t="s">
        <v>151</v>
      </c>
      <c r="Q4" s="11" t="s">
        <v>152</v>
      </c>
    </row>
    <row r="5" spans="2:17" x14ac:dyDescent="0.25">
      <c r="B5" s="25" t="s">
        <v>723</v>
      </c>
      <c r="C5" s="21"/>
      <c r="D5" s="25" t="s">
        <v>830</v>
      </c>
      <c r="E5" s="21"/>
      <c r="F5" s="25" t="s">
        <v>724</v>
      </c>
      <c r="G5" s="21"/>
      <c r="H5" s="25" t="s">
        <v>831</v>
      </c>
      <c r="I5" s="21"/>
      <c r="J5" s="19"/>
      <c r="K5" s="21"/>
      <c r="N5" s="10">
        <v>16</v>
      </c>
      <c r="O5" s="10">
        <v>6</v>
      </c>
      <c r="P5" s="10">
        <v>10</v>
      </c>
      <c r="Q5" s="10">
        <v>32</v>
      </c>
    </row>
    <row r="10" spans="2:17" ht="18.75" x14ac:dyDescent="0.3">
      <c r="B10" s="7" t="s">
        <v>723</v>
      </c>
    </row>
    <row r="12" spans="2:17" x14ac:dyDescent="0.25">
      <c r="C12" t="s">
        <v>726</v>
      </c>
      <c r="D12" t="s">
        <v>727</v>
      </c>
      <c r="G12" t="s">
        <v>845</v>
      </c>
    </row>
    <row r="13" spans="2:17" x14ac:dyDescent="0.25">
      <c r="C13" t="s">
        <v>728</v>
      </c>
      <c r="D13">
        <v>360.10744727209897</v>
      </c>
      <c r="G13" t="s">
        <v>847</v>
      </c>
    </row>
    <row r="14" spans="2:17" x14ac:dyDescent="0.25">
      <c r="C14" t="s">
        <v>729</v>
      </c>
      <c r="D14">
        <v>0.96543551547479611</v>
      </c>
      <c r="G14" t="s">
        <v>848</v>
      </c>
    </row>
    <row r="15" spans="2:17" x14ac:dyDescent="0.25">
      <c r="C15" t="s">
        <v>730</v>
      </c>
      <c r="D15">
        <v>0.98256578175448184</v>
      </c>
      <c r="G15" t="s">
        <v>849</v>
      </c>
    </row>
    <row r="16" spans="2:17" x14ac:dyDescent="0.25">
      <c r="C16" t="s">
        <v>731</v>
      </c>
      <c r="D16">
        <v>0.76648028310186023</v>
      </c>
    </row>
    <row r="17" spans="2:6" x14ac:dyDescent="0.25">
      <c r="C17" t="s">
        <v>732</v>
      </c>
      <c r="D17">
        <v>7.5057995920031262E-2</v>
      </c>
    </row>
    <row r="19" spans="2:6" ht="18.75" x14ac:dyDescent="0.3">
      <c r="B19" s="7" t="s">
        <v>830</v>
      </c>
    </row>
    <row r="21" spans="2:6" x14ac:dyDescent="0.25">
      <c r="C21" s="9" t="s">
        <v>176</v>
      </c>
      <c r="D21" s="5" t="s">
        <v>4</v>
      </c>
      <c r="E21" s="5" t="s">
        <v>832</v>
      </c>
      <c r="F21" s="5" t="s">
        <v>833</v>
      </c>
    </row>
    <row r="22" spans="2:6" x14ac:dyDescent="0.25">
      <c r="C22" s="9" t="s">
        <v>177</v>
      </c>
      <c r="D22" s="8">
        <v>3</v>
      </c>
      <c r="E22" s="8">
        <v>4.0618153031078466</v>
      </c>
      <c r="F22" s="8">
        <v>-1.0618153031078466</v>
      </c>
    </row>
    <row r="23" spans="2:6" x14ac:dyDescent="0.25">
      <c r="C23" s="9" t="s">
        <v>454</v>
      </c>
      <c r="D23" s="8">
        <v>4</v>
      </c>
      <c r="E23" s="8">
        <v>3.9676972255897027</v>
      </c>
      <c r="F23" s="8">
        <v>3.2302774410297275E-2</v>
      </c>
    </row>
    <row r="24" spans="2:6" x14ac:dyDescent="0.25">
      <c r="C24" s="9" t="s">
        <v>178</v>
      </c>
      <c r="D24" s="8">
        <v>5</v>
      </c>
      <c r="E24" s="8">
        <v>4.5224605581150445</v>
      </c>
      <c r="F24" s="8">
        <v>0.47753944188495545</v>
      </c>
    </row>
    <row r="25" spans="2:6" x14ac:dyDescent="0.25">
      <c r="C25" s="9" t="s">
        <v>179</v>
      </c>
      <c r="D25" s="8">
        <v>4</v>
      </c>
      <c r="E25" s="8">
        <v>4.2156323152511712</v>
      </c>
      <c r="F25" s="8">
        <v>-0.21563231525117121</v>
      </c>
    </row>
    <row r="26" spans="2:6" x14ac:dyDescent="0.25">
      <c r="C26" s="9" t="s">
        <v>406</v>
      </c>
      <c r="D26" s="8">
        <v>5</v>
      </c>
      <c r="E26" s="8">
        <v>4.3618251284494169</v>
      </c>
      <c r="F26" s="8">
        <v>0.63817487155058306</v>
      </c>
    </row>
    <row r="27" spans="2:6" x14ac:dyDescent="0.25">
      <c r="C27" s="9" t="s">
        <v>180</v>
      </c>
      <c r="D27" s="8">
        <v>4</v>
      </c>
      <c r="E27" s="8">
        <v>4.4268672756201264</v>
      </c>
      <c r="F27" s="8">
        <v>-0.42686727562012639</v>
      </c>
    </row>
    <row r="28" spans="2:6" x14ac:dyDescent="0.25">
      <c r="C28" s="9" t="s">
        <v>475</v>
      </c>
      <c r="D28" s="8">
        <v>5</v>
      </c>
      <c r="E28" s="8">
        <v>4.5224605581150445</v>
      </c>
      <c r="F28" s="8">
        <v>0.47753944188495545</v>
      </c>
    </row>
    <row r="29" spans="2:6" x14ac:dyDescent="0.25">
      <c r="C29" s="9" t="s">
        <v>181</v>
      </c>
      <c r="D29" s="8">
        <v>5</v>
      </c>
      <c r="E29" s="8">
        <v>4.1679831945013897</v>
      </c>
      <c r="F29" s="8">
        <v>0.83201680549861035</v>
      </c>
    </row>
    <row r="30" spans="2:6" x14ac:dyDescent="0.25">
      <c r="C30" s="9" t="s">
        <v>182</v>
      </c>
      <c r="D30" s="8">
        <v>5</v>
      </c>
      <c r="E30" s="8">
        <v>4.4842527492166129</v>
      </c>
      <c r="F30" s="8">
        <v>0.51574725078338712</v>
      </c>
    </row>
    <row r="31" spans="2:6" x14ac:dyDescent="0.25">
      <c r="C31" s="9" t="s">
        <v>183</v>
      </c>
      <c r="D31" s="8">
        <v>3</v>
      </c>
      <c r="E31" s="8">
        <v>4.2156323152511712</v>
      </c>
      <c r="F31" s="8">
        <v>-1.2156323152511712</v>
      </c>
    </row>
    <row r="32" spans="2:6" x14ac:dyDescent="0.25">
      <c r="C32" s="9" t="s">
        <v>184</v>
      </c>
      <c r="D32" s="8">
        <v>4</v>
      </c>
      <c r="E32" s="8">
        <v>4.4727605427027788</v>
      </c>
      <c r="F32" s="8">
        <v>-0.47276054270277879</v>
      </c>
    </row>
    <row r="33" spans="3:6" x14ac:dyDescent="0.25">
      <c r="C33" s="9" t="s">
        <v>185</v>
      </c>
      <c r="D33" s="8">
        <v>3</v>
      </c>
      <c r="E33" s="8">
        <v>3.5785686076040313</v>
      </c>
      <c r="F33" s="8">
        <v>-0.57856860760403128</v>
      </c>
    </row>
    <row r="34" spans="3:6" x14ac:dyDescent="0.25">
      <c r="C34" s="9" t="s">
        <v>186</v>
      </c>
      <c r="D34" s="8">
        <v>5</v>
      </c>
      <c r="E34" s="8">
        <v>4.4842527492166129</v>
      </c>
      <c r="F34" s="8">
        <v>0.51574725078338712</v>
      </c>
    </row>
    <row r="35" spans="3:6" x14ac:dyDescent="0.25">
      <c r="C35" s="9" t="s">
        <v>187</v>
      </c>
      <c r="D35" s="8">
        <v>3</v>
      </c>
      <c r="E35" s="8">
        <v>4.0886944885722807</v>
      </c>
      <c r="F35" s="8">
        <v>-1.0886944885722807</v>
      </c>
    </row>
    <row r="36" spans="3:6" x14ac:dyDescent="0.25">
      <c r="C36" s="9" t="s">
        <v>409</v>
      </c>
      <c r="D36" s="8">
        <v>5</v>
      </c>
      <c r="E36" s="8">
        <v>4.2156323152511712</v>
      </c>
      <c r="F36" s="8">
        <v>0.78436768474882879</v>
      </c>
    </row>
    <row r="37" spans="3:6" x14ac:dyDescent="0.25">
      <c r="C37" s="9" t="s">
        <v>188</v>
      </c>
      <c r="D37" s="8">
        <v>5</v>
      </c>
      <c r="E37" s="8">
        <v>4.3206993842265833</v>
      </c>
      <c r="F37" s="8">
        <v>0.67930061577341672</v>
      </c>
    </row>
    <row r="38" spans="3:6" x14ac:dyDescent="0.25">
      <c r="C38" s="9" t="s">
        <v>189</v>
      </c>
      <c r="D38" s="8">
        <v>5</v>
      </c>
      <c r="E38" s="8">
        <v>4.0618153031078466</v>
      </c>
      <c r="F38" s="8">
        <v>0.93818469689215345</v>
      </c>
    </row>
    <row r="39" spans="3:6" x14ac:dyDescent="0.25">
      <c r="C39" s="9" t="s">
        <v>190</v>
      </c>
      <c r="D39" s="8">
        <v>5</v>
      </c>
      <c r="E39" s="8">
        <v>3.6593793854440566</v>
      </c>
      <c r="F39" s="8">
        <v>1.3406206145559434</v>
      </c>
    </row>
    <row r="40" spans="3:6" x14ac:dyDescent="0.25">
      <c r="C40" s="9" t="s">
        <v>191</v>
      </c>
      <c r="D40" s="8">
        <v>5</v>
      </c>
      <c r="E40" s="8">
        <v>3.9182634665627933</v>
      </c>
      <c r="F40" s="8">
        <v>1.0817365334372067</v>
      </c>
    </row>
    <row r="41" spans="3:6" x14ac:dyDescent="0.25">
      <c r="C41" s="9" t="s">
        <v>192</v>
      </c>
      <c r="D41" s="8">
        <v>5</v>
      </c>
      <c r="E41" s="8">
        <v>4.4745163963699079</v>
      </c>
      <c r="F41" s="8">
        <v>0.52548360363009206</v>
      </c>
    </row>
    <row r="42" spans="3:6" x14ac:dyDescent="0.25">
      <c r="C42" s="9" t="s">
        <v>193</v>
      </c>
      <c r="D42" s="8">
        <v>2</v>
      </c>
      <c r="E42" s="8">
        <v>3.9182634665627933</v>
      </c>
      <c r="F42" s="8">
        <v>-1.9182634665627933</v>
      </c>
    </row>
    <row r="43" spans="3:6" x14ac:dyDescent="0.25">
      <c r="C43" s="9" t="s">
        <v>194</v>
      </c>
      <c r="D43" s="8">
        <v>4</v>
      </c>
      <c r="E43" s="8">
        <v>3.954008274192867</v>
      </c>
      <c r="F43" s="8">
        <v>4.5991725807132955E-2</v>
      </c>
    </row>
    <row r="44" spans="3:6" x14ac:dyDescent="0.25">
      <c r="C44" s="9" t="s">
        <v>195</v>
      </c>
      <c r="D44" s="8">
        <v>5</v>
      </c>
      <c r="E44" s="8">
        <v>4.0271784410408289</v>
      </c>
      <c r="F44" s="8">
        <v>0.97282155895917111</v>
      </c>
    </row>
    <row r="45" spans="3:6" x14ac:dyDescent="0.25">
      <c r="C45" s="9" t="s">
        <v>412</v>
      </c>
      <c r="D45" s="8">
        <v>4</v>
      </c>
      <c r="E45" s="8">
        <v>4.4842527492166129</v>
      </c>
      <c r="F45" s="8">
        <v>-0.48425274921661288</v>
      </c>
    </row>
    <row r="46" spans="3:6" x14ac:dyDescent="0.25">
      <c r="C46" s="9" t="s">
        <v>407</v>
      </c>
      <c r="D46" s="8">
        <v>4</v>
      </c>
      <c r="E46" s="8">
        <v>4.0618153031078466</v>
      </c>
      <c r="F46" s="8">
        <v>-6.1815303107846553E-2</v>
      </c>
    </row>
    <row r="47" spans="3:6" x14ac:dyDescent="0.25">
      <c r="C47" s="9" t="s">
        <v>196</v>
      </c>
      <c r="D47" s="8">
        <v>5</v>
      </c>
      <c r="E47" s="8">
        <v>4.4727605427027788</v>
      </c>
      <c r="F47" s="8">
        <v>0.52723945729722121</v>
      </c>
    </row>
    <row r="48" spans="3:6" x14ac:dyDescent="0.25">
      <c r="C48" s="9" t="s">
        <v>197</v>
      </c>
      <c r="D48" s="8">
        <v>4</v>
      </c>
      <c r="E48" s="8">
        <v>3.8067684252058807</v>
      </c>
      <c r="F48" s="8">
        <v>0.19323157479411934</v>
      </c>
    </row>
    <row r="49" spans="3:6" x14ac:dyDescent="0.25">
      <c r="C49" s="9" t="s">
        <v>198</v>
      </c>
      <c r="D49" s="8">
        <v>4</v>
      </c>
      <c r="E49" s="8">
        <v>4.3475785696910174</v>
      </c>
      <c r="F49" s="8">
        <v>-0.34757856969101741</v>
      </c>
    </row>
    <row r="50" spans="3:6" x14ac:dyDescent="0.25">
      <c r="C50" s="9" t="s">
        <v>199</v>
      </c>
      <c r="D50" s="8">
        <v>5</v>
      </c>
      <c r="E50" s="8">
        <v>4.340567784478881</v>
      </c>
      <c r="F50" s="8">
        <v>0.65943221552111897</v>
      </c>
    </row>
    <row r="51" spans="3:6" x14ac:dyDescent="0.25">
      <c r="C51" s="9" t="s">
        <v>200</v>
      </c>
      <c r="D51" s="8">
        <v>3</v>
      </c>
      <c r="E51" s="8">
        <v>4.3206993842265833</v>
      </c>
      <c r="F51" s="8">
        <v>-1.3206993842265833</v>
      </c>
    </row>
    <row r="52" spans="3:6" x14ac:dyDescent="0.25">
      <c r="C52" s="9" t="s">
        <v>438</v>
      </c>
      <c r="D52" s="8">
        <v>3</v>
      </c>
      <c r="E52" s="8">
        <v>3.9182634665627933</v>
      </c>
      <c r="F52" s="8">
        <v>-0.91826346656279334</v>
      </c>
    </row>
    <row r="53" spans="3:6" x14ac:dyDescent="0.25">
      <c r="C53" s="9" t="s">
        <v>448</v>
      </c>
      <c r="D53" s="8">
        <v>3</v>
      </c>
      <c r="E53" s="8">
        <v>3.9182634665627933</v>
      </c>
      <c r="F53" s="8">
        <v>-0.91826346656279334</v>
      </c>
    </row>
    <row r="54" spans="3:6" x14ac:dyDescent="0.25">
      <c r="C54" s="9" t="s">
        <v>201</v>
      </c>
      <c r="D54" s="8">
        <v>2</v>
      </c>
      <c r="E54" s="8">
        <v>3.954008274192867</v>
      </c>
      <c r="F54" s="8">
        <v>-1.954008274192867</v>
      </c>
    </row>
    <row r="55" spans="3:6" x14ac:dyDescent="0.25">
      <c r="C55" s="9" t="s">
        <v>442</v>
      </c>
      <c r="D55" s="8">
        <v>5</v>
      </c>
      <c r="E55" s="8">
        <v>4.2860625221595656</v>
      </c>
      <c r="F55" s="8">
        <v>0.71393747784043438</v>
      </c>
    </row>
    <row r="56" spans="3:6" x14ac:dyDescent="0.25">
      <c r="C56" s="9" t="s">
        <v>202</v>
      </c>
      <c r="D56" s="8">
        <v>5</v>
      </c>
      <c r="E56" s="8">
        <v>4.2635764769963078</v>
      </c>
      <c r="F56" s="8">
        <v>0.73642352300369218</v>
      </c>
    </row>
    <row r="57" spans="3:6" x14ac:dyDescent="0.25">
      <c r="C57" s="9" t="s">
        <v>203</v>
      </c>
      <c r="D57" s="8">
        <v>4</v>
      </c>
      <c r="E57" s="8">
        <v>4.0816837033601443</v>
      </c>
      <c r="F57" s="8">
        <v>-8.16837033601443E-2</v>
      </c>
    </row>
    <row r="58" spans="3:6" x14ac:dyDescent="0.25">
      <c r="C58" s="9" t="s">
        <v>204</v>
      </c>
      <c r="D58" s="8">
        <v>4</v>
      </c>
      <c r="E58" s="8">
        <v>3.9676972255897027</v>
      </c>
      <c r="F58" s="8">
        <v>3.2302774410297275E-2</v>
      </c>
    </row>
    <row r="59" spans="3:6" x14ac:dyDescent="0.25">
      <c r="C59" s="9" t="s">
        <v>205</v>
      </c>
      <c r="D59" s="8">
        <v>5</v>
      </c>
      <c r="E59" s="8">
        <v>4.0190648136685754</v>
      </c>
      <c r="F59" s="8">
        <v>0.98093518633142462</v>
      </c>
    </row>
    <row r="60" spans="3:6" x14ac:dyDescent="0.25">
      <c r="C60" s="9" t="s">
        <v>206</v>
      </c>
      <c r="D60" s="8">
        <v>5</v>
      </c>
      <c r="E60" s="8">
        <v>4.0678167765784741</v>
      </c>
      <c r="F60" s="8">
        <v>0.93218322342152593</v>
      </c>
    </row>
    <row r="61" spans="3:6" x14ac:dyDescent="0.25">
      <c r="C61" s="9" t="s">
        <v>207</v>
      </c>
      <c r="D61" s="8">
        <v>5</v>
      </c>
      <c r="E61" s="8">
        <v>4.0295387690036666</v>
      </c>
      <c r="F61" s="8">
        <v>0.97046123099633341</v>
      </c>
    </row>
    <row r="62" spans="3:6" x14ac:dyDescent="0.25">
      <c r="C62" s="9" t="s">
        <v>208</v>
      </c>
      <c r="D62" s="8">
        <v>5</v>
      </c>
      <c r="E62" s="8">
        <v>4.2253686680978761</v>
      </c>
      <c r="F62" s="8">
        <v>0.77463133190212385</v>
      </c>
    </row>
    <row r="63" spans="3:6" x14ac:dyDescent="0.25">
      <c r="C63" s="9" t="s">
        <v>209</v>
      </c>
      <c r="D63" s="8">
        <v>5</v>
      </c>
      <c r="E63" s="8">
        <v>4.2253686680978761</v>
      </c>
      <c r="F63" s="8">
        <v>0.77463133190212385</v>
      </c>
    </row>
    <row r="64" spans="3:6" x14ac:dyDescent="0.25">
      <c r="C64" s="9" t="s">
        <v>210</v>
      </c>
      <c r="D64" s="8">
        <v>5</v>
      </c>
      <c r="E64" s="8">
        <v>4.4268672756201264</v>
      </c>
      <c r="F64" s="8">
        <v>0.57313272437987361</v>
      </c>
    </row>
    <row r="65" spans="3:6" x14ac:dyDescent="0.25">
      <c r="C65" s="9" t="s">
        <v>434</v>
      </c>
      <c r="D65" s="8">
        <v>4</v>
      </c>
      <c r="E65" s="8">
        <v>3.6593793854440566</v>
      </c>
      <c r="F65" s="8">
        <v>0.34062061455594339</v>
      </c>
    </row>
    <row r="66" spans="3:6" x14ac:dyDescent="0.25">
      <c r="C66" s="9" t="s">
        <v>408</v>
      </c>
      <c r="D66" s="8">
        <v>4</v>
      </c>
      <c r="E66" s="8">
        <v>4.0271784410408289</v>
      </c>
      <c r="F66" s="8">
        <v>-2.7178441040828893E-2</v>
      </c>
    </row>
    <row r="67" spans="3:6" x14ac:dyDescent="0.25">
      <c r="C67" s="9" t="s">
        <v>211</v>
      </c>
      <c r="D67" s="8">
        <v>5</v>
      </c>
      <c r="E67" s="8">
        <v>4.2128923553116042</v>
      </c>
      <c r="F67" s="8">
        <v>0.78710764468839578</v>
      </c>
    </row>
    <row r="68" spans="3:6" x14ac:dyDescent="0.25">
      <c r="C68" s="9" t="s">
        <v>212</v>
      </c>
      <c r="D68" s="8">
        <v>5</v>
      </c>
      <c r="E68" s="8">
        <v>4.3618251284494169</v>
      </c>
      <c r="F68" s="8">
        <v>0.63817487155058306</v>
      </c>
    </row>
    <row r="69" spans="3:6" x14ac:dyDescent="0.25">
      <c r="C69" s="9" t="s">
        <v>447</v>
      </c>
      <c r="D69" s="8">
        <v>5</v>
      </c>
      <c r="E69" s="8">
        <v>4.0816837033601443</v>
      </c>
      <c r="F69" s="8">
        <v>0.9183162966398557</v>
      </c>
    </row>
    <row r="70" spans="3:6" x14ac:dyDescent="0.25">
      <c r="C70" s="9" t="s">
        <v>213</v>
      </c>
      <c r="D70" s="8">
        <v>1</v>
      </c>
      <c r="E70" s="8">
        <v>4.4268672756201264</v>
      </c>
      <c r="F70" s="8">
        <v>-3.4268672756201264</v>
      </c>
    </row>
    <row r="71" spans="3:6" x14ac:dyDescent="0.25">
      <c r="C71" s="9" t="s">
        <v>214</v>
      </c>
      <c r="D71" s="8">
        <v>5</v>
      </c>
      <c r="E71" s="8">
        <v>3.954008274192867</v>
      </c>
      <c r="F71" s="8">
        <v>1.045991725807133</v>
      </c>
    </row>
    <row r="72" spans="3:6" x14ac:dyDescent="0.25">
      <c r="C72" s="9" t="s">
        <v>215</v>
      </c>
      <c r="D72" s="8">
        <v>5</v>
      </c>
      <c r="E72" s="8">
        <v>4.0190648136685754</v>
      </c>
      <c r="F72" s="8">
        <v>0.98093518633142462</v>
      </c>
    </row>
    <row r="73" spans="3:6" x14ac:dyDescent="0.25">
      <c r="C73" s="9" t="s">
        <v>216</v>
      </c>
      <c r="D73" s="8">
        <v>5</v>
      </c>
      <c r="E73" s="8">
        <v>3.9182634665627933</v>
      </c>
      <c r="F73" s="8">
        <v>1.0817365334372067</v>
      </c>
    </row>
    <row r="74" spans="3:6" x14ac:dyDescent="0.25">
      <c r="C74" s="9" t="s">
        <v>217</v>
      </c>
      <c r="D74" s="8">
        <v>3</v>
      </c>
      <c r="E74" s="8">
        <v>4.1679831945013897</v>
      </c>
      <c r="F74" s="8">
        <v>-1.1679831945013897</v>
      </c>
    </row>
    <row r="75" spans="3:6" x14ac:dyDescent="0.25">
      <c r="C75" s="9" t="s">
        <v>218</v>
      </c>
      <c r="D75" s="8">
        <v>4</v>
      </c>
      <c r="E75" s="8">
        <v>3.9229841224884687</v>
      </c>
      <c r="F75" s="8">
        <v>7.7015877511531272E-2</v>
      </c>
    </row>
    <row r="76" spans="3:6" x14ac:dyDescent="0.25">
      <c r="C76" s="9" t="s">
        <v>219</v>
      </c>
      <c r="D76" s="8">
        <v>3</v>
      </c>
      <c r="E76" s="8">
        <v>3.5478843440871439</v>
      </c>
      <c r="F76" s="8">
        <v>-0.54788434408714393</v>
      </c>
    </row>
    <row r="77" spans="3:6" x14ac:dyDescent="0.25">
      <c r="C77" s="9" t="s">
        <v>220</v>
      </c>
      <c r="D77" s="8">
        <v>5</v>
      </c>
      <c r="E77" s="8">
        <v>4.0271784410408289</v>
      </c>
      <c r="F77" s="8">
        <v>0.97282155895917111</v>
      </c>
    </row>
    <row r="78" spans="3:6" x14ac:dyDescent="0.25">
      <c r="C78" s="9" t="s">
        <v>221</v>
      </c>
      <c r="D78" s="8">
        <v>5</v>
      </c>
      <c r="E78" s="8">
        <v>4.2128923553116042</v>
      </c>
      <c r="F78" s="8">
        <v>0.78710764468839578</v>
      </c>
    </row>
    <row r="79" spans="3:6" x14ac:dyDescent="0.25">
      <c r="C79" s="9" t="s">
        <v>222</v>
      </c>
      <c r="D79" s="8">
        <v>4</v>
      </c>
      <c r="E79" s="8">
        <v>4.4268672756201264</v>
      </c>
      <c r="F79" s="8">
        <v>-0.42686727562012639</v>
      </c>
    </row>
    <row r="80" spans="3:6" x14ac:dyDescent="0.25">
      <c r="C80" s="9" t="s">
        <v>223</v>
      </c>
      <c r="D80" s="8">
        <v>5</v>
      </c>
      <c r="E80" s="8">
        <v>4.2884228501224033</v>
      </c>
      <c r="F80" s="8">
        <v>0.71157714987759668</v>
      </c>
    </row>
    <row r="81" spans="3:6" x14ac:dyDescent="0.25">
      <c r="C81" s="9" t="s">
        <v>224</v>
      </c>
      <c r="D81" s="8">
        <v>4</v>
      </c>
      <c r="E81" s="8">
        <v>3.5785686076040313</v>
      </c>
      <c r="F81" s="8">
        <v>0.42143139239596872</v>
      </c>
    </row>
    <row r="82" spans="3:6" x14ac:dyDescent="0.25">
      <c r="C82" s="9" t="s">
        <v>225</v>
      </c>
      <c r="D82" s="8">
        <v>5</v>
      </c>
      <c r="E82" s="8">
        <v>4.2779488947873121</v>
      </c>
      <c r="F82" s="8">
        <v>0.72205110521268789</v>
      </c>
    </row>
    <row r="83" spans="3:6" x14ac:dyDescent="0.25">
      <c r="C83" s="9" t="s">
        <v>226</v>
      </c>
      <c r="D83" s="8">
        <v>3</v>
      </c>
      <c r="E83" s="8">
        <v>3.9054291832648644</v>
      </c>
      <c r="F83" s="8">
        <v>-0.90542918326486443</v>
      </c>
    </row>
    <row r="84" spans="3:6" x14ac:dyDescent="0.25">
      <c r="C84" s="9" t="s">
        <v>458</v>
      </c>
      <c r="D84" s="8">
        <v>4</v>
      </c>
      <c r="E84" s="8">
        <v>4.1679831945013897</v>
      </c>
      <c r="F84" s="8">
        <v>-0.16798319450138965</v>
      </c>
    </row>
    <row r="85" spans="3:6" x14ac:dyDescent="0.25">
      <c r="C85" s="9" t="s">
        <v>427</v>
      </c>
      <c r="D85" s="8">
        <v>4</v>
      </c>
      <c r="E85" s="8">
        <v>4.5224605581150445</v>
      </c>
      <c r="F85" s="8">
        <v>-0.52246055811504455</v>
      </c>
    </row>
    <row r="86" spans="3:6" x14ac:dyDescent="0.25">
      <c r="C86" s="9" t="s">
        <v>227</v>
      </c>
      <c r="D86" s="8">
        <v>3</v>
      </c>
      <c r="E86" s="8">
        <v>3.8731365865785259</v>
      </c>
      <c r="F86" s="8">
        <v>-0.87313658657852589</v>
      </c>
    </row>
    <row r="87" spans="3:6" x14ac:dyDescent="0.25">
      <c r="C87" s="9" t="s">
        <v>420</v>
      </c>
      <c r="D87" s="8">
        <v>4</v>
      </c>
      <c r="E87" s="8">
        <v>4.0816837033601443</v>
      </c>
      <c r="F87" s="8">
        <v>-8.16837033601443E-2</v>
      </c>
    </row>
    <row r="88" spans="3:6" x14ac:dyDescent="0.25">
      <c r="C88" s="9" t="s">
        <v>228</v>
      </c>
      <c r="D88" s="8">
        <v>4</v>
      </c>
      <c r="E88" s="8">
        <v>4.2860625221595656</v>
      </c>
      <c r="F88" s="8">
        <v>-0.28606252215956562</v>
      </c>
    </row>
    <row r="89" spans="3:6" x14ac:dyDescent="0.25">
      <c r="C89" s="9" t="s">
        <v>229</v>
      </c>
      <c r="D89" s="8">
        <v>4</v>
      </c>
      <c r="E89" s="8">
        <v>3.8731365865785259</v>
      </c>
      <c r="F89" s="8">
        <v>0.12686341342147411</v>
      </c>
    </row>
    <row r="90" spans="3:6" x14ac:dyDescent="0.25">
      <c r="C90" s="9" t="s">
        <v>230</v>
      </c>
      <c r="D90" s="8">
        <v>5</v>
      </c>
      <c r="E90" s="8">
        <v>4.4727605427027788</v>
      </c>
      <c r="F90" s="8">
        <v>0.52723945729722121</v>
      </c>
    </row>
    <row r="91" spans="3:6" x14ac:dyDescent="0.25">
      <c r="C91" s="9" t="s">
        <v>231</v>
      </c>
      <c r="D91" s="8">
        <v>4</v>
      </c>
      <c r="E91" s="8">
        <v>4.2779488947873121</v>
      </c>
      <c r="F91" s="8">
        <v>-0.27794889478731211</v>
      </c>
    </row>
    <row r="92" spans="3:6" x14ac:dyDescent="0.25">
      <c r="C92" s="9" t="s">
        <v>232</v>
      </c>
      <c r="D92" s="8">
        <v>4</v>
      </c>
      <c r="E92" s="8">
        <v>3.664100041369732</v>
      </c>
      <c r="F92" s="8">
        <v>0.335899958630268</v>
      </c>
    </row>
    <row r="93" spans="3:6" x14ac:dyDescent="0.25">
      <c r="C93" s="9" t="s">
        <v>233</v>
      </c>
      <c r="D93" s="8">
        <v>3</v>
      </c>
      <c r="E93" s="8">
        <v>3.5478843440871439</v>
      </c>
      <c r="F93" s="8">
        <v>-0.54788434408714393</v>
      </c>
    </row>
    <row r="94" spans="3:6" x14ac:dyDescent="0.25">
      <c r="C94" s="9" t="s">
        <v>234</v>
      </c>
      <c r="D94" s="8">
        <v>5</v>
      </c>
      <c r="E94" s="8">
        <v>4.3267008576972108</v>
      </c>
      <c r="F94" s="8">
        <v>0.6732991423027892</v>
      </c>
    </row>
    <row r="95" spans="3:6" x14ac:dyDescent="0.25">
      <c r="C95" s="9" t="s">
        <v>441</v>
      </c>
      <c r="D95" s="8">
        <v>3</v>
      </c>
      <c r="E95" s="8">
        <v>4.1679831945013897</v>
      </c>
      <c r="F95" s="8">
        <v>-1.1679831945013897</v>
      </c>
    </row>
    <row r="96" spans="3:6" x14ac:dyDescent="0.25">
      <c r="C96" s="9" t="s">
        <v>235</v>
      </c>
      <c r="D96" s="8">
        <v>5</v>
      </c>
      <c r="E96" s="8">
        <v>3.5478843440871439</v>
      </c>
      <c r="F96" s="8">
        <v>1.4521156559128561</v>
      </c>
    </row>
    <row r="97" spans="3:6" x14ac:dyDescent="0.25">
      <c r="C97" s="9" t="s">
        <v>236</v>
      </c>
      <c r="D97" s="8">
        <v>5</v>
      </c>
      <c r="E97" s="8">
        <v>4.1320206676972626</v>
      </c>
      <c r="F97" s="8">
        <v>0.86797933230273738</v>
      </c>
    </row>
    <row r="98" spans="3:6" x14ac:dyDescent="0.25">
      <c r="C98" s="9" t="s">
        <v>237</v>
      </c>
      <c r="D98" s="8">
        <v>4</v>
      </c>
      <c r="E98" s="8">
        <v>4.3618251284494169</v>
      </c>
      <c r="F98" s="8">
        <v>-0.36182512844941694</v>
      </c>
    </row>
    <row r="99" spans="3:6" x14ac:dyDescent="0.25">
      <c r="C99" s="9" t="s">
        <v>238</v>
      </c>
      <c r="D99" s="8">
        <v>5</v>
      </c>
      <c r="E99" s="8">
        <v>4.2779488947873121</v>
      </c>
      <c r="F99" s="8">
        <v>0.72205110521268789</v>
      </c>
    </row>
    <row r="100" spans="3:6" x14ac:dyDescent="0.25">
      <c r="C100" s="9" t="s">
        <v>239</v>
      </c>
      <c r="D100" s="8">
        <v>4</v>
      </c>
      <c r="E100" s="8">
        <v>3.664100041369732</v>
      </c>
      <c r="F100" s="8">
        <v>0.335899958630268</v>
      </c>
    </row>
    <row r="101" spans="3:6" x14ac:dyDescent="0.25">
      <c r="C101" s="9" t="s">
        <v>449</v>
      </c>
      <c r="D101" s="8">
        <v>4</v>
      </c>
      <c r="E101" s="8">
        <v>3.9182634665627933</v>
      </c>
      <c r="F101" s="8">
        <v>8.173653343720666E-2</v>
      </c>
    </row>
    <row r="102" spans="3:6" x14ac:dyDescent="0.25">
      <c r="C102" s="9" t="s">
        <v>467</v>
      </c>
      <c r="D102" s="8">
        <v>3</v>
      </c>
      <c r="E102" s="8">
        <v>3.837452688722768</v>
      </c>
      <c r="F102" s="8">
        <v>-0.83745268872276801</v>
      </c>
    </row>
    <row r="103" spans="3:6" x14ac:dyDescent="0.25">
      <c r="C103" s="9" t="s">
        <v>240</v>
      </c>
      <c r="D103" s="8">
        <v>4</v>
      </c>
      <c r="E103" s="8">
        <v>4.2156323152511712</v>
      </c>
      <c r="F103" s="8">
        <v>-0.21563231525117121</v>
      </c>
    </row>
    <row r="104" spans="3:6" x14ac:dyDescent="0.25">
      <c r="C104" s="9" t="s">
        <v>241</v>
      </c>
      <c r="D104" s="8">
        <v>2</v>
      </c>
      <c r="E104" s="8">
        <v>4.3475785696910174</v>
      </c>
      <c r="F104" s="8">
        <v>-2.3475785696910174</v>
      </c>
    </row>
    <row r="105" spans="3:6" x14ac:dyDescent="0.25">
      <c r="C105" s="9" t="s">
        <v>417</v>
      </c>
      <c r="D105" s="8">
        <v>4</v>
      </c>
      <c r="E105" s="8">
        <v>4.3267008576972108</v>
      </c>
      <c r="F105" s="8">
        <v>-0.3267008576972108</v>
      </c>
    </row>
    <row r="106" spans="3:6" x14ac:dyDescent="0.25">
      <c r="C106" s="9" t="s">
        <v>242</v>
      </c>
      <c r="D106" s="8">
        <v>4</v>
      </c>
      <c r="E106" s="8">
        <v>4.0678167765784741</v>
      </c>
      <c r="F106" s="8">
        <v>-6.7816776578474069E-2</v>
      </c>
    </row>
    <row r="107" spans="3:6" x14ac:dyDescent="0.25">
      <c r="C107" s="9" t="s">
        <v>243</v>
      </c>
      <c r="D107" s="8">
        <v>4</v>
      </c>
      <c r="E107" s="8">
        <v>4.3618251284494169</v>
      </c>
      <c r="F107" s="8">
        <v>-0.36182512844941694</v>
      </c>
    </row>
    <row r="108" spans="3:6" x14ac:dyDescent="0.25">
      <c r="C108" s="9" t="s">
        <v>244</v>
      </c>
      <c r="D108" s="8">
        <v>5</v>
      </c>
      <c r="E108" s="8">
        <v>3.9182634665627933</v>
      </c>
      <c r="F108" s="8">
        <v>1.0817365334372067</v>
      </c>
    </row>
    <row r="109" spans="3:6" x14ac:dyDescent="0.25">
      <c r="C109" s="9" t="s">
        <v>245</v>
      </c>
      <c r="D109" s="8">
        <v>4</v>
      </c>
      <c r="E109" s="8">
        <v>4.340567784478881</v>
      </c>
      <c r="F109" s="8">
        <v>-0.34056778447888103</v>
      </c>
    </row>
    <row r="110" spans="3:6" x14ac:dyDescent="0.25">
      <c r="C110" s="9" t="s">
        <v>246</v>
      </c>
      <c r="D110" s="8">
        <v>4</v>
      </c>
      <c r="E110" s="8">
        <v>4.3475785696910174</v>
      </c>
      <c r="F110" s="8">
        <v>-0.34757856969101741</v>
      </c>
    </row>
    <row r="111" spans="3:6" x14ac:dyDescent="0.25">
      <c r="C111" s="9" t="s">
        <v>247</v>
      </c>
      <c r="D111" s="8">
        <v>4</v>
      </c>
      <c r="E111" s="8">
        <v>3.9182634665627933</v>
      </c>
      <c r="F111" s="8">
        <v>8.173653343720666E-2</v>
      </c>
    </row>
    <row r="112" spans="3:6" x14ac:dyDescent="0.25">
      <c r="C112" s="9" t="s">
        <v>248</v>
      </c>
      <c r="D112" s="8">
        <v>3</v>
      </c>
      <c r="E112" s="8">
        <v>4.0886944885722807</v>
      </c>
      <c r="F112" s="8">
        <v>-1.0886944885722807</v>
      </c>
    </row>
    <row r="113" spans="3:6" x14ac:dyDescent="0.25">
      <c r="C113" s="9" t="s">
        <v>410</v>
      </c>
      <c r="D113" s="8">
        <v>5</v>
      </c>
      <c r="E113" s="8">
        <v>4.2265813067084395</v>
      </c>
      <c r="F113" s="8">
        <v>0.77341869329156054</v>
      </c>
    </row>
    <row r="114" spans="3:6" x14ac:dyDescent="0.25">
      <c r="C114" s="9" t="s">
        <v>249</v>
      </c>
      <c r="D114" s="8">
        <v>4</v>
      </c>
      <c r="E114" s="8">
        <v>3.5478843440871439</v>
      </c>
      <c r="F114" s="8">
        <v>0.45211565591285607</v>
      </c>
    </row>
    <row r="115" spans="3:6" x14ac:dyDescent="0.25">
      <c r="C115" s="9" t="s">
        <v>250</v>
      </c>
      <c r="D115" s="8">
        <v>2</v>
      </c>
      <c r="E115" s="8">
        <v>4.4842527492166129</v>
      </c>
      <c r="F115" s="8">
        <v>-2.4842527492166129</v>
      </c>
    </row>
    <row r="116" spans="3:6" x14ac:dyDescent="0.25">
      <c r="C116" s="9" t="s">
        <v>251</v>
      </c>
      <c r="D116" s="8">
        <v>4</v>
      </c>
      <c r="E116" s="8">
        <v>4.2128923553116042</v>
      </c>
      <c r="F116" s="8">
        <v>-0.21289235531160422</v>
      </c>
    </row>
    <row r="117" spans="3:6" x14ac:dyDescent="0.25">
      <c r="C117" s="9" t="s">
        <v>252</v>
      </c>
      <c r="D117" s="8">
        <v>5</v>
      </c>
      <c r="E117" s="8">
        <v>4.3475785696910174</v>
      </c>
      <c r="F117" s="8">
        <v>0.65242143030898259</v>
      </c>
    </row>
    <row r="118" spans="3:6" x14ac:dyDescent="0.25">
      <c r="C118" s="9" t="s">
        <v>451</v>
      </c>
      <c r="D118" s="8">
        <v>3</v>
      </c>
      <c r="E118" s="8">
        <v>3.5785686076040313</v>
      </c>
      <c r="F118" s="8">
        <v>-0.57856860760403128</v>
      </c>
    </row>
    <row r="119" spans="3:6" x14ac:dyDescent="0.25">
      <c r="C119" s="9" t="s">
        <v>253</v>
      </c>
      <c r="D119" s="8">
        <v>4</v>
      </c>
      <c r="E119" s="8">
        <v>3.9054291832648644</v>
      </c>
      <c r="F119" s="8">
        <v>9.4570816735135566E-2</v>
      </c>
    </row>
    <row r="120" spans="3:6" x14ac:dyDescent="0.25">
      <c r="C120" s="9" t="s">
        <v>254</v>
      </c>
      <c r="D120" s="8">
        <v>4</v>
      </c>
      <c r="E120" s="8">
        <v>4.0271784410408289</v>
      </c>
      <c r="F120" s="8">
        <v>-2.7178441040828893E-2</v>
      </c>
    </row>
    <row r="121" spans="3:6" x14ac:dyDescent="0.25">
      <c r="C121" s="9" t="s">
        <v>424</v>
      </c>
      <c r="D121" s="8">
        <v>4</v>
      </c>
      <c r="E121" s="8">
        <v>3.9182634665627933</v>
      </c>
      <c r="F121" s="8">
        <v>8.173653343720666E-2</v>
      </c>
    </row>
    <row r="122" spans="3:6" x14ac:dyDescent="0.25">
      <c r="C122" s="9" t="s">
        <v>255</v>
      </c>
      <c r="D122" s="8">
        <v>5</v>
      </c>
      <c r="E122" s="8">
        <v>4.6207092095681537</v>
      </c>
      <c r="F122" s="8">
        <v>0.37929079043184633</v>
      </c>
    </row>
    <row r="123" spans="3:6" x14ac:dyDescent="0.25">
      <c r="C123" s="9" t="s">
        <v>256</v>
      </c>
      <c r="D123" s="8">
        <v>5</v>
      </c>
      <c r="E123" s="8">
        <v>4.7316446238215155</v>
      </c>
      <c r="F123" s="8">
        <v>0.26835537617848448</v>
      </c>
    </row>
    <row r="124" spans="3:6" x14ac:dyDescent="0.25">
      <c r="C124" s="9" t="s">
        <v>459</v>
      </c>
      <c r="D124" s="8">
        <v>3</v>
      </c>
      <c r="E124" s="8">
        <v>3.9676972255897027</v>
      </c>
      <c r="F124" s="8">
        <v>-0.96769722558970273</v>
      </c>
    </row>
    <row r="125" spans="3:6" x14ac:dyDescent="0.25">
      <c r="C125" s="9" t="s">
        <v>257</v>
      </c>
      <c r="D125" s="8">
        <v>3</v>
      </c>
      <c r="E125" s="8">
        <v>4.0295387690036666</v>
      </c>
      <c r="F125" s="8">
        <v>-1.0295387690036666</v>
      </c>
    </row>
    <row r="126" spans="3:6" x14ac:dyDescent="0.25">
      <c r="C126" s="9" t="s">
        <v>258</v>
      </c>
      <c r="D126" s="8">
        <v>4</v>
      </c>
      <c r="E126" s="8">
        <v>4.3475785696910174</v>
      </c>
      <c r="F126" s="8">
        <v>-0.34757856969101741</v>
      </c>
    </row>
    <row r="127" spans="3:6" x14ac:dyDescent="0.25">
      <c r="C127" s="9" t="s">
        <v>259</v>
      </c>
      <c r="D127" s="8">
        <v>4</v>
      </c>
      <c r="E127" s="8">
        <v>4.2156323152511712</v>
      </c>
      <c r="F127" s="8">
        <v>-0.21563231525117121</v>
      </c>
    </row>
    <row r="128" spans="3:6" x14ac:dyDescent="0.25">
      <c r="C128" s="9" t="s">
        <v>415</v>
      </c>
      <c r="D128" s="8">
        <v>4</v>
      </c>
      <c r="E128" s="8">
        <v>4.3206993842265833</v>
      </c>
      <c r="F128" s="8">
        <v>-0.32069938422658328</v>
      </c>
    </row>
    <row r="129" spans="3:6" x14ac:dyDescent="0.25">
      <c r="C129" s="9" t="s">
        <v>260</v>
      </c>
      <c r="D129" s="8">
        <v>5</v>
      </c>
      <c r="E129" s="8">
        <v>4.3475785696910174</v>
      </c>
      <c r="F129" s="8">
        <v>0.65242143030898259</v>
      </c>
    </row>
    <row r="130" spans="3:6" x14ac:dyDescent="0.25">
      <c r="C130" s="9" t="s">
        <v>473</v>
      </c>
      <c r="D130" s="8">
        <v>3</v>
      </c>
      <c r="E130" s="8">
        <v>3.9676972255897027</v>
      </c>
      <c r="F130" s="8">
        <v>-0.96769722558970273</v>
      </c>
    </row>
    <row r="131" spans="3:6" x14ac:dyDescent="0.25">
      <c r="C131" s="9" t="s">
        <v>261</v>
      </c>
      <c r="D131" s="8">
        <v>5</v>
      </c>
      <c r="E131" s="8">
        <v>4.0886944885722807</v>
      </c>
      <c r="F131" s="8">
        <v>0.91130551142771932</v>
      </c>
    </row>
    <row r="132" spans="3:6" x14ac:dyDescent="0.25">
      <c r="C132" s="9" t="s">
        <v>262</v>
      </c>
      <c r="D132" s="8">
        <v>3</v>
      </c>
      <c r="E132" s="8">
        <v>3.5478843440871439</v>
      </c>
      <c r="F132" s="8">
        <v>-0.54788434408714393</v>
      </c>
    </row>
    <row r="133" spans="3:6" x14ac:dyDescent="0.25">
      <c r="C133" s="9" t="s">
        <v>263</v>
      </c>
      <c r="D133" s="8">
        <v>4</v>
      </c>
      <c r="E133" s="8">
        <v>4.0678167765784741</v>
      </c>
      <c r="F133" s="8">
        <v>-6.7816776578474069E-2</v>
      </c>
    </row>
    <row r="134" spans="3:6" x14ac:dyDescent="0.25">
      <c r="C134" s="9" t="s">
        <v>264</v>
      </c>
      <c r="D134" s="8">
        <v>4</v>
      </c>
      <c r="E134" s="8">
        <v>4.5224605581150445</v>
      </c>
      <c r="F134" s="8">
        <v>-0.52246055811504455</v>
      </c>
    </row>
    <row r="135" spans="3:6" x14ac:dyDescent="0.25">
      <c r="C135" s="9" t="s">
        <v>265</v>
      </c>
      <c r="D135" s="8">
        <v>1</v>
      </c>
      <c r="E135" s="8">
        <v>4.3618251284494169</v>
      </c>
      <c r="F135" s="8">
        <v>-3.3618251284494169</v>
      </c>
    </row>
    <row r="136" spans="3:6" x14ac:dyDescent="0.25">
      <c r="C136" s="9" t="s">
        <v>455</v>
      </c>
      <c r="D136" s="8">
        <v>1</v>
      </c>
      <c r="E136" s="8">
        <v>4.2128923553116042</v>
      </c>
      <c r="F136" s="8">
        <v>-3.2128923553116042</v>
      </c>
    </row>
    <row r="137" spans="3:6" x14ac:dyDescent="0.25">
      <c r="C137" s="9" t="s">
        <v>266</v>
      </c>
      <c r="D137" s="8">
        <v>5</v>
      </c>
      <c r="E137" s="8">
        <v>3.954008274192867</v>
      </c>
      <c r="F137" s="8">
        <v>1.045991725807133</v>
      </c>
    </row>
    <row r="138" spans="3:6" x14ac:dyDescent="0.25">
      <c r="C138" s="9" t="s">
        <v>267</v>
      </c>
      <c r="D138" s="8">
        <v>2</v>
      </c>
      <c r="E138" s="8">
        <v>4.0816837033601443</v>
      </c>
      <c r="F138" s="8">
        <v>-2.0816837033601443</v>
      </c>
    </row>
    <row r="139" spans="3:6" x14ac:dyDescent="0.25">
      <c r="C139" s="9" t="s">
        <v>268</v>
      </c>
      <c r="D139" s="8">
        <v>3</v>
      </c>
      <c r="E139" s="8">
        <v>3.6465451021461277</v>
      </c>
      <c r="F139" s="8">
        <v>-0.6465451021461277</v>
      </c>
    </row>
    <row r="140" spans="3:6" x14ac:dyDescent="0.25">
      <c r="C140" s="9" t="s">
        <v>269</v>
      </c>
      <c r="D140" s="8">
        <v>3</v>
      </c>
      <c r="E140" s="8">
        <v>3.837452688722768</v>
      </c>
      <c r="F140" s="8">
        <v>-0.83745268872276801</v>
      </c>
    </row>
    <row r="141" spans="3:6" x14ac:dyDescent="0.25">
      <c r="C141" s="9" t="s">
        <v>270</v>
      </c>
      <c r="D141" s="8">
        <v>4</v>
      </c>
      <c r="E141" s="8">
        <v>3.5478843440871439</v>
      </c>
      <c r="F141" s="8">
        <v>0.45211565591285607</v>
      </c>
    </row>
    <row r="142" spans="3:6" x14ac:dyDescent="0.25">
      <c r="C142" s="9" t="s">
        <v>271</v>
      </c>
      <c r="D142" s="8">
        <v>4</v>
      </c>
      <c r="E142" s="8">
        <v>3.5785686076040313</v>
      </c>
      <c r="F142" s="8">
        <v>0.42143139239596872</v>
      </c>
    </row>
    <row r="143" spans="3:6" x14ac:dyDescent="0.25">
      <c r="C143" s="9" t="s">
        <v>272</v>
      </c>
      <c r="D143" s="8">
        <v>3</v>
      </c>
      <c r="E143" s="8">
        <v>3.9054291832648644</v>
      </c>
      <c r="F143" s="8">
        <v>-0.90542918326486443</v>
      </c>
    </row>
    <row r="144" spans="3:6" x14ac:dyDescent="0.25">
      <c r="C144" s="9" t="s">
        <v>273</v>
      </c>
      <c r="D144" s="8">
        <v>4</v>
      </c>
      <c r="E144" s="8">
        <v>4.2884228501224033</v>
      </c>
      <c r="F144" s="8">
        <v>-0.28842285012240332</v>
      </c>
    </row>
    <row r="145" spans="3:6" x14ac:dyDescent="0.25">
      <c r="C145" s="9" t="s">
        <v>419</v>
      </c>
      <c r="D145" s="8">
        <v>5</v>
      </c>
      <c r="E145" s="8">
        <v>4.0816837033601443</v>
      </c>
      <c r="F145" s="8">
        <v>0.9183162966398557</v>
      </c>
    </row>
    <row r="146" spans="3:6" x14ac:dyDescent="0.25">
      <c r="C146" s="9" t="s">
        <v>274</v>
      </c>
      <c r="D146" s="8">
        <v>4</v>
      </c>
      <c r="E146" s="8">
        <v>4.2265813067084395</v>
      </c>
      <c r="F146" s="8">
        <v>-0.22658130670843946</v>
      </c>
    </row>
    <row r="147" spans="3:6" x14ac:dyDescent="0.25">
      <c r="C147" s="9" t="s">
        <v>275</v>
      </c>
      <c r="D147" s="8">
        <v>3</v>
      </c>
      <c r="E147" s="8">
        <v>4.2884228501224033</v>
      </c>
      <c r="F147" s="8">
        <v>-1.2884228501224033</v>
      </c>
    </row>
    <row r="148" spans="3:6" x14ac:dyDescent="0.25">
      <c r="C148" s="9" t="s">
        <v>276</v>
      </c>
      <c r="D148" s="8">
        <v>4</v>
      </c>
      <c r="E148" s="8">
        <v>4.2265813067084395</v>
      </c>
      <c r="F148" s="8">
        <v>-0.22658130670843946</v>
      </c>
    </row>
    <row r="149" spans="3:6" x14ac:dyDescent="0.25">
      <c r="C149" s="9" t="s">
        <v>277</v>
      </c>
      <c r="D149" s="8">
        <v>5</v>
      </c>
      <c r="E149" s="8">
        <v>4.0295387690036666</v>
      </c>
      <c r="F149" s="8">
        <v>0.97046123099633341</v>
      </c>
    </row>
    <row r="150" spans="3:6" x14ac:dyDescent="0.25">
      <c r="C150" s="9" t="s">
        <v>471</v>
      </c>
      <c r="D150" s="8">
        <v>5</v>
      </c>
      <c r="E150" s="8">
        <v>4.3206993842265833</v>
      </c>
      <c r="F150" s="8">
        <v>0.67930061577341672</v>
      </c>
    </row>
    <row r="151" spans="3:6" x14ac:dyDescent="0.25">
      <c r="C151" s="9" t="s">
        <v>278</v>
      </c>
      <c r="D151" s="8">
        <v>4</v>
      </c>
      <c r="E151" s="8">
        <v>4.4727605427027788</v>
      </c>
      <c r="F151" s="8">
        <v>-0.47276054270277879</v>
      </c>
    </row>
    <row r="152" spans="3:6" x14ac:dyDescent="0.25">
      <c r="C152" s="9" t="s">
        <v>463</v>
      </c>
      <c r="D152" s="8">
        <v>5</v>
      </c>
      <c r="E152" s="8">
        <v>4.1679831945013897</v>
      </c>
      <c r="F152" s="8">
        <v>0.83201680549861035</v>
      </c>
    </row>
    <row r="153" spans="3:6" x14ac:dyDescent="0.25">
      <c r="C153" s="9" t="s">
        <v>450</v>
      </c>
      <c r="D153" s="8">
        <v>2</v>
      </c>
      <c r="E153" s="8">
        <v>4.0816837033601443</v>
      </c>
      <c r="F153" s="8">
        <v>-2.0816837033601443</v>
      </c>
    </row>
    <row r="154" spans="3:6" x14ac:dyDescent="0.25">
      <c r="C154" s="9" t="s">
        <v>279</v>
      </c>
      <c r="D154" s="8">
        <v>5</v>
      </c>
      <c r="E154" s="8">
        <v>4.7316446238215155</v>
      </c>
      <c r="F154" s="8">
        <v>0.26835537617848448</v>
      </c>
    </row>
    <row r="155" spans="3:6" x14ac:dyDescent="0.25">
      <c r="C155" s="9" t="s">
        <v>280</v>
      </c>
      <c r="D155" s="8">
        <v>4</v>
      </c>
      <c r="E155" s="8">
        <v>4.1320206676972626</v>
      </c>
      <c r="F155" s="8">
        <v>-0.13202066769726262</v>
      </c>
    </row>
    <row r="156" spans="3:6" x14ac:dyDescent="0.25">
      <c r="C156" s="9" t="s">
        <v>281</v>
      </c>
      <c r="D156" s="8">
        <v>5</v>
      </c>
      <c r="E156" s="8">
        <v>4.340567784478881</v>
      </c>
      <c r="F156" s="8">
        <v>0.65943221552111897</v>
      </c>
    </row>
    <row r="157" spans="3:6" x14ac:dyDescent="0.25">
      <c r="C157" s="9" t="s">
        <v>282</v>
      </c>
      <c r="D157" s="8">
        <v>2</v>
      </c>
      <c r="E157" s="8">
        <v>3.6465451021461277</v>
      </c>
      <c r="F157" s="8">
        <v>-1.6465451021461277</v>
      </c>
    </row>
    <row r="158" spans="3:6" x14ac:dyDescent="0.25">
      <c r="C158" s="9" t="s">
        <v>422</v>
      </c>
      <c r="D158" s="8">
        <v>3</v>
      </c>
      <c r="E158" s="8">
        <v>3.664100041369732</v>
      </c>
      <c r="F158" s="8">
        <v>-0.664100041369732</v>
      </c>
    </row>
    <row r="159" spans="3:6" x14ac:dyDescent="0.25">
      <c r="C159" s="9" t="s">
        <v>283</v>
      </c>
      <c r="D159" s="8">
        <v>4</v>
      </c>
      <c r="E159" s="8">
        <v>3.9054291832648644</v>
      </c>
      <c r="F159" s="8">
        <v>9.4570816735135566E-2</v>
      </c>
    </row>
    <row r="160" spans="3:6" x14ac:dyDescent="0.25">
      <c r="C160" s="9" t="s">
        <v>284</v>
      </c>
      <c r="D160" s="8">
        <v>5</v>
      </c>
      <c r="E160" s="8">
        <v>4.2635764769963078</v>
      </c>
      <c r="F160" s="8">
        <v>0.73642352300369218</v>
      </c>
    </row>
    <row r="161" spans="3:6" x14ac:dyDescent="0.25">
      <c r="C161" s="9" t="s">
        <v>423</v>
      </c>
      <c r="D161" s="8">
        <v>3</v>
      </c>
      <c r="E161" s="8">
        <v>3.664100041369732</v>
      </c>
      <c r="F161" s="8">
        <v>-0.664100041369732</v>
      </c>
    </row>
    <row r="162" spans="3:6" x14ac:dyDescent="0.25">
      <c r="C162" s="9" t="s">
        <v>285</v>
      </c>
      <c r="D162" s="8">
        <v>5</v>
      </c>
      <c r="E162" s="8">
        <v>4.1679831945013897</v>
      </c>
      <c r="F162" s="8">
        <v>0.83201680549861035</v>
      </c>
    </row>
    <row r="163" spans="3:6" x14ac:dyDescent="0.25">
      <c r="C163" s="9" t="s">
        <v>286</v>
      </c>
      <c r="D163" s="8">
        <v>5</v>
      </c>
      <c r="E163" s="8">
        <v>4.0618153031078466</v>
      </c>
      <c r="F163" s="8">
        <v>0.93818469689215345</v>
      </c>
    </row>
    <row r="164" spans="3:6" x14ac:dyDescent="0.25">
      <c r="C164" s="9" t="s">
        <v>416</v>
      </c>
      <c r="D164" s="8">
        <v>3</v>
      </c>
      <c r="E164" s="8">
        <v>3.8731365865785259</v>
      </c>
      <c r="F164" s="8">
        <v>-0.87313658657852589</v>
      </c>
    </row>
    <row r="165" spans="3:6" x14ac:dyDescent="0.25">
      <c r="C165" s="9" t="s">
        <v>452</v>
      </c>
      <c r="D165" s="8">
        <v>3</v>
      </c>
      <c r="E165" s="8">
        <v>4.2635764769963078</v>
      </c>
      <c r="F165" s="8">
        <v>-1.2635764769963078</v>
      </c>
    </row>
    <row r="166" spans="3:6" x14ac:dyDescent="0.25">
      <c r="C166" s="9" t="s">
        <v>476</v>
      </c>
      <c r="D166" s="8">
        <v>4</v>
      </c>
      <c r="E166" s="8">
        <v>3.8731365865785259</v>
      </c>
      <c r="F166" s="8">
        <v>0.12686341342147411</v>
      </c>
    </row>
    <row r="167" spans="3:6" x14ac:dyDescent="0.25">
      <c r="C167" s="9" t="s">
        <v>436</v>
      </c>
      <c r="D167" s="8">
        <v>4</v>
      </c>
      <c r="E167" s="8">
        <v>4.0190648136685754</v>
      </c>
      <c r="F167" s="8">
        <v>-1.9064813668575376E-2</v>
      </c>
    </row>
    <row r="168" spans="3:6" x14ac:dyDescent="0.25">
      <c r="C168" s="9" t="s">
        <v>469</v>
      </c>
      <c r="D168" s="8">
        <v>2</v>
      </c>
      <c r="E168" s="8">
        <v>4.2128923553116042</v>
      </c>
      <c r="F168" s="8">
        <v>-2.2128923553116042</v>
      </c>
    </row>
    <row r="169" spans="3:6" x14ac:dyDescent="0.25">
      <c r="C169" s="9" t="s">
        <v>457</v>
      </c>
      <c r="D169" s="8">
        <v>1</v>
      </c>
      <c r="E169" s="8">
        <v>4.0618153031078466</v>
      </c>
      <c r="F169" s="8">
        <v>-3.0618153031078466</v>
      </c>
    </row>
    <row r="170" spans="3:6" x14ac:dyDescent="0.25">
      <c r="C170" s="9" t="s">
        <v>287</v>
      </c>
      <c r="D170" s="8">
        <v>4</v>
      </c>
      <c r="E170" s="8">
        <v>4.0678167765784741</v>
      </c>
      <c r="F170" s="8">
        <v>-6.7816776578474069E-2</v>
      </c>
    </row>
    <row r="171" spans="3:6" x14ac:dyDescent="0.25">
      <c r="C171" s="9" t="s">
        <v>288</v>
      </c>
      <c r="D171" s="8">
        <v>4</v>
      </c>
      <c r="E171" s="8">
        <v>3.8067684252058807</v>
      </c>
      <c r="F171" s="8">
        <v>0.19323157479411934</v>
      </c>
    </row>
    <row r="172" spans="3:6" x14ac:dyDescent="0.25">
      <c r="C172" s="9" t="s">
        <v>289</v>
      </c>
      <c r="D172" s="8">
        <v>4</v>
      </c>
      <c r="E172" s="8">
        <v>4.0190648136685754</v>
      </c>
      <c r="F172" s="8">
        <v>-1.9064813668575376E-2</v>
      </c>
    </row>
    <row r="173" spans="3:6" x14ac:dyDescent="0.25">
      <c r="C173" s="9" t="s">
        <v>472</v>
      </c>
      <c r="D173" s="8">
        <v>4</v>
      </c>
      <c r="E173" s="8">
        <v>3.8067684252058807</v>
      </c>
      <c r="F173" s="8">
        <v>0.19323157479411934</v>
      </c>
    </row>
    <row r="174" spans="3:6" x14ac:dyDescent="0.25">
      <c r="C174" s="9" t="s">
        <v>456</v>
      </c>
      <c r="D174" s="8">
        <v>4</v>
      </c>
      <c r="E174" s="8">
        <v>4.2253686680978761</v>
      </c>
      <c r="F174" s="8">
        <v>-0.22536866809787615</v>
      </c>
    </row>
    <row r="175" spans="3:6" x14ac:dyDescent="0.25">
      <c r="C175" s="9" t="s">
        <v>290</v>
      </c>
      <c r="D175" s="8">
        <v>5</v>
      </c>
      <c r="E175" s="8">
        <v>4.3267008576972108</v>
      </c>
      <c r="F175" s="8">
        <v>0.6732991423027892</v>
      </c>
    </row>
    <row r="176" spans="3:6" x14ac:dyDescent="0.25">
      <c r="C176" s="9" t="s">
        <v>291</v>
      </c>
      <c r="D176" s="8">
        <v>4</v>
      </c>
      <c r="E176" s="8">
        <v>4.0886944885722807</v>
      </c>
      <c r="F176" s="8">
        <v>-8.8694488572280683E-2</v>
      </c>
    </row>
    <row r="177" spans="3:6" x14ac:dyDescent="0.25">
      <c r="C177" s="9" t="s">
        <v>292</v>
      </c>
      <c r="D177" s="8">
        <v>5</v>
      </c>
      <c r="E177" s="8">
        <v>4.2156323152511712</v>
      </c>
      <c r="F177" s="8">
        <v>0.78436768474882879</v>
      </c>
    </row>
    <row r="178" spans="3:6" x14ac:dyDescent="0.25">
      <c r="C178" s="9" t="s">
        <v>293</v>
      </c>
      <c r="D178" s="8">
        <v>1</v>
      </c>
      <c r="E178" s="8">
        <v>4.4727605427027788</v>
      </c>
      <c r="F178" s="8">
        <v>-3.4727605427027788</v>
      </c>
    </row>
    <row r="179" spans="3:6" x14ac:dyDescent="0.25">
      <c r="C179" s="9" t="s">
        <v>294</v>
      </c>
      <c r="D179" s="8">
        <v>5</v>
      </c>
      <c r="E179" s="8">
        <v>3.9229841224884687</v>
      </c>
      <c r="F179" s="8">
        <v>1.0770158775115313</v>
      </c>
    </row>
    <row r="180" spans="3:6" x14ac:dyDescent="0.25">
      <c r="C180" s="9" t="s">
        <v>418</v>
      </c>
      <c r="D180" s="8">
        <v>5</v>
      </c>
      <c r="E180" s="8">
        <v>4.5224605581150445</v>
      </c>
      <c r="F180" s="8">
        <v>0.47753944188495545</v>
      </c>
    </row>
    <row r="181" spans="3:6" x14ac:dyDescent="0.25">
      <c r="C181" s="9" t="s">
        <v>295</v>
      </c>
      <c r="D181" s="8">
        <v>5</v>
      </c>
      <c r="E181" s="8">
        <v>3.954008274192867</v>
      </c>
      <c r="F181" s="8">
        <v>1.045991725807133</v>
      </c>
    </row>
    <row r="182" spans="3:6" x14ac:dyDescent="0.25">
      <c r="C182" s="9" t="s">
        <v>296</v>
      </c>
      <c r="D182" s="8">
        <v>3</v>
      </c>
      <c r="E182" s="8">
        <v>3.664100041369732</v>
      </c>
      <c r="F182" s="8">
        <v>-0.664100041369732</v>
      </c>
    </row>
    <row r="183" spans="3:6" x14ac:dyDescent="0.25">
      <c r="C183" s="9" t="s">
        <v>297</v>
      </c>
      <c r="D183" s="8">
        <v>3</v>
      </c>
      <c r="E183" s="8">
        <v>4.2884228501224033</v>
      </c>
      <c r="F183" s="8">
        <v>-1.2884228501224033</v>
      </c>
    </row>
    <row r="184" spans="3:6" x14ac:dyDescent="0.25">
      <c r="C184" s="9" t="s">
        <v>439</v>
      </c>
      <c r="D184" s="8">
        <v>4</v>
      </c>
      <c r="E184" s="8">
        <v>4.2253686680978761</v>
      </c>
      <c r="F184" s="8">
        <v>-0.22536866809787615</v>
      </c>
    </row>
    <row r="185" spans="3:6" x14ac:dyDescent="0.25">
      <c r="C185" s="9" t="s">
        <v>298</v>
      </c>
      <c r="D185" s="8">
        <v>4</v>
      </c>
      <c r="E185" s="8">
        <v>3.5785686076040313</v>
      </c>
      <c r="F185" s="8">
        <v>0.42143139239596872</v>
      </c>
    </row>
    <row r="186" spans="3:6" x14ac:dyDescent="0.25">
      <c r="C186" s="9" t="s">
        <v>299</v>
      </c>
      <c r="D186" s="8">
        <v>1</v>
      </c>
      <c r="E186" s="8">
        <v>4.2253686680978761</v>
      </c>
      <c r="F186" s="8">
        <v>-3.2253686680978761</v>
      </c>
    </row>
    <row r="187" spans="3:6" x14ac:dyDescent="0.25">
      <c r="C187" s="9" t="s">
        <v>443</v>
      </c>
      <c r="D187" s="8">
        <v>5</v>
      </c>
      <c r="E187" s="8">
        <v>4.0190648136685754</v>
      </c>
      <c r="F187" s="8">
        <v>0.98093518633142462</v>
      </c>
    </row>
    <row r="188" spans="3:6" x14ac:dyDescent="0.25">
      <c r="C188" s="9" t="s">
        <v>444</v>
      </c>
      <c r="D188" s="8">
        <v>5</v>
      </c>
      <c r="E188" s="8">
        <v>4.0190648136685754</v>
      </c>
      <c r="F188" s="8">
        <v>0.98093518633142462</v>
      </c>
    </row>
    <row r="189" spans="3:6" x14ac:dyDescent="0.25">
      <c r="C189" s="9" t="s">
        <v>300</v>
      </c>
      <c r="D189" s="8">
        <v>4</v>
      </c>
      <c r="E189" s="8">
        <v>4.2884228501224033</v>
      </c>
      <c r="F189" s="8">
        <v>-0.28842285012240332</v>
      </c>
    </row>
    <row r="190" spans="3:6" x14ac:dyDescent="0.25">
      <c r="C190" s="9" t="s">
        <v>301</v>
      </c>
      <c r="D190" s="8">
        <v>5</v>
      </c>
      <c r="E190" s="8">
        <v>3.9054291832648644</v>
      </c>
      <c r="F190" s="8">
        <v>1.0945708167351356</v>
      </c>
    </row>
    <row r="191" spans="3:6" x14ac:dyDescent="0.25">
      <c r="C191" s="9" t="s">
        <v>302</v>
      </c>
      <c r="D191" s="8">
        <v>5</v>
      </c>
      <c r="E191" s="8">
        <v>4.2860625221595656</v>
      </c>
      <c r="F191" s="8">
        <v>0.71393747784043438</v>
      </c>
    </row>
    <row r="192" spans="3:6" x14ac:dyDescent="0.25">
      <c r="C192" s="9" t="s">
        <v>303</v>
      </c>
      <c r="D192" s="8">
        <v>5</v>
      </c>
      <c r="E192" s="8">
        <v>3.8067684252058807</v>
      </c>
      <c r="F192" s="8">
        <v>1.1932315747941193</v>
      </c>
    </row>
    <row r="193" spans="3:6" x14ac:dyDescent="0.25">
      <c r="C193" s="9" t="s">
        <v>304</v>
      </c>
      <c r="D193" s="8">
        <v>5</v>
      </c>
      <c r="E193" s="8">
        <v>3.9676972255897027</v>
      </c>
      <c r="F193" s="8">
        <v>1.0323027744102973</v>
      </c>
    </row>
    <row r="194" spans="3:6" x14ac:dyDescent="0.25">
      <c r="C194" s="9" t="s">
        <v>305</v>
      </c>
      <c r="D194" s="8">
        <v>5</v>
      </c>
      <c r="E194" s="8">
        <v>3.9182634665627933</v>
      </c>
      <c r="F194" s="8">
        <v>1.0817365334372067</v>
      </c>
    </row>
    <row r="195" spans="3:6" x14ac:dyDescent="0.25">
      <c r="C195" s="9" t="s">
        <v>306</v>
      </c>
      <c r="D195" s="8">
        <v>5</v>
      </c>
      <c r="E195" s="8">
        <v>3.5785686076040313</v>
      </c>
      <c r="F195" s="8">
        <v>1.4214313923959687</v>
      </c>
    </row>
    <row r="196" spans="3:6" x14ac:dyDescent="0.25">
      <c r="C196" s="9" t="s">
        <v>307</v>
      </c>
      <c r="D196" s="8">
        <v>5</v>
      </c>
      <c r="E196" s="8">
        <v>4.0816837033601443</v>
      </c>
      <c r="F196" s="8">
        <v>0.9183162966398557</v>
      </c>
    </row>
    <row r="197" spans="3:6" x14ac:dyDescent="0.25">
      <c r="C197" s="9" t="s">
        <v>308</v>
      </c>
      <c r="D197" s="8">
        <v>5</v>
      </c>
      <c r="E197" s="8">
        <v>4.4727605427027788</v>
      </c>
      <c r="F197" s="8">
        <v>0.52723945729722121</v>
      </c>
    </row>
    <row r="198" spans="3:6" x14ac:dyDescent="0.25">
      <c r="C198" s="9" t="s">
        <v>309</v>
      </c>
      <c r="D198" s="8">
        <v>3</v>
      </c>
      <c r="E198" s="8">
        <v>4.0886944885722807</v>
      </c>
      <c r="F198" s="8">
        <v>-1.0886944885722807</v>
      </c>
    </row>
    <row r="199" spans="3:6" x14ac:dyDescent="0.25">
      <c r="C199" s="9" t="s">
        <v>310</v>
      </c>
      <c r="D199" s="8">
        <v>4</v>
      </c>
      <c r="E199" s="8">
        <v>4.340567784478881</v>
      </c>
      <c r="F199" s="8">
        <v>-0.34056778447888103</v>
      </c>
    </row>
    <row r="200" spans="3:6" x14ac:dyDescent="0.25">
      <c r="C200" s="9" t="s">
        <v>311</v>
      </c>
      <c r="D200" s="8">
        <v>4</v>
      </c>
      <c r="E200" s="8">
        <v>4.3267008576972108</v>
      </c>
      <c r="F200" s="8">
        <v>-0.3267008576972108</v>
      </c>
    </row>
    <row r="201" spans="3:6" x14ac:dyDescent="0.25">
      <c r="C201" s="9" t="s">
        <v>312</v>
      </c>
      <c r="D201" s="8">
        <v>4</v>
      </c>
      <c r="E201" s="8">
        <v>4.2635764769963078</v>
      </c>
      <c r="F201" s="8">
        <v>-0.26357647699630782</v>
      </c>
    </row>
    <row r="202" spans="3:6" x14ac:dyDescent="0.25">
      <c r="C202" s="9" t="s">
        <v>313</v>
      </c>
      <c r="D202" s="8">
        <v>5</v>
      </c>
      <c r="E202" s="8">
        <v>3.9182634665627933</v>
      </c>
      <c r="F202" s="8">
        <v>1.0817365334372067</v>
      </c>
    </row>
    <row r="203" spans="3:6" x14ac:dyDescent="0.25">
      <c r="C203" s="9" t="s">
        <v>440</v>
      </c>
      <c r="D203" s="8">
        <v>3</v>
      </c>
      <c r="E203" s="8">
        <v>3.6465451021461277</v>
      </c>
      <c r="F203" s="8">
        <v>-0.6465451021461277</v>
      </c>
    </row>
    <row r="204" spans="3:6" x14ac:dyDescent="0.25">
      <c r="C204" s="9" t="s">
        <v>314</v>
      </c>
      <c r="D204" s="8">
        <v>3</v>
      </c>
      <c r="E204" s="8">
        <v>3.9676972255897027</v>
      </c>
      <c r="F204" s="8">
        <v>-0.96769722558970273</v>
      </c>
    </row>
    <row r="205" spans="3:6" x14ac:dyDescent="0.25">
      <c r="C205" s="9" t="s">
        <v>315</v>
      </c>
      <c r="D205" s="8">
        <v>4</v>
      </c>
      <c r="E205" s="8">
        <v>3.6593793854440566</v>
      </c>
      <c r="F205" s="8">
        <v>0.34062061455594339</v>
      </c>
    </row>
    <row r="206" spans="3:6" x14ac:dyDescent="0.25">
      <c r="C206" s="9" t="s">
        <v>462</v>
      </c>
      <c r="D206" s="8">
        <v>4</v>
      </c>
      <c r="E206" s="8">
        <v>3.8731365865785259</v>
      </c>
      <c r="F206" s="8">
        <v>0.12686341342147411</v>
      </c>
    </row>
    <row r="207" spans="3:6" x14ac:dyDescent="0.25">
      <c r="C207" s="9" t="s">
        <v>316</v>
      </c>
      <c r="D207" s="8">
        <v>4</v>
      </c>
      <c r="E207" s="8">
        <v>3.9054291832648644</v>
      </c>
      <c r="F207" s="8">
        <v>9.4570816735135566E-2</v>
      </c>
    </row>
    <row r="208" spans="3:6" x14ac:dyDescent="0.25">
      <c r="C208" s="9" t="s">
        <v>317</v>
      </c>
      <c r="D208" s="8">
        <v>3</v>
      </c>
      <c r="E208" s="8">
        <v>3.5785686076040313</v>
      </c>
      <c r="F208" s="8">
        <v>-0.57856860760403128</v>
      </c>
    </row>
    <row r="209" spans="3:6" x14ac:dyDescent="0.25">
      <c r="C209" s="9" t="s">
        <v>435</v>
      </c>
      <c r="D209" s="8">
        <v>5</v>
      </c>
      <c r="E209" s="8">
        <v>4.2156323152511712</v>
      </c>
      <c r="F209" s="8">
        <v>0.78436768474882879</v>
      </c>
    </row>
    <row r="210" spans="3:6" x14ac:dyDescent="0.25">
      <c r="C210" s="9" t="s">
        <v>318</v>
      </c>
      <c r="D210" s="8">
        <v>4</v>
      </c>
      <c r="E210" s="8">
        <v>4.0816837033601443</v>
      </c>
      <c r="F210" s="8">
        <v>-8.16837033601443E-2</v>
      </c>
    </row>
    <row r="211" spans="3:6" x14ac:dyDescent="0.25">
      <c r="C211" s="9" t="s">
        <v>319</v>
      </c>
      <c r="D211" s="8">
        <v>4</v>
      </c>
      <c r="E211" s="8">
        <v>3.954008274192867</v>
      </c>
      <c r="F211" s="8">
        <v>4.5991725807132955E-2</v>
      </c>
    </row>
    <row r="212" spans="3:6" x14ac:dyDescent="0.25">
      <c r="C212" s="9" t="s">
        <v>320</v>
      </c>
      <c r="D212" s="8">
        <v>5</v>
      </c>
      <c r="E212" s="8">
        <v>4.1679831945013897</v>
      </c>
      <c r="F212" s="8">
        <v>0.83201680549861035</v>
      </c>
    </row>
    <row r="213" spans="3:6" x14ac:dyDescent="0.25">
      <c r="C213" s="9" t="s">
        <v>321</v>
      </c>
      <c r="D213" s="8">
        <v>2</v>
      </c>
      <c r="E213" s="8">
        <v>4.2253686680978761</v>
      </c>
      <c r="F213" s="8">
        <v>-2.2253686680978761</v>
      </c>
    </row>
    <row r="214" spans="3:6" x14ac:dyDescent="0.25">
      <c r="C214" s="9" t="s">
        <v>322</v>
      </c>
      <c r="D214" s="8">
        <v>4</v>
      </c>
      <c r="E214" s="8">
        <v>4.2156323152511712</v>
      </c>
      <c r="F214" s="8">
        <v>-0.21563231525117121</v>
      </c>
    </row>
    <row r="215" spans="3:6" x14ac:dyDescent="0.25">
      <c r="C215" s="9" t="s">
        <v>414</v>
      </c>
      <c r="D215" s="8">
        <v>5</v>
      </c>
      <c r="E215" s="8">
        <v>4.2156323152511712</v>
      </c>
      <c r="F215" s="8">
        <v>0.78436768474882879</v>
      </c>
    </row>
    <row r="216" spans="3:6" x14ac:dyDescent="0.25">
      <c r="C216" s="9" t="s">
        <v>323</v>
      </c>
      <c r="D216" s="8">
        <v>2</v>
      </c>
      <c r="E216" s="8">
        <v>3.9182634665627933</v>
      </c>
      <c r="F216" s="8">
        <v>-1.9182634665627933</v>
      </c>
    </row>
    <row r="217" spans="3:6" x14ac:dyDescent="0.25">
      <c r="C217" s="9" t="s">
        <v>324</v>
      </c>
      <c r="D217" s="8">
        <v>4</v>
      </c>
      <c r="E217" s="8">
        <v>3.9676972255897027</v>
      </c>
      <c r="F217" s="8">
        <v>3.2302774410297275E-2</v>
      </c>
    </row>
    <row r="218" spans="3:6" x14ac:dyDescent="0.25">
      <c r="C218" s="9" t="s">
        <v>325</v>
      </c>
      <c r="D218" s="8">
        <v>5</v>
      </c>
      <c r="E218" s="8">
        <v>3.8067684252058807</v>
      </c>
      <c r="F218" s="8">
        <v>1.1932315747941193</v>
      </c>
    </row>
    <row r="219" spans="3:6" x14ac:dyDescent="0.25">
      <c r="C219" s="9" t="s">
        <v>326</v>
      </c>
      <c r="D219" s="8">
        <v>3</v>
      </c>
      <c r="E219" s="8">
        <v>4.0295387690036666</v>
      </c>
      <c r="F219" s="8">
        <v>-1.0295387690036666</v>
      </c>
    </row>
    <row r="220" spans="3:6" x14ac:dyDescent="0.25">
      <c r="C220" s="9" t="s">
        <v>327</v>
      </c>
      <c r="D220" s="8">
        <v>2</v>
      </c>
      <c r="E220" s="8">
        <v>3.5478843440871439</v>
      </c>
      <c r="F220" s="8">
        <v>-1.5478843440871439</v>
      </c>
    </row>
    <row r="221" spans="3:6" x14ac:dyDescent="0.25">
      <c r="C221" s="9" t="s">
        <v>328</v>
      </c>
      <c r="D221" s="8">
        <v>3</v>
      </c>
      <c r="E221" s="8">
        <v>4.1679831945013897</v>
      </c>
      <c r="F221" s="8">
        <v>-1.1679831945013897</v>
      </c>
    </row>
    <row r="222" spans="3:6" x14ac:dyDescent="0.25">
      <c r="C222" s="9" t="s">
        <v>329</v>
      </c>
      <c r="D222" s="8">
        <v>5</v>
      </c>
      <c r="E222" s="8">
        <v>4.2884228501224033</v>
      </c>
      <c r="F222" s="8">
        <v>0.71157714987759668</v>
      </c>
    </row>
    <row r="223" spans="3:6" x14ac:dyDescent="0.25">
      <c r="C223" s="9" t="s">
        <v>330</v>
      </c>
      <c r="D223" s="8">
        <v>4</v>
      </c>
      <c r="E223" s="8">
        <v>4.1320206676972626</v>
      </c>
      <c r="F223" s="8">
        <v>-0.13202066769726262</v>
      </c>
    </row>
    <row r="224" spans="3:6" x14ac:dyDescent="0.25">
      <c r="C224" s="9" t="s">
        <v>331</v>
      </c>
      <c r="D224" s="8">
        <v>5</v>
      </c>
      <c r="E224" s="8">
        <v>4.3267008576972108</v>
      </c>
      <c r="F224" s="8">
        <v>0.6732991423027892</v>
      </c>
    </row>
    <row r="225" spans="3:6" x14ac:dyDescent="0.25">
      <c r="C225" s="9" t="s">
        <v>332</v>
      </c>
      <c r="D225" s="8">
        <v>5</v>
      </c>
      <c r="E225" s="8">
        <v>4.2635764769963078</v>
      </c>
      <c r="F225" s="8">
        <v>0.73642352300369218</v>
      </c>
    </row>
    <row r="226" spans="3:6" x14ac:dyDescent="0.25">
      <c r="C226" s="9" t="s">
        <v>333</v>
      </c>
      <c r="D226" s="8">
        <v>5</v>
      </c>
      <c r="E226" s="8">
        <v>4.4745163963699079</v>
      </c>
      <c r="F226" s="8">
        <v>0.52548360363009206</v>
      </c>
    </row>
    <row r="227" spans="3:6" x14ac:dyDescent="0.25">
      <c r="C227" s="9" t="s">
        <v>334</v>
      </c>
      <c r="D227" s="8">
        <v>5</v>
      </c>
      <c r="E227" s="8">
        <v>3.954008274192867</v>
      </c>
      <c r="F227" s="8">
        <v>1.045991725807133</v>
      </c>
    </row>
    <row r="228" spans="3:6" x14ac:dyDescent="0.25">
      <c r="C228" s="9" t="s">
        <v>464</v>
      </c>
      <c r="D228" s="8">
        <v>5</v>
      </c>
      <c r="E228" s="8">
        <v>4.4727605427027788</v>
      </c>
      <c r="F228" s="8">
        <v>0.52723945729722121</v>
      </c>
    </row>
    <row r="229" spans="3:6" x14ac:dyDescent="0.25">
      <c r="C229" s="9" t="s">
        <v>335</v>
      </c>
      <c r="D229" s="8">
        <v>3</v>
      </c>
      <c r="E229" s="8">
        <v>3.5478843440871439</v>
      </c>
      <c r="F229" s="8">
        <v>-0.54788434408714393</v>
      </c>
    </row>
    <row r="230" spans="3:6" x14ac:dyDescent="0.25">
      <c r="C230" s="9" t="s">
        <v>425</v>
      </c>
      <c r="D230" s="8">
        <v>4</v>
      </c>
      <c r="E230" s="8">
        <v>3.664100041369732</v>
      </c>
      <c r="F230" s="8">
        <v>0.335899958630268</v>
      </c>
    </row>
    <row r="231" spans="3:6" x14ac:dyDescent="0.25">
      <c r="C231" s="9" t="s">
        <v>336</v>
      </c>
      <c r="D231" s="8">
        <v>5</v>
      </c>
      <c r="E231" s="8">
        <v>3.8731365865785259</v>
      </c>
      <c r="F231" s="8">
        <v>1.1268634134214741</v>
      </c>
    </row>
    <row r="232" spans="3:6" x14ac:dyDescent="0.25">
      <c r="C232" s="9" t="s">
        <v>337</v>
      </c>
      <c r="D232" s="8">
        <v>4</v>
      </c>
      <c r="E232" s="8">
        <v>3.9229841224884687</v>
      </c>
      <c r="F232" s="8">
        <v>7.7015877511531272E-2</v>
      </c>
    </row>
    <row r="233" spans="3:6" x14ac:dyDescent="0.25">
      <c r="C233" s="9" t="s">
        <v>338</v>
      </c>
      <c r="D233" s="8">
        <v>5</v>
      </c>
      <c r="E233" s="8">
        <v>4.2156323152511712</v>
      </c>
      <c r="F233" s="8">
        <v>0.78436768474882879</v>
      </c>
    </row>
    <row r="234" spans="3:6" x14ac:dyDescent="0.25">
      <c r="C234" s="9" t="s">
        <v>429</v>
      </c>
      <c r="D234" s="8">
        <v>5</v>
      </c>
      <c r="E234" s="8">
        <v>4.4745163963699079</v>
      </c>
      <c r="F234" s="8">
        <v>0.52548360363009206</v>
      </c>
    </row>
    <row r="235" spans="3:6" x14ac:dyDescent="0.25">
      <c r="C235" s="9" t="s">
        <v>339</v>
      </c>
      <c r="D235" s="8">
        <v>5</v>
      </c>
      <c r="E235" s="8">
        <v>4.2265813067084395</v>
      </c>
      <c r="F235" s="8">
        <v>0.77341869329156054</v>
      </c>
    </row>
    <row r="236" spans="3:6" x14ac:dyDescent="0.25">
      <c r="C236" s="9" t="s">
        <v>340</v>
      </c>
      <c r="D236" s="8">
        <v>4</v>
      </c>
      <c r="E236" s="8">
        <v>3.5785686076040313</v>
      </c>
      <c r="F236" s="8">
        <v>0.42143139239596872</v>
      </c>
    </row>
    <row r="237" spans="3:6" x14ac:dyDescent="0.25">
      <c r="C237" s="9" t="s">
        <v>341</v>
      </c>
      <c r="D237" s="8">
        <v>5</v>
      </c>
      <c r="E237" s="8">
        <v>4.2253686680978761</v>
      </c>
      <c r="F237" s="8">
        <v>0.77463133190212385</v>
      </c>
    </row>
    <row r="238" spans="3:6" x14ac:dyDescent="0.25">
      <c r="C238" s="9" t="s">
        <v>342</v>
      </c>
      <c r="D238" s="8">
        <v>2</v>
      </c>
      <c r="E238" s="8">
        <v>4.4842527492166129</v>
      </c>
      <c r="F238" s="8">
        <v>-2.4842527492166129</v>
      </c>
    </row>
    <row r="239" spans="3:6" x14ac:dyDescent="0.25">
      <c r="C239" s="9" t="s">
        <v>343</v>
      </c>
      <c r="D239" s="8">
        <v>5</v>
      </c>
      <c r="E239" s="8">
        <v>4.2860625221595656</v>
      </c>
      <c r="F239" s="8">
        <v>0.71393747784043438</v>
      </c>
    </row>
    <row r="240" spans="3:6" x14ac:dyDescent="0.25">
      <c r="C240" s="9" t="s">
        <v>470</v>
      </c>
      <c r="D240" s="8">
        <v>2</v>
      </c>
      <c r="E240" s="8">
        <v>4.0816837033601443</v>
      </c>
      <c r="F240" s="8">
        <v>-2.0816837033601443</v>
      </c>
    </row>
    <row r="241" spans="3:6" x14ac:dyDescent="0.25">
      <c r="C241" s="9" t="s">
        <v>344</v>
      </c>
      <c r="D241" s="8">
        <v>4</v>
      </c>
      <c r="E241" s="8">
        <v>3.664100041369732</v>
      </c>
      <c r="F241" s="8">
        <v>0.335899958630268</v>
      </c>
    </row>
    <row r="242" spans="3:6" x14ac:dyDescent="0.25">
      <c r="C242" s="9" t="s">
        <v>345</v>
      </c>
      <c r="D242" s="8">
        <v>5</v>
      </c>
      <c r="E242" s="8">
        <v>4.0190648136685754</v>
      </c>
      <c r="F242" s="8">
        <v>0.98093518633142462</v>
      </c>
    </row>
    <row r="243" spans="3:6" x14ac:dyDescent="0.25">
      <c r="C243" s="9" t="s">
        <v>465</v>
      </c>
      <c r="D243" s="8">
        <v>5</v>
      </c>
      <c r="E243" s="8">
        <v>4.0271784410408289</v>
      </c>
      <c r="F243" s="8">
        <v>0.97282155895917111</v>
      </c>
    </row>
    <row r="244" spans="3:6" x14ac:dyDescent="0.25">
      <c r="C244" s="9" t="s">
        <v>346</v>
      </c>
      <c r="D244" s="8">
        <v>4</v>
      </c>
      <c r="E244" s="8">
        <v>4.3618251284494169</v>
      </c>
      <c r="F244" s="8">
        <v>-0.36182512844941694</v>
      </c>
    </row>
    <row r="245" spans="3:6" x14ac:dyDescent="0.25">
      <c r="C245" s="9" t="s">
        <v>347</v>
      </c>
      <c r="D245" s="8">
        <v>5</v>
      </c>
      <c r="E245" s="8">
        <v>3.954008274192867</v>
      </c>
      <c r="F245" s="8">
        <v>1.045991725807133</v>
      </c>
    </row>
    <row r="246" spans="3:6" x14ac:dyDescent="0.25">
      <c r="C246" s="9" t="s">
        <v>348</v>
      </c>
      <c r="D246" s="8">
        <v>5</v>
      </c>
      <c r="E246" s="8">
        <v>4.4842527492166129</v>
      </c>
      <c r="F246" s="8">
        <v>0.51574725078338712</v>
      </c>
    </row>
    <row r="247" spans="3:6" x14ac:dyDescent="0.25">
      <c r="C247" s="9" t="s">
        <v>349</v>
      </c>
      <c r="D247" s="8">
        <v>4</v>
      </c>
      <c r="E247" s="8">
        <v>3.9054291832648644</v>
      </c>
      <c r="F247" s="8">
        <v>9.4570816735135566E-2</v>
      </c>
    </row>
    <row r="248" spans="3:6" x14ac:dyDescent="0.25">
      <c r="C248" s="9" t="s">
        <v>431</v>
      </c>
      <c r="D248" s="8">
        <v>4</v>
      </c>
      <c r="E248" s="8">
        <v>3.664100041369732</v>
      </c>
      <c r="F248" s="8">
        <v>0.335899958630268</v>
      </c>
    </row>
    <row r="249" spans="3:6" x14ac:dyDescent="0.25">
      <c r="C249" s="9" t="s">
        <v>350</v>
      </c>
      <c r="D249" s="8">
        <v>4</v>
      </c>
      <c r="E249" s="8">
        <v>3.5478843440871439</v>
      </c>
      <c r="F249" s="8">
        <v>0.45211565591285607</v>
      </c>
    </row>
    <row r="250" spans="3:6" x14ac:dyDescent="0.25">
      <c r="C250" s="9" t="s">
        <v>351</v>
      </c>
      <c r="D250" s="8">
        <v>5</v>
      </c>
      <c r="E250" s="8">
        <v>4.3618251284494169</v>
      </c>
      <c r="F250" s="8">
        <v>0.63817487155058306</v>
      </c>
    </row>
    <row r="251" spans="3:6" x14ac:dyDescent="0.25">
      <c r="C251" s="9" t="s">
        <v>352</v>
      </c>
      <c r="D251" s="8">
        <v>4</v>
      </c>
      <c r="E251" s="8">
        <v>3.6593793854440566</v>
      </c>
      <c r="F251" s="8">
        <v>0.34062061455594339</v>
      </c>
    </row>
    <row r="252" spans="3:6" x14ac:dyDescent="0.25">
      <c r="C252" s="9" t="s">
        <v>426</v>
      </c>
      <c r="D252" s="8">
        <v>4</v>
      </c>
      <c r="E252" s="8">
        <v>4.7316446238215155</v>
      </c>
      <c r="F252" s="8">
        <v>-0.73164462382151552</v>
      </c>
    </row>
    <row r="253" spans="3:6" x14ac:dyDescent="0.25">
      <c r="C253" s="9" t="s">
        <v>353</v>
      </c>
      <c r="D253" s="8">
        <v>5</v>
      </c>
      <c r="E253" s="8">
        <v>3.9182634665627933</v>
      </c>
      <c r="F253" s="8">
        <v>1.0817365334372067</v>
      </c>
    </row>
    <row r="254" spans="3:6" x14ac:dyDescent="0.25">
      <c r="C254" s="9" t="s">
        <v>354</v>
      </c>
      <c r="D254" s="8">
        <v>5</v>
      </c>
      <c r="E254" s="8">
        <v>3.8731365865785259</v>
      </c>
      <c r="F254" s="8">
        <v>1.1268634134214741</v>
      </c>
    </row>
    <row r="255" spans="3:6" x14ac:dyDescent="0.25">
      <c r="C255" s="9" t="s">
        <v>355</v>
      </c>
      <c r="D255" s="8">
        <v>5</v>
      </c>
      <c r="E255" s="8">
        <v>4.3267008576972108</v>
      </c>
      <c r="F255" s="8">
        <v>0.6732991423027892</v>
      </c>
    </row>
    <row r="256" spans="3:6" x14ac:dyDescent="0.25">
      <c r="C256" s="9" t="s">
        <v>356</v>
      </c>
      <c r="D256" s="8">
        <v>5</v>
      </c>
      <c r="E256" s="8">
        <v>4.1320206676972626</v>
      </c>
      <c r="F256" s="8">
        <v>0.86797933230273738</v>
      </c>
    </row>
    <row r="257" spans="3:6" x14ac:dyDescent="0.25">
      <c r="C257" s="9" t="s">
        <v>357</v>
      </c>
      <c r="D257" s="8">
        <v>5</v>
      </c>
      <c r="E257" s="8">
        <v>4.2884228501224033</v>
      </c>
      <c r="F257" s="8">
        <v>0.71157714987759668</v>
      </c>
    </row>
    <row r="258" spans="3:6" x14ac:dyDescent="0.25">
      <c r="C258" s="9" t="s">
        <v>358</v>
      </c>
      <c r="D258" s="8">
        <v>5</v>
      </c>
      <c r="E258" s="8">
        <v>4.2779488947873121</v>
      </c>
      <c r="F258" s="8">
        <v>0.72205110521268789</v>
      </c>
    </row>
    <row r="259" spans="3:6" x14ac:dyDescent="0.25">
      <c r="C259" s="9" t="s">
        <v>359</v>
      </c>
      <c r="D259" s="8">
        <v>5</v>
      </c>
      <c r="E259" s="8">
        <v>4.0295387690036666</v>
      </c>
      <c r="F259" s="8">
        <v>0.97046123099633341</v>
      </c>
    </row>
    <row r="260" spans="3:6" x14ac:dyDescent="0.25">
      <c r="C260" s="9" t="s">
        <v>360</v>
      </c>
      <c r="D260" s="8">
        <v>5</v>
      </c>
      <c r="E260" s="8">
        <v>4.3267008576972108</v>
      </c>
      <c r="F260" s="8">
        <v>0.6732991423027892</v>
      </c>
    </row>
    <row r="261" spans="3:6" x14ac:dyDescent="0.25">
      <c r="C261" s="9" t="s">
        <v>361</v>
      </c>
      <c r="D261" s="8">
        <v>5</v>
      </c>
      <c r="E261" s="8">
        <v>4.5224605581150445</v>
      </c>
      <c r="F261" s="8">
        <v>0.47753944188495545</v>
      </c>
    </row>
    <row r="262" spans="3:6" x14ac:dyDescent="0.25">
      <c r="C262" s="9" t="s">
        <v>468</v>
      </c>
      <c r="D262" s="8">
        <v>3</v>
      </c>
      <c r="E262" s="8">
        <v>4.3618251284494169</v>
      </c>
      <c r="F262" s="8">
        <v>-1.3618251284494169</v>
      </c>
    </row>
    <row r="263" spans="3:6" x14ac:dyDescent="0.25">
      <c r="C263" s="9" t="s">
        <v>362</v>
      </c>
      <c r="D263" s="8">
        <v>4</v>
      </c>
      <c r="E263" s="8">
        <v>3.9229841224884687</v>
      </c>
      <c r="F263" s="8">
        <v>7.7015877511531272E-2</v>
      </c>
    </row>
    <row r="264" spans="3:6" x14ac:dyDescent="0.25">
      <c r="C264" s="9" t="s">
        <v>363</v>
      </c>
      <c r="D264" s="8">
        <v>5</v>
      </c>
      <c r="E264" s="8">
        <v>3.9182634665627933</v>
      </c>
      <c r="F264" s="8">
        <v>1.0817365334372067</v>
      </c>
    </row>
    <row r="265" spans="3:6" x14ac:dyDescent="0.25">
      <c r="C265" s="9" t="s">
        <v>432</v>
      </c>
      <c r="D265" s="8">
        <v>5</v>
      </c>
      <c r="E265" s="8">
        <v>4.0271784410408289</v>
      </c>
      <c r="F265" s="8">
        <v>0.97282155895917111</v>
      </c>
    </row>
    <row r="266" spans="3:6" x14ac:dyDescent="0.25">
      <c r="C266" s="9" t="s">
        <v>364</v>
      </c>
      <c r="D266" s="8">
        <v>5</v>
      </c>
      <c r="E266" s="8">
        <v>4.0271784410408289</v>
      </c>
      <c r="F266" s="8">
        <v>0.97282155895917111</v>
      </c>
    </row>
    <row r="267" spans="3:6" x14ac:dyDescent="0.25">
      <c r="C267" s="9" t="s">
        <v>411</v>
      </c>
      <c r="D267" s="8">
        <v>4</v>
      </c>
      <c r="E267" s="8">
        <v>3.664100041369732</v>
      </c>
      <c r="F267" s="8">
        <v>0.335899958630268</v>
      </c>
    </row>
    <row r="268" spans="3:6" x14ac:dyDescent="0.25">
      <c r="C268" s="9" t="s">
        <v>437</v>
      </c>
      <c r="D268" s="8">
        <v>5</v>
      </c>
      <c r="E268" s="8">
        <v>4.0816837033601443</v>
      </c>
      <c r="F268" s="8">
        <v>0.9183162966398557</v>
      </c>
    </row>
    <row r="269" spans="3:6" x14ac:dyDescent="0.25">
      <c r="C269" s="9" t="s">
        <v>365</v>
      </c>
      <c r="D269" s="8">
        <v>5</v>
      </c>
      <c r="E269" s="8">
        <v>4.4268672756201264</v>
      </c>
      <c r="F269" s="8">
        <v>0.57313272437987361</v>
      </c>
    </row>
    <row r="270" spans="3:6" x14ac:dyDescent="0.25">
      <c r="C270" s="9" t="s">
        <v>366</v>
      </c>
      <c r="D270" s="8">
        <v>5</v>
      </c>
      <c r="E270" s="8">
        <v>4.3475785696910174</v>
      </c>
      <c r="F270" s="8">
        <v>0.65242143030898259</v>
      </c>
    </row>
    <row r="271" spans="3:6" x14ac:dyDescent="0.25">
      <c r="C271" s="9" t="s">
        <v>367</v>
      </c>
      <c r="D271" s="8">
        <v>4</v>
      </c>
      <c r="E271" s="8">
        <v>3.6465451021461277</v>
      </c>
      <c r="F271" s="8">
        <v>0.3534548978538723</v>
      </c>
    </row>
    <row r="272" spans="3:6" x14ac:dyDescent="0.25">
      <c r="C272" s="9" t="s">
        <v>368</v>
      </c>
      <c r="D272" s="8">
        <v>5</v>
      </c>
      <c r="E272" s="8">
        <v>3.6593793854440566</v>
      </c>
      <c r="F272" s="8">
        <v>1.3406206145559434</v>
      </c>
    </row>
    <row r="273" spans="3:6" x14ac:dyDescent="0.25">
      <c r="C273" s="9" t="s">
        <v>369</v>
      </c>
      <c r="D273" s="8">
        <v>5</v>
      </c>
      <c r="E273" s="8">
        <v>4.4268672756201264</v>
      </c>
      <c r="F273" s="8">
        <v>0.57313272437987361</v>
      </c>
    </row>
    <row r="274" spans="3:6" x14ac:dyDescent="0.25">
      <c r="C274" s="9" t="s">
        <v>370</v>
      </c>
      <c r="D274" s="8">
        <v>4</v>
      </c>
      <c r="E274" s="8">
        <v>4.0886944885722807</v>
      </c>
      <c r="F274" s="8">
        <v>-8.8694488572280683E-2</v>
      </c>
    </row>
    <row r="275" spans="3:6" x14ac:dyDescent="0.25">
      <c r="C275" s="9" t="s">
        <v>371</v>
      </c>
      <c r="D275" s="8">
        <v>5</v>
      </c>
      <c r="E275" s="8">
        <v>4.2128923553116042</v>
      </c>
      <c r="F275" s="8">
        <v>0.78710764468839578</v>
      </c>
    </row>
    <row r="276" spans="3:6" x14ac:dyDescent="0.25">
      <c r="C276" s="9" t="s">
        <v>433</v>
      </c>
      <c r="D276" s="8">
        <v>5</v>
      </c>
      <c r="E276" s="8">
        <v>4.4745163963699079</v>
      </c>
      <c r="F276" s="8">
        <v>0.52548360363009206</v>
      </c>
    </row>
    <row r="277" spans="3:6" x14ac:dyDescent="0.25">
      <c r="C277" s="9" t="s">
        <v>372</v>
      </c>
      <c r="D277" s="8">
        <v>3</v>
      </c>
      <c r="E277" s="8">
        <v>3.9676972255897027</v>
      </c>
      <c r="F277" s="8">
        <v>-0.96769722558970273</v>
      </c>
    </row>
    <row r="278" spans="3:6" x14ac:dyDescent="0.25">
      <c r="C278" s="9" t="s">
        <v>373</v>
      </c>
      <c r="D278" s="8">
        <v>5</v>
      </c>
      <c r="E278" s="8">
        <v>4.4268672756201264</v>
      </c>
      <c r="F278" s="8">
        <v>0.57313272437987361</v>
      </c>
    </row>
    <row r="279" spans="3:6" x14ac:dyDescent="0.25">
      <c r="C279" s="9" t="s">
        <v>374</v>
      </c>
      <c r="D279" s="8">
        <v>4</v>
      </c>
      <c r="E279" s="8">
        <v>3.5785686076040313</v>
      </c>
      <c r="F279" s="8">
        <v>0.42143139239596872</v>
      </c>
    </row>
    <row r="280" spans="3:6" x14ac:dyDescent="0.25">
      <c r="C280" s="9" t="s">
        <v>460</v>
      </c>
      <c r="D280" s="8">
        <v>4</v>
      </c>
      <c r="E280" s="8">
        <v>3.5478843440871439</v>
      </c>
      <c r="F280" s="8">
        <v>0.45211565591285607</v>
      </c>
    </row>
    <row r="281" spans="3:6" x14ac:dyDescent="0.25">
      <c r="C281" s="9" t="s">
        <v>375</v>
      </c>
      <c r="D281" s="8">
        <v>5</v>
      </c>
      <c r="E281" s="8">
        <v>4.4745163963699079</v>
      </c>
      <c r="F281" s="8">
        <v>0.52548360363009206</v>
      </c>
    </row>
    <row r="282" spans="3:6" x14ac:dyDescent="0.25">
      <c r="C282" s="9" t="s">
        <v>376</v>
      </c>
      <c r="D282" s="8">
        <v>5</v>
      </c>
      <c r="E282" s="8">
        <v>4.3618251284494169</v>
      </c>
      <c r="F282" s="8">
        <v>0.63817487155058306</v>
      </c>
    </row>
    <row r="283" spans="3:6" x14ac:dyDescent="0.25">
      <c r="C283" s="9" t="s">
        <v>377</v>
      </c>
      <c r="D283" s="8">
        <v>5</v>
      </c>
      <c r="E283" s="8">
        <v>4.2635764769963078</v>
      </c>
      <c r="F283" s="8">
        <v>0.73642352300369218</v>
      </c>
    </row>
    <row r="284" spans="3:6" x14ac:dyDescent="0.25">
      <c r="C284" s="9" t="s">
        <v>378</v>
      </c>
      <c r="D284" s="8">
        <v>4</v>
      </c>
      <c r="E284" s="8">
        <v>3.664100041369732</v>
      </c>
      <c r="F284" s="8">
        <v>0.335899958630268</v>
      </c>
    </row>
    <row r="285" spans="3:6" x14ac:dyDescent="0.25">
      <c r="C285" s="9" t="s">
        <v>379</v>
      </c>
      <c r="D285" s="8">
        <v>5</v>
      </c>
      <c r="E285" s="8">
        <v>3.8731365865785259</v>
      </c>
      <c r="F285" s="8">
        <v>1.1268634134214741</v>
      </c>
    </row>
    <row r="286" spans="3:6" x14ac:dyDescent="0.25">
      <c r="C286" s="9" t="s">
        <v>380</v>
      </c>
      <c r="D286" s="8">
        <v>4</v>
      </c>
      <c r="E286" s="8">
        <v>4.0816837033601443</v>
      </c>
      <c r="F286" s="8">
        <v>-8.16837033601443E-2</v>
      </c>
    </row>
    <row r="287" spans="3:6" x14ac:dyDescent="0.25">
      <c r="C287" s="9" t="s">
        <v>381</v>
      </c>
      <c r="D287" s="8">
        <v>5</v>
      </c>
      <c r="E287" s="8">
        <v>4.0678167765784741</v>
      </c>
      <c r="F287" s="8">
        <v>0.93218322342152593</v>
      </c>
    </row>
    <row r="288" spans="3:6" x14ac:dyDescent="0.25">
      <c r="C288" s="9" t="s">
        <v>446</v>
      </c>
      <c r="D288" s="8">
        <v>5</v>
      </c>
      <c r="E288" s="8">
        <v>4.0295387690036666</v>
      </c>
      <c r="F288" s="8">
        <v>0.97046123099633341</v>
      </c>
    </row>
    <row r="289" spans="3:6" x14ac:dyDescent="0.25">
      <c r="C289" s="9" t="s">
        <v>474</v>
      </c>
      <c r="D289" s="8">
        <v>2</v>
      </c>
      <c r="E289" s="8">
        <v>3.837452688722768</v>
      </c>
      <c r="F289" s="8">
        <v>-1.837452688722768</v>
      </c>
    </row>
    <row r="290" spans="3:6" x14ac:dyDescent="0.25">
      <c r="C290" s="9" t="s">
        <v>413</v>
      </c>
      <c r="D290" s="8">
        <v>5</v>
      </c>
      <c r="E290" s="8">
        <v>4.3475785696910174</v>
      </c>
      <c r="F290" s="8">
        <v>0.65242143030898259</v>
      </c>
    </row>
    <row r="291" spans="3:6" x14ac:dyDescent="0.25">
      <c r="C291" s="9" t="s">
        <v>453</v>
      </c>
      <c r="D291" s="8">
        <v>1</v>
      </c>
      <c r="E291" s="8">
        <v>3.837452688722768</v>
      </c>
      <c r="F291" s="8">
        <v>-2.837452688722768</v>
      </c>
    </row>
    <row r="292" spans="3:6" x14ac:dyDescent="0.25">
      <c r="C292" s="9" t="s">
        <v>382</v>
      </c>
      <c r="D292" s="8">
        <v>3</v>
      </c>
      <c r="E292" s="8">
        <v>3.5478843440871439</v>
      </c>
      <c r="F292" s="8">
        <v>-0.54788434408714393</v>
      </c>
    </row>
    <row r="293" spans="3:6" x14ac:dyDescent="0.25">
      <c r="C293" s="9" t="s">
        <v>383</v>
      </c>
      <c r="D293" s="8">
        <v>2</v>
      </c>
      <c r="E293" s="8">
        <v>4.0295387690036666</v>
      </c>
      <c r="F293" s="8">
        <v>-2.0295387690036666</v>
      </c>
    </row>
    <row r="294" spans="3:6" x14ac:dyDescent="0.25">
      <c r="C294" s="9" t="s">
        <v>384</v>
      </c>
      <c r="D294" s="8">
        <v>4</v>
      </c>
      <c r="E294" s="8">
        <v>4.1679831945013897</v>
      </c>
      <c r="F294" s="8">
        <v>-0.16798319450138965</v>
      </c>
    </row>
    <row r="295" spans="3:6" x14ac:dyDescent="0.25">
      <c r="C295" s="9" t="s">
        <v>385</v>
      </c>
      <c r="D295" s="8">
        <v>4</v>
      </c>
      <c r="E295" s="8">
        <v>3.837452688722768</v>
      </c>
      <c r="F295" s="8">
        <v>0.16254731127723199</v>
      </c>
    </row>
    <row r="296" spans="3:6" x14ac:dyDescent="0.25">
      <c r="C296" s="9" t="s">
        <v>386</v>
      </c>
      <c r="D296" s="8">
        <v>4</v>
      </c>
      <c r="E296" s="8">
        <v>3.5785686076040313</v>
      </c>
      <c r="F296" s="8">
        <v>0.42143139239596872</v>
      </c>
    </row>
    <row r="297" spans="3:6" x14ac:dyDescent="0.25">
      <c r="C297" s="9" t="s">
        <v>387</v>
      </c>
      <c r="D297" s="8">
        <v>2</v>
      </c>
      <c r="E297" s="8">
        <v>3.9182634665627933</v>
      </c>
      <c r="F297" s="8">
        <v>-1.9182634665627933</v>
      </c>
    </row>
    <row r="298" spans="3:6" x14ac:dyDescent="0.25">
      <c r="C298" s="9" t="s">
        <v>421</v>
      </c>
      <c r="D298" s="8">
        <v>5</v>
      </c>
      <c r="E298" s="8">
        <v>4.340567784478881</v>
      </c>
      <c r="F298" s="8">
        <v>0.65943221552111897</v>
      </c>
    </row>
    <row r="299" spans="3:6" x14ac:dyDescent="0.25">
      <c r="C299" s="9" t="s">
        <v>388</v>
      </c>
      <c r="D299" s="8">
        <v>5</v>
      </c>
      <c r="E299" s="8">
        <v>4.1320206676972626</v>
      </c>
      <c r="F299" s="8">
        <v>0.86797933230273738</v>
      </c>
    </row>
    <row r="300" spans="3:6" x14ac:dyDescent="0.25">
      <c r="C300" s="9" t="s">
        <v>389</v>
      </c>
      <c r="D300" s="8">
        <v>5</v>
      </c>
      <c r="E300" s="8">
        <v>4.2128923553116042</v>
      </c>
      <c r="F300" s="8">
        <v>0.78710764468839578</v>
      </c>
    </row>
    <row r="301" spans="3:6" x14ac:dyDescent="0.25">
      <c r="C301" s="9" t="s">
        <v>428</v>
      </c>
      <c r="D301" s="8">
        <v>3</v>
      </c>
      <c r="E301" s="8">
        <v>3.8067684252058807</v>
      </c>
      <c r="F301" s="8">
        <v>-0.80676842520588066</v>
      </c>
    </row>
    <row r="302" spans="3:6" x14ac:dyDescent="0.25">
      <c r="C302" s="9" t="s">
        <v>390</v>
      </c>
      <c r="D302" s="8">
        <v>4</v>
      </c>
      <c r="E302" s="8">
        <v>4.0618153031078466</v>
      </c>
      <c r="F302" s="8">
        <v>-6.1815303107846553E-2</v>
      </c>
    </row>
    <row r="303" spans="3:6" x14ac:dyDescent="0.25">
      <c r="C303" s="9" t="s">
        <v>445</v>
      </c>
      <c r="D303" s="8">
        <v>5</v>
      </c>
      <c r="E303" s="8">
        <v>4.0618153031078466</v>
      </c>
      <c r="F303" s="8">
        <v>0.93818469689215345</v>
      </c>
    </row>
    <row r="304" spans="3:6" x14ac:dyDescent="0.25">
      <c r="C304" s="9" t="s">
        <v>391</v>
      </c>
      <c r="D304" s="8">
        <v>5</v>
      </c>
      <c r="E304" s="8">
        <v>4.4727605427027788</v>
      </c>
      <c r="F304" s="8">
        <v>0.52723945729722121</v>
      </c>
    </row>
    <row r="305" spans="3:6" x14ac:dyDescent="0.25">
      <c r="C305" s="9" t="s">
        <v>392</v>
      </c>
      <c r="D305" s="8">
        <v>5</v>
      </c>
      <c r="E305" s="8">
        <v>4.3267008576972108</v>
      </c>
      <c r="F305" s="8">
        <v>0.6732991423027892</v>
      </c>
    </row>
    <row r="306" spans="3:6" x14ac:dyDescent="0.25">
      <c r="C306" s="9" t="s">
        <v>393</v>
      </c>
      <c r="D306" s="8">
        <v>1</v>
      </c>
      <c r="E306" s="8">
        <v>3.6465451021461277</v>
      </c>
      <c r="F306" s="8">
        <v>-2.6465451021461277</v>
      </c>
    </row>
    <row r="307" spans="3:6" x14ac:dyDescent="0.25">
      <c r="C307" s="9" t="s">
        <v>394</v>
      </c>
      <c r="D307" s="8">
        <v>4</v>
      </c>
      <c r="E307" s="8">
        <v>4.4727605427027788</v>
      </c>
      <c r="F307" s="8">
        <v>-0.47276054270277879</v>
      </c>
    </row>
    <row r="308" spans="3:6" x14ac:dyDescent="0.25">
      <c r="C308" s="9" t="s">
        <v>430</v>
      </c>
      <c r="D308" s="8">
        <v>5</v>
      </c>
      <c r="E308" s="8">
        <v>4.2265813067084395</v>
      </c>
      <c r="F308" s="8">
        <v>0.77341869329156054</v>
      </c>
    </row>
    <row r="309" spans="3:6" x14ac:dyDescent="0.25">
      <c r="C309" s="9" t="s">
        <v>395</v>
      </c>
      <c r="D309" s="8">
        <v>5</v>
      </c>
      <c r="E309" s="8">
        <v>4.0886944885722807</v>
      </c>
      <c r="F309" s="8">
        <v>0.91130551142771932</v>
      </c>
    </row>
    <row r="310" spans="3:6" x14ac:dyDescent="0.25">
      <c r="C310" s="9" t="s">
        <v>396</v>
      </c>
      <c r="D310" s="8">
        <v>5</v>
      </c>
      <c r="E310" s="8">
        <v>3.8731365865785259</v>
      </c>
      <c r="F310" s="8">
        <v>1.1268634134214741</v>
      </c>
    </row>
    <row r="311" spans="3:6" x14ac:dyDescent="0.25">
      <c r="C311" s="9" t="s">
        <v>397</v>
      </c>
      <c r="D311" s="8">
        <v>5</v>
      </c>
      <c r="E311" s="8">
        <v>4.4842527492166129</v>
      </c>
      <c r="F311" s="8">
        <v>0.51574725078338712</v>
      </c>
    </row>
    <row r="312" spans="3:6" x14ac:dyDescent="0.25">
      <c r="C312" s="9" t="s">
        <v>398</v>
      </c>
      <c r="D312" s="8">
        <v>4</v>
      </c>
      <c r="E312" s="8">
        <v>4.3206993842265833</v>
      </c>
      <c r="F312" s="8">
        <v>-0.32069938422658328</v>
      </c>
    </row>
    <row r="313" spans="3:6" x14ac:dyDescent="0.25">
      <c r="C313" s="9" t="s">
        <v>399</v>
      </c>
      <c r="D313" s="8">
        <v>3</v>
      </c>
      <c r="E313" s="8">
        <v>3.954008274192867</v>
      </c>
      <c r="F313" s="8">
        <v>-0.95400827419286705</v>
      </c>
    </row>
    <row r="314" spans="3:6" x14ac:dyDescent="0.25">
      <c r="C314" s="9" t="s">
        <v>400</v>
      </c>
      <c r="D314" s="8">
        <v>4</v>
      </c>
      <c r="E314" s="8">
        <v>4.0816837033601443</v>
      </c>
      <c r="F314" s="8">
        <v>-8.16837033601443E-2</v>
      </c>
    </row>
    <row r="315" spans="3:6" x14ac:dyDescent="0.25">
      <c r="C315" s="9" t="s">
        <v>401</v>
      </c>
      <c r="D315" s="8">
        <v>5</v>
      </c>
      <c r="E315" s="8">
        <v>3.954008274192867</v>
      </c>
      <c r="F315" s="8">
        <v>1.045991725807133</v>
      </c>
    </row>
    <row r="316" spans="3:6" x14ac:dyDescent="0.25">
      <c r="C316" s="9" t="s">
        <v>466</v>
      </c>
      <c r="D316" s="8">
        <v>5</v>
      </c>
      <c r="E316" s="8">
        <v>3.9229841224884687</v>
      </c>
      <c r="F316" s="8">
        <v>1.0770158775115313</v>
      </c>
    </row>
    <row r="317" spans="3:6" x14ac:dyDescent="0.25">
      <c r="C317" s="9" t="s">
        <v>461</v>
      </c>
      <c r="D317" s="8">
        <v>5</v>
      </c>
      <c r="E317" s="8">
        <v>4.3206993842265833</v>
      </c>
      <c r="F317" s="8">
        <v>0.67930061577341672</v>
      </c>
    </row>
    <row r="318" spans="3:6" x14ac:dyDescent="0.25">
      <c r="C318" s="9" t="s">
        <v>402</v>
      </c>
      <c r="D318" s="8">
        <v>2</v>
      </c>
      <c r="E318" s="8">
        <v>4.7316446238215155</v>
      </c>
      <c r="F318" s="8">
        <v>-2.7316446238215155</v>
      </c>
    </row>
    <row r="319" spans="3:6" x14ac:dyDescent="0.25">
      <c r="C319" s="9" t="s">
        <v>403</v>
      </c>
      <c r="D319" s="8">
        <v>5</v>
      </c>
      <c r="E319" s="8">
        <v>4.3206993842265833</v>
      </c>
      <c r="F319" s="8">
        <v>0.67930061577341672</v>
      </c>
    </row>
    <row r="320" spans="3:6" x14ac:dyDescent="0.25">
      <c r="C320" s="9" t="s">
        <v>404</v>
      </c>
      <c r="D320" s="8">
        <v>4</v>
      </c>
      <c r="E320" s="8">
        <v>4.2253686680978761</v>
      </c>
      <c r="F320" s="8">
        <v>-0.22536866809787615</v>
      </c>
    </row>
    <row r="321" spans="3:6" x14ac:dyDescent="0.25">
      <c r="C321" s="9" t="s">
        <v>405</v>
      </c>
      <c r="D321" s="8">
        <v>3</v>
      </c>
      <c r="E321" s="8">
        <v>3.5785686076040313</v>
      </c>
      <c r="F321" s="8">
        <v>-0.57856860760403128</v>
      </c>
    </row>
    <row r="322" spans="3:6" x14ac:dyDescent="0.25">
      <c r="C322" s="9" t="s">
        <v>477</v>
      </c>
      <c r="D322" s="8">
        <v>3</v>
      </c>
      <c r="E322" s="8">
        <v>4.4745163963699079</v>
      </c>
      <c r="F322" s="8">
        <v>-1.4745163963699079</v>
      </c>
    </row>
    <row r="323" spans="3:6" x14ac:dyDescent="0.25">
      <c r="C323" s="9" t="s">
        <v>478</v>
      </c>
      <c r="D323" s="8">
        <v>5</v>
      </c>
      <c r="E323" s="8">
        <v>4.0886944885722807</v>
      </c>
      <c r="F323" s="8">
        <v>0.91130551142771932</v>
      </c>
    </row>
    <row r="324" spans="3:6" x14ac:dyDescent="0.25">
      <c r="C324" s="9" t="s">
        <v>479</v>
      </c>
      <c r="D324" s="8">
        <v>5</v>
      </c>
      <c r="E324" s="8">
        <v>4.0678167765784741</v>
      </c>
      <c r="F324" s="8">
        <v>0.93218322342152593</v>
      </c>
    </row>
    <row r="325" spans="3:6" x14ac:dyDescent="0.25">
      <c r="C325" s="9" t="s">
        <v>480</v>
      </c>
      <c r="D325" s="8">
        <v>4</v>
      </c>
      <c r="E325" s="8">
        <v>4.0886944885722807</v>
      </c>
      <c r="F325" s="8">
        <v>-8.8694488572280683E-2</v>
      </c>
    </row>
    <row r="326" spans="3:6" x14ac:dyDescent="0.25">
      <c r="C326" s="9" t="s">
        <v>481</v>
      </c>
      <c r="D326" s="8">
        <v>4</v>
      </c>
      <c r="E326" s="8">
        <v>3.9054291832648644</v>
      </c>
      <c r="F326" s="8">
        <v>9.4570816735135566E-2</v>
      </c>
    </row>
    <row r="327" spans="3:6" x14ac:dyDescent="0.25">
      <c r="C327" s="9" t="s">
        <v>482</v>
      </c>
      <c r="D327" s="8">
        <v>4</v>
      </c>
      <c r="E327" s="8">
        <v>4.1320206676972626</v>
      </c>
      <c r="F327" s="8">
        <v>-0.13202066769726262</v>
      </c>
    </row>
    <row r="328" spans="3:6" x14ac:dyDescent="0.25">
      <c r="C328" s="9" t="s">
        <v>483</v>
      </c>
      <c r="D328" s="8">
        <v>5</v>
      </c>
      <c r="E328" s="8">
        <v>4.2253686680978761</v>
      </c>
      <c r="F328" s="8">
        <v>0.77463133190212385</v>
      </c>
    </row>
    <row r="329" spans="3:6" x14ac:dyDescent="0.25">
      <c r="C329" s="9" t="s">
        <v>484</v>
      </c>
      <c r="D329" s="8">
        <v>3</v>
      </c>
      <c r="E329" s="8">
        <v>4.2779488947873121</v>
      </c>
      <c r="F329" s="8">
        <v>-1.2779488947873121</v>
      </c>
    </row>
    <row r="330" spans="3:6" x14ac:dyDescent="0.25">
      <c r="C330" s="9" t="s">
        <v>485</v>
      </c>
      <c r="D330" s="8">
        <v>5</v>
      </c>
      <c r="E330" s="8">
        <v>4.3618251284494169</v>
      </c>
      <c r="F330" s="8">
        <v>0.63817487155058306</v>
      </c>
    </row>
    <row r="331" spans="3:6" x14ac:dyDescent="0.25">
      <c r="C331" s="9" t="s">
        <v>486</v>
      </c>
      <c r="D331" s="8">
        <v>3</v>
      </c>
      <c r="E331" s="8">
        <v>4.0295387690036666</v>
      </c>
      <c r="F331" s="8">
        <v>-1.0295387690036666</v>
      </c>
    </row>
    <row r="332" spans="3:6" x14ac:dyDescent="0.25">
      <c r="C332" s="9" t="s">
        <v>487</v>
      </c>
      <c r="D332" s="8">
        <v>4</v>
      </c>
      <c r="E332" s="8">
        <v>3.954008274192867</v>
      </c>
      <c r="F332" s="8">
        <v>4.5991725807132955E-2</v>
      </c>
    </row>
    <row r="333" spans="3:6" x14ac:dyDescent="0.25">
      <c r="C333" s="9" t="s">
        <v>488</v>
      </c>
      <c r="D333" s="8">
        <v>3</v>
      </c>
      <c r="E333" s="8">
        <v>3.664100041369732</v>
      </c>
      <c r="F333" s="8">
        <v>-0.664100041369732</v>
      </c>
    </row>
    <row r="334" spans="3:6" x14ac:dyDescent="0.25">
      <c r="C334" s="9" t="s">
        <v>489</v>
      </c>
      <c r="D334" s="8">
        <v>4</v>
      </c>
      <c r="E334" s="8">
        <v>4.4745163963699079</v>
      </c>
      <c r="F334" s="8">
        <v>-0.47451639636990794</v>
      </c>
    </row>
    <row r="335" spans="3:6" x14ac:dyDescent="0.25">
      <c r="C335" s="9" t="s">
        <v>490</v>
      </c>
      <c r="D335" s="8">
        <v>5</v>
      </c>
      <c r="E335" s="8">
        <v>4.6207092095681537</v>
      </c>
      <c r="F335" s="8">
        <v>0.37929079043184633</v>
      </c>
    </row>
    <row r="336" spans="3:6" x14ac:dyDescent="0.25">
      <c r="C336" s="9" t="s">
        <v>491</v>
      </c>
      <c r="D336" s="8">
        <v>3</v>
      </c>
      <c r="E336" s="8">
        <v>4.0886944885722807</v>
      </c>
      <c r="F336" s="8">
        <v>-1.0886944885722807</v>
      </c>
    </row>
    <row r="337" spans="3:6" x14ac:dyDescent="0.25">
      <c r="C337" s="9" t="s">
        <v>492</v>
      </c>
      <c r="D337" s="8">
        <v>5</v>
      </c>
      <c r="E337" s="8">
        <v>4.3618251284494169</v>
      </c>
      <c r="F337" s="8">
        <v>0.63817487155058306</v>
      </c>
    </row>
    <row r="338" spans="3:6" x14ac:dyDescent="0.25">
      <c r="C338" s="9" t="s">
        <v>493</v>
      </c>
      <c r="D338" s="8">
        <v>5</v>
      </c>
      <c r="E338" s="8">
        <v>4.2253686680978761</v>
      </c>
      <c r="F338" s="8">
        <v>0.77463133190212385</v>
      </c>
    </row>
    <row r="339" spans="3:6" x14ac:dyDescent="0.25">
      <c r="C339" s="9" t="s">
        <v>494</v>
      </c>
      <c r="D339" s="8">
        <v>4</v>
      </c>
      <c r="E339" s="8">
        <v>4.2779488947873121</v>
      </c>
      <c r="F339" s="8">
        <v>-0.27794889478731211</v>
      </c>
    </row>
    <row r="340" spans="3:6" x14ac:dyDescent="0.25">
      <c r="C340" s="9" t="s">
        <v>495</v>
      </c>
      <c r="D340" s="8">
        <v>4</v>
      </c>
      <c r="E340" s="8">
        <v>4.2128923553116042</v>
      </c>
      <c r="F340" s="8">
        <v>-0.21289235531160422</v>
      </c>
    </row>
    <row r="341" spans="3:6" x14ac:dyDescent="0.25">
      <c r="C341" s="9" t="s">
        <v>496</v>
      </c>
      <c r="D341" s="8">
        <v>4</v>
      </c>
      <c r="E341" s="8">
        <v>4.6207092095681537</v>
      </c>
      <c r="F341" s="8">
        <v>-0.62070920956815367</v>
      </c>
    </row>
    <row r="342" spans="3:6" x14ac:dyDescent="0.25">
      <c r="C342" s="9" t="s">
        <v>497</v>
      </c>
      <c r="D342" s="8">
        <v>3</v>
      </c>
      <c r="E342" s="8">
        <v>3.8067684252058807</v>
      </c>
      <c r="F342" s="8">
        <v>-0.80676842520588066</v>
      </c>
    </row>
    <row r="343" spans="3:6" x14ac:dyDescent="0.25">
      <c r="C343" s="9" t="s">
        <v>498</v>
      </c>
      <c r="D343" s="8">
        <v>5</v>
      </c>
      <c r="E343" s="8">
        <v>4.2156323152511712</v>
      </c>
      <c r="F343" s="8">
        <v>0.78436768474882879</v>
      </c>
    </row>
    <row r="344" spans="3:6" x14ac:dyDescent="0.25">
      <c r="C344" s="9" t="s">
        <v>499</v>
      </c>
      <c r="D344" s="8">
        <v>5</v>
      </c>
      <c r="E344" s="8">
        <v>4.2156323152511712</v>
      </c>
      <c r="F344" s="8">
        <v>0.78436768474882879</v>
      </c>
    </row>
    <row r="345" spans="3:6" x14ac:dyDescent="0.25">
      <c r="C345" s="9" t="s">
        <v>500</v>
      </c>
      <c r="D345" s="8">
        <v>5</v>
      </c>
      <c r="E345" s="8">
        <v>4.340567784478881</v>
      </c>
      <c r="F345" s="8">
        <v>0.65943221552111897</v>
      </c>
    </row>
    <row r="346" spans="3:6" x14ac:dyDescent="0.25">
      <c r="C346" s="9" t="s">
        <v>501</v>
      </c>
      <c r="D346" s="8">
        <v>4</v>
      </c>
      <c r="E346" s="8">
        <v>3.8731365865785259</v>
      </c>
      <c r="F346" s="8">
        <v>0.12686341342147411</v>
      </c>
    </row>
    <row r="347" spans="3:6" x14ac:dyDescent="0.25">
      <c r="C347" s="9" t="s">
        <v>502</v>
      </c>
      <c r="D347" s="8">
        <v>4</v>
      </c>
      <c r="E347" s="8">
        <v>3.9054291832648644</v>
      </c>
      <c r="F347" s="8">
        <v>9.4570816735135566E-2</v>
      </c>
    </row>
    <row r="348" spans="3:6" x14ac:dyDescent="0.25">
      <c r="C348" s="9" t="s">
        <v>503</v>
      </c>
      <c r="D348" s="8">
        <v>4</v>
      </c>
      <c r="E348" s="8">
        <v>3.954008274192867</v>
      </c>
      <c r="F348" s="8">
        <v>4.5991725807132955E-2</v>
      </c>
    </row>
    <row r="349" spans="3:6" x14ac:dyDescent="0.25">
      <c r="C349" s="9" t="s">
        <v>504</v>
      </c>
      <c r="D349" s="8">
        <v>5</v>
      </c>
      <c r="E349" s="8">
        <v>4.2253686680978761</v>
      </c>
      <c r="F349" s="8">
        <v>0.77463133190212385</v>
      </c>
    </row>
    <row r="350" spans="3:6" x14ac:dyDescent="0.25">
      <c r="C350" s="9" t="s">
        <v>505</v>
      </c>
      <c r="D350" s="8">
        <v>4</v>
      </c>
      <c r="E350" s="8">
        <v>3.6465451021461277</v>
      </c>
      <c r="F350" s="8">
        <v>0.3534548978538723</v>
      </c>
    </row>
    <row r="351" spans="3:6" x14ac:dyDescent="0.25">
      <c r="C351" s="9" t="s">
        <v>506</v>
      </c>
      <c r="D351" s="8">
        <v>2</v>
      </c>
      <c r="E351" s="8">
        <v>3.5785686076040313</v>
      </c>
      <c r="F351" s="8">
        <v>-1.5785686076040313</v>
      </c>
    </row>
    <row r="352" spans="3:6" x14ac:dyDescent="0.25">
      <c r="C352" s="9" t="s">
        <v>507</v>
      </c>
      <c r="D352" s="8">
        <v>3</v>
      </c>
      <c r="E352" s="8">
        <v>4.0886944885722807</v>
      </c>
      <c r="F352" s="8">
        <v>-1.0886944885722807</v>
      </c>
    </row>
    <row r="353" spans="3:6" x14ac:dyDescent="0.25">
      <c r="C353" s="9" t="s">
        <v>508</v>
      </c>
      <c r="D353" s="8">
        <v>4</v>
      </c>
      <c r="E353" s="8">
        <v>4.7316446238215155</v>
      </c>
      <c r="F353" s="8">
        <v>-0.73164462382151552</v>
      </c>
    </row>
    <row r="354" spans="3:6" x14ac:dyDescent="0.25">
      <c r="C354" s="9" t="s">
        <v>509</v>
      </c>
      <c r="D354" s="8">
        <v>4</v>
      </c>
      <c r="E354" s="8">
        <v>4.3267008576972108</v>
      </c>
      <c r="F354" s="8">
        <v>-0.3267008576972108</v>
      </c>
    </row>
    <row r="355" spans="3:6" x14ac:dyDescent="0.25">
      <c r="C355" s="9" t="s">
        <v>510</v>
      </c>
      <c r="D355" s="8">
        <v>4</v>
      </c>
      <c r="E355" s="8">
        <v>4.2265813067084395</v>
      </c>
      <c r="F355" s="8">
        <v>-0.22658130670843946</v>
      </c>
    </row>
    <row r="356" spans="3:6" x14ac:dyDescent="0.25">
      <c r="C356" s="9" t="s">
        <v>511</v>
      </c>
      <c r="D356" s="8">
        <v>5</v>
      </c>
      <c r="E356" s="8">
        <v>4.0295387690036666</v>
      </c>
      <c r="F356" s="8">
        <v>0.97046123099633341</v>
      </c>
    </row>
    <row r="357" spans="3:6" x14ac:dyDescent="0.25">
      <c r="C357" s="9" t="s">
        <v>512</v>
      </c>
      <c r="D357" s="8">
        <v>5</v>
      </c>
      <c r="E357" s="8">
        <v>4.6207092095681537</v>
      </c>
      <c r="F357" s="8">
        <v>0.37929079043184633</v>
      </c>
    </row>
    <row r="358" spans="3:6" x14ac:dyDescent="0.25">
      <c r="C358" s="9" t="s">
        <v>513</v>
      </c>
      <c r="D358" s="8">
        <v>4</v>
      </c>
      <c r="E358" s="8">
        <v>4.3618251284494169</v>
      </c>
      <c r="F358" s="8">
        <v>-0.36182512844941694</v>
      </c>
    </row>
    <row r="359" spans="3:6" x14ac:dyDescent="0.25">
      <c r="C359" s="9" t="s">
        <v>514</v>
      </c>
      <c r="D359" s="8">
        <v>2</v>
      </c>
      <c r="E359" s="8">
        <v>4.0618153031078466</v>
      </c>
      <c r="F359" s="8">
        <v>-2.0618153031078466</v>
      </c>
    </row>
    <row r="360" spans="3:6" x14ac:dyDescent="0.25">
      <c r="C360" s="9" t="s">
        <v>515</v>
      </c>
      <c r="D360" s="8">
        <v>4</v>
      </c>
      <c r="E360" s="8">
        <v>3.5785686076040313</v>
      </c>
      <c r="F360" s="8">
        <v>0.42143139239596872</v>
      </c>
    </row>
    <row r="361" spans="3:6" x14ac:dyDescent="0.25">
      <c r="C361" s="9" t="s">
        <v>516</v>
      </c>
      <c r="D361" s="8">
        <v>4</v>
      </c>
      <c r="E361" s="8">
        <v>3.837452688722768</v>
      </c>
      <c r="F361" s="8">
        <v>0.16254731127723199</v>
      </c>
    </row>
    <row r="362" spans="3:6" x14ac:dyDescent="0.25">
      <c r="C362" s="9" t="s">
        <v>517</v>
      </c>
      <c r="D362" s="8">
        <v>5</v>
      </c>
      <c r="E362" s="8">
        <v>3.9676972255897027</v>
      </c>
      <c r="F362" s="8">
        <v>1.0323027744102973</v>
      </c>
    </row>
    <row r="363" spans="3:6" x14ac:dyDescent="0.25">
      <c r="C363" s="9" t="s">
        <v>518</v>
      </c>
      <c r="D363" s="8">
        <v>5</v>
      </c>
      <c r="E363" s="8">
        <v>4.2635764769963078</v>
      </c>
      <c r="F363" s="8">
        <v>0.73642352300369218</v>
      </c>
    </row>
    <row r="364" spans="3:6" x14ac:dyDescent="0.25">
      <c r="C364" s="9" t="s">
        <v>519</v>
      </c>
      <c r="D364" s="8">
        <v>4</v>
      </c>
      <c r="E364" s="8">
        <v>3.9229841224884687</v>
      </c>
      <c r="F364" s="8">
        <v>7.7015877511531272E-2</v>
      </c>
    </row>
    <row r="365" spans="3:6" x14ac:dyDescent="0.25">
      <c r="C365" s="9" t="s">
        <v>520</v>
      </c>
      <c r="D365" s="8">
        <v>5</v>
      </c>
      <c r="E365" s="8">
        <v>3.954008274192867</v>
      </c>
      <c r="F365" s="8">
        <v>1.045991725807133</v>
      </c>
    </row>
    <row r="366" spans="3:6" x14ac:dyDescent="0.25">
      <c r="C366" s="9" t="s">
        <v>521</v>
      </c>
      <c r="D366" s="8">
        <v>5</v>
      </c>
      <c r="E366" s="8">
        <v>4.3618251284494169</v>
      </c>
      <c r="F366" s="8">
        <v>0.63817487155058306</v>
      </c>
    </row>
    <row r="367" spans="3:6" x14ac:dyDescent="0.25">
      <c r="C367" s="9" t="s">
        <v>522</v>
      </c>
      <c r="D367" s="8">
        <v>5</v>
      </c>
      <c r="E367" s="8">
        <v>3.9182634665627933</v>
      </c>
      <c r="F367" s="8">
        <v>1.0817365334372067</v>
      </c>
    </row>
    <row r="368" spans="3:6" x14ac:dyDescent="0.25">
      <c r="C368" s="9" t="s">
        <v>523</v>
      </c>
      <c r="D368" s="8">
        <v>5</v>
      </c>
      <c r="E368" s="8">
        <v>4.5224605581150445</v>
      </c>
      <c r="F368" s="8">
        <v>0.47753944188495545</v>
      </c>
    </row>
    <row r="369" spans="3:6" x14ac:dyDescent="0.25">
      <c r="C369" s="9" t="s">
        <v>524</v>
      </c>
      <c r="D369" s="8">
        <v>5</v>
      </c>
      <c r="E369" s="8">
        <v>4.3267008576972108</v>
      </c>
      <c r="F369" s="8">
        <v>0.6732991423027892</v>
      </c>
    </row>
    <row r="370" spans="3:6" x14ac:dyDescent="0.25">
      <c r="C370" s="9" t="s">
        <v>525</v>
      </c>
      <c r="D370" s="8">
        <v>5</v>
      </c>
      <c r="E370" s="8">
        <v>4.340567784478881</v>
      </c>
      <c r="F370" s="8">
        <v>0.65943221552111897</v>
      </c>
    </row>
    <row r="371" spans="3:6" x14ac:dyDescent="0.25">
      <c r="C371" s="9" t="s">
        <v>526</v>
      </c>
      <c r="D371" s="8">
        <v>3</v>
      </c>
      <c r="E371" s="8">
        <v>4.1320206676972626</v>
      </c>
      <c r="F371" s="8">
        <v>-1.1320206676972626</v>
      </c>
    </row>
    <row r="372" spans="3:6" x14ac:dyDescent="0.25">
      <c r="C372" s="9" t="s">
        <v>527</v>
      </c>
      <c r="D372" s="8">
        <v>3</v>
      </c>
      <c r="E372" s="8">
        <v>3.5785686076040313</v>
      </c>
      <c r="F372" s="8">
        <v>-0.57856860760403128</v>
      </c>
    </row>
    <row r="373" spans="3:6" x14ac:dyDescent="0.25">
      <c r="C373" s="9" t="s">
        <v>528</v>
      </c>
      <c r="D373" s="8">
        <v>5</v>
      </c>
      <c r="E373" s="8">
        <v>4.0816837033601443</v>
      </c>
      <c r="F373" s="8">
        <v>0.9183162966398557</v>
      </c>
    </row>
    <row r="374" spans="3:6" x14ac:dyDescent="0.25">
      <c r="C374" s="9" t="s">
        <v>529</v>
      </c>
      <c r="D374" s="8">
        <v>5</v>
      </c>
      <c r="E374" s="8">
        <v>4.7316446238215155</v>
      </c>
      <c r="F374" s="8">
        <v>0.26835537617848448</v>
      </c>
    </row>
    <row r="375" spans="3:6" x14ac:dyDescent="0.25">
      <c r="C375" s="9" t="s">
        <v>530</v>
      </c>
      <c r="D375" s="8">
        <v>5</v>
      </c>
      <c r="E375" s="8">
        <v>3.5785686076040313</v>
      </c>
      <c r="F375" s="8">
        <v>1.4214313923959687</v>
      </c>
    </row>
    <row r="376" spans="3:6" x14ac:dyDescent="0.25">
      <c r="C376" s="9" t="s">
        <v>531</v>
      </c>
      <c r="D376" s="8">
        <v>5</v>
      </c>
      <c r="E376" s="8">
        <v>4.2253686680978761</v>
      </c>
      <c r="F376" s="8">
        <v>0.77463133190212385</v>
      </c>
    </row>
    <row r="377" spans="3:6" x14ac:dyDescent="0.25">
      <c r="C377" s="9" t="s">
        <v>532</v>
      </c>
      <c r="D377" s="8">
        <v>2</v>
      </c>
      <c r="E377" s="8">
        <v>3.6465451021461277</v>
      </c>
      <c r="F377" s="8">
        <v>-1.6465451021461277</v>
      </c>
    </row>
    <row r="378" spans="3:6" x14ac:dyDescent="0.25">
      <c r="C378" s="9" t="s">
        <v>533</v>
      </c>
      <c r="D378" s="8">
        <v>2</v>
      </c>
      <c r="E378" s="8">
        <v>4.0618153031078466</v>
      </c>
      <c r="F378" s="8">
        <v>-2.0618153031078466</v>
      </c>
    </row>
    <row r="379" spans="3:6" x14ac:dyDescent="0.25">
      <c r="C379" s="9" t="s">
        <v>534</v>
      </c>
      <c r="D379" s="8">
        <v>4</v>
      </c>
      <c r="E379" s="8">
        <v>4.3267008576972108</v>
      </c>
      <c r="F379" s="8">
        <v>-0.3267008576972108</v>
      </c>
    </row>
    <row r="380" spans="3:6" x14ac:dyDescent="0.25">
      <c r="C380" s="9" t="s">
        <v>535</v>
      </c>
      <c r="D380" s="8">
        <v>5</v>
      </c>
      <c r="E380" s="8">
        <v>4.5224605581150445</v>
      </c>
      <c r="F380" s="8">
        <v>0.47753944188495545</v>
      </c>
    </row>
    <row r="381" spans="3:6" x14ac:dyDescent="0.25">
      <c r="C381" s="9" t="s">
        <v>536</v>
      </c>
      <c r="D381" s="8">
        <v>1</v>
      </c>
      <c r="E381" s="8">
        <v>3.5785686076040313</v>
      </c>
      <c r="F381" s="8">
        <v>-2.5785686076040313</v>
      </c>
    </row>
    <row r="382" spans="3:6" x14ac:dyDescent="0.25">
      <c r="C382" s="9" t="s">
        <v>537</v>
      </c>
      <c r="D382" s="8">
        <v>4</v>
      </c>
      <c r="E382" s="8">
        <v>4.0295387690036666</v>
      </c>
      <c r="F382" s="8">
        <v>-2.9538769003666587E-2</v>
      </c>
    </row>
    <row r="383" spans="3:6" x14ac:dyDescent="0.25">
      <c r="C383" s="9" t="s">
        <v>538</v>
      </c>
      <c r="D383" s="8">
        <v>5</v>
      </c>
      <c r="E383" s="8">
        <v>4.5224605581150445</v>
      </c>
      <c r="F383" s="8">
        <v>0.47753944188495545</v>
      </c>
    </row>
    <row r="384" spans="3:6" x14ac:dyDescent="0.25">
      <c r="C384" s="9" t="s">
        <v>539</v>
      </c>
      <c r="D384" s="8">
        <v>4</v>
      </c>
      <c r="E384" s="8">
        <v>4.4268672756201264</v>
      </c>
      <c r="F384" s="8">
        <v>-0.42686727562012639</v>
      </c>
    </row>
    <row r="385" spans="3:6" x14ac:dyDescent="0.25">
      <c r="C385" s="9" t="s">
        <v>540</v>
      </c>
      <c r="D385" s="8">
        <v>4</v>
      </c>
      <c r="E385" s="8">
        <v>4.4268672756201264</v>
      </c>
      <c r="F385" s="8">
        <v>-0.42686727562012639</v>
      </c>
    </row>
    <row r="386" spans="3:6" x14ac:dyDescent="0.25">
      <c r="C386" s="9" t="s">
        <v>541</v>
      </c>
      <c r="D386" s="8">
        <v>5</v>
      </c>
      <c r="E386" s="8">
        <v>4.0190648136685754</v>
      </c>
      <c r="F386" s="8">
        <v>0.98093518633142462</v>
      </c>
    </row>
    <row r="387" spans="3:6" x14ac:dyDescent="0.25">
      <c r="C387" s="9" t="s">
        <v>542</v>
      </c>
      <c r="D387" s="8">
        <v>2</v>
      </c>
      <c r="E387" s="8">
        <v>4.0886944885722807</v>
      </c>
      <c r="F387" s="8">
        <v>-2.0886944885722807</v>
      </c>
    </row>
    <row r="388" spans="3:6" x14ac:dyDescent="0.25">
      <c r="C388" s="9" t="s">
        <v>543</v>
      </c>
      <c r="D388" s="8">
        <v>5</v>
      </c>
      <c r="E388" s="8">
        <v>4.0816837033601443</v>
      </c>
      <c r="F388" s="8">
        <v>0.9183162966398557</v>
      </c>
    </row>
    <row r="389" spans="3:6" x14ac:dyDescent="0.25">
      <c r="C389" s="9" t="s">
        <v>544</v>
      </c>
      <c r="D389" s="8">
        <v>2</v>
      </c>
      <c r="E389" s="8">
        <v>4.2635764769963078</v>
      </c>
      <c r="F389" s="8">
        <v>-2.2635764769963078</v>
      </c>
    </row>
    <row r="390" spans="3:6" x14ac:dyDescent="0.25">
      <c r="C390" s="9" t="s">
        <v>545</v>
      </c>
      <c r="D390" s="8">
        <v>2</v>
      </c>
      <c r="E390" s="8">
        <v>3.5785686076040313</v>
      </c>
      <c r="F390" s="8">
        <v>-1.5785686076040313</v>
      </c>
    </row>
    <row r="391" spans="3:6" x14ac:dyDescent="0.25">
      <c r="C391" s="9" t="s">
        <v>546</v>
      </c>
      <c r="D391" s="8">
        <v>5</v>
      </c>
      <c r="E391" s="8">
        <v>4.0271784410408289</v>
      </c>
      <c r="F391" s="8">
        <v>0.97282155895917111</v>
      </c>
    </row>
    <row r="392" spans="3:6" x14ac:dyDescent="0.25">
      <c r="C392" s="9" t="s">
        <v>547</v>
      </c>
      <c r="D392" s="8">
        <v>4</v>
      </c>
      <c r="E392" s="8">
        <v>4.0190648136685754</v>
      </c>
      <c r="F392" s="8">
        <v>-1.9064813668575376E-2</v>
      </c>
    </row>
    <row r="393" spans="3:6" x14ac:dyDescent="0.25">
      <c r="C393" s="9" t="s">
        <v>548</v>
      </c>
      <c r="D393" s="8">
        <v>5</v>
      </c>
      <c r="E393" s="8">
        <v>4.4727605427027788</v>
      </c>
      <c r="F393" s="8">
        <v>0.52723945729722121</v>
      </c>
    </row>
    <row r="394" spans="3:6" x14ac:dyDescent="0.25">
      <c r="C394" s="9" t="s">
        <v>550</v>
      </c>
      <c r="D394" s="8">
        <v>4</v>
      </c>
      <c r="E394" s="8">
        <v>3.9676972255897027</v>
      </c>
      <c r="F394" s="8">
        <v>3.2302774410297275E-2</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Output1'!$B$10:$B$10" display="Inputs" xr:uid="{EB2D562B-0F01-43DF-A605-09528AD76810}"/>
    <hyperlink ref="D4" location="'LinReg_Output1'!$B$50:$B$50" display="Regression Summary" xr:uid="{5499EC83-2A68-4B68-9254-DE2506F016FC}"/>
    <hyperlink ref="F4" location="'LinReg_Output1'!$B$59:$B$59" display="Predictor Screening" xr:uid="{7B3E78F4-7583-42DC-BA43-681A83D6D11C}"/>
    <hyperlink ref="H4" location="'LinReg_Output1'!$B$71:$B$71" display="Coefficients" xr:uid="{8A78D02C-3680-458B-92CB-19DB0B5D454C}"/>
    <hyperlink ref="J4" location="'LinReg_Stored1'!$B$10:$B$10" display="PMML Model" xr:uid="{7A2BC802-5DCF-42E4-8376-DF768835E013}"/>
    <hyperlink ref="B5" location="'LinReg_TrainingScore1'!$B$10:$B$10" display="Training: Prediction Summary" xr:uid="{433B9765-9453-473C-A85E-19C26525580E}"/>
    <hyperlink ref="D5" location="'LinReg_TrainingScore1'!$B$19:$B$19" display="Training: Prediction Details" xr:uid="{01BB1EF2-5426-4F61-8B96-4FA9AEDD1A18}"/>
    <hyperlink ref="F5" location="'LinReg_ValidationScore1'!$B$10:$B$10" display="Validation: Prediction Summary" xr:uid="{1D30D019-8330-4AB8-833A-0F23A0C96953}"/>
    <hyperlink ref="H5" location="'LinReg_ValidationScore1'!$B$19:$B$19" display="Validation: Prediction Details" xr:uid="{4E71CFE5-F29B-4BBD-B4B8-845AE20920DB}"/>
  </hyperlinks>
  <pageMargins left="0.7" right="0.7" top="0.75" bottom="0.75" header="0.3" footer="0.3"/>
  <drawing r:id="rId1"/>
  <tableParts count="2">
    <tablePart r:id="rId2"/>
    <tablePart r:id="rId3"/>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684488-3B54-42BB-87C0-BD48E6C17F7C}">
  <sheetPr codeName="Sheet38">
    <tabColor rgb="FFC00000"/>
  </sheetPr>
  <dimension ref="B1:Q114"/>
  <sheetViews>
    <sheetView showGridLines="0" topLeftCell="B1" workbookViewId="0">
      <selection activeCell="I27" sqref="I27"/>
    </sheetView>
  </sheetViews>
  <sheetFormatPr defaultRowHeight="15" x14ac:dyDescent="0.25"/>
  <cols>
    <col min="2" max="2" width="73.28515625" bestFit="1" customWidth="1"/>
    <col min="3" max="3" width="11.5703125" customWidth="1"/>
    <col min="5" max="5" width="18.140625" customWidth="1"/>
    <col min="6" max="6" width="10.7109375" customWidth="1"/>
    <col min="14" max="14" width="15.5703125" bestFit="1" customWidth="1"/>
  </cols>
  <sheetData>
    <row r="1" spans="2:17" ht="18.75" x14ac:dyDescent="0.3">
      <c r="B1" s="6" t="s">
        <v>725</v>
      </c>
      <c r="N1" t="s">
        <v>822</v>
      </c>
    </row>
    <row r="3" spans="2:17" ht="15.75" x14ac:dyDescent="0.25">
      <c r="B3" s="13" t="s">
        <v>147</v>
      </c>
      <c r="C3" s="14"/>
      <c r="D3" s="14"/>
      <c r="E3" s="14"/>
      <c r="F3" s="14"/>
      <c r="G3" s="14"/>
      <c r="H3" s="14"/>
      <c r="I3" s="14"/>
      <c r="J3" s="14"/>
      <c r="K3" s="15"/>
      <c r="N3" s="13" t="s">
        <v>148</v>
      </c>
      <c r="O3" s="14"/>
      <c r="P3" s="14"/>
      <c r="Q3" s="15"/>
    </row>
    <row r="4" spans="2:17" x14ac:dyDescent="0.25">
      <c r="B4" s="25" t="s">
        <v>153</v>
      </c>
      <c r="C4" s="21"/>
      <c r="D4" s="25" t="s">
        <v>720</v>
      </c>
      <c r="E4" s="21"/>
      <c r="F4" s="25" t="s">
        <v>721</v>
      </c>
      <c r="G4" s="21"/>
      <c r="H4" s="25" t="s">
        <v>722</v>
      </c>
      <c r="I4" s="21"/>
      <c r="J4" s="25" t="s">
        <v>645</v>
      </c>
      <c r="K4" s="21"/>
      <c r="N4" s="11" t="s">
        <v>149</v>
      </c>
      <c r="O4" s="11" t="s">
        <v>150</v>
      </c>
      <c r="P4" s="11" t="s">
        <v>151</v>
      </c>
      <c r="Q4" s="11" t="s">
        <v>152</v>
      </c>
    </row>
    <row r="5" spans="2:17" x14ac:dyDescent="0.25">
      <c r="B5" s="25" t="s">
        <v>723</v>
      </c>
      <c r="C5" s="21"/>
      <c r="D5" s="25" t="s">
        <v>830</v>
      </c>
      <c r="E5" s="21"/>
      <c r="F5" s="25" t="s">
        <v>724</v>
      </c>
      <c r="G5" s="21"/>
      <c r="H5" s="25" t="s">
        <v>831</v>
      </c>
      <c r="I5" s="21"/>
      <c r="J5" s="19"/>
      <c r="K5" s="21"/>
      <c r="N5" s="10">
        <v>16</v>
      </c>
      <c r="O5" s="10">
        <v>6</v>
      </c>
      <c r="P5" s="10">
        <v>10</v>
      </c>
      <c r="Q5" s="10">
        <v>32</v>
      </c>
    </row>
    <row r="10" spans="2:17" ht="18.75" x14ac:dyDescent="0.3">
      <c r="B10" s="7" t="s">
        <v>724</v>
      </c>
    </row>
    <row r="12" spans="2:17" x14ac:dyDescent="0.25">
      <c r="C12" t="s">
        <v>726</v>
      </c>
      <c r="D12" t="s">
        <v>727</v>
      </c>
    </row>
    <row r="13" spans="2:17" x14ac:dyDescent="0.25">
      <c r="C13" t="s">
        <v>728</v>
      </c>
      <c r="D13">
        <v>84.028138994120354</v>
      </c>
    </row>
    <row r="14" spans="2:17" x14ac:dyDescent="0.25">
      <c r="C14" t="s">
        <v>729</v>
      </c>
      <c r="D14">
        <v>0.90352837628086402</v>
      </c>
    </row>
    <row r="15" spans="2:17" x14ac:dyDescent="0.25">
      <c r="B15" t="s">
        <v>844</v>
      </c>
      <c r="C15" s="37" t="s">
        <v>730</v>
      </c>
      <c r="D15" s="37">
        <v>0.95054109657650465</v>
      </c>
    </row>
    <row r="16" spans="2:17" x14ac:dyDescent="0.25">
      <c r="C16" t="s">
        <v>731</v>
      </c>
      <c r="D16">
        <v>0.76128846382186277</v>
      </c>
    </row>
    <row r="17" spans="2:6" x14ac:dyDescent="0.25">
      <c r="C17" t="s">
        <v>732</v>
      </c>
      <c r="D17">
        <v>0.13593355523516071</v>
      </c>
    </row>
    <row r="19" spans="2:6" ht="18.75" x14ac:dyDescent="0.3">
      <c r="B19" s="7" t="s">
        <v>831</v>
      </c>
    </row>
    <row r="21" spans="2:6" x14ac:dyDescent="0.25">
      <c r="C21" s="9" t="s">
        <v>176</v>
      </c>
      <c r="D21" s="5" t="s">
        <v>4</v>
      </c>
      <c r="E21" s="5" t="s">
        <v>832</v>
      </c>
      <c r="F21" s="5" t="s">
        <v>833</v>
      </c>
    </row>
    <row r="22" spans="2:6" x14ac:dyDescent="0.25">
      <c r="C22" s="9" t="s">
        <v>549</v>
      </c>
      <c r="D22" s="8">
        <v>3</v>
      </c>
      <c r="E22" s="8">
        <v>3.9229841224884687</v>
      </c>
      <c r="F22" s="8">
        <v>-0.92298412248846873</v>
      </c>
    </row>
    <row r="23" spans="2:6" x14ac:dyDescent="0.25">
      <c r="C23" s="9" t="s">
        <v>551</v>
      </c>
      <c r="D23" s="8">
        <v>2</v>
      </c>
      <c r="E23" s="8">
        <v>3.6465451021461277</v>
      </c>
      <c r="F23" s="8">
        <v>-1.6465451021461277</v>
      </c>
    </row>
    <row r="24" spans="2:6" x14ac:dyDescent="0.25">
      <c r="C24" s="9" t="s">
        <v>552</v>
      </c>
      <c r="D24" s="8">
        <v>2</v>
      </c>
      <c r="E24" s="8">
        <v>3.8731365865785259</v>
      </c>
      <c r="F24" s="8">
        <v>-1.8731365865785259</v>
      </c>
    </row>
    <row r="25" spans="2:6" x14ac:dyDescent="0.25">
      <c r="C25" s="9" t="s">
        <v>553</v>
      </c>
      <c r="D25" s="8">
        <v>4</v>
      </c>
      <c r="E25" s="8">
        <v>4.0190648136685754</v>
      </c>
      <c r="F25" s="8">
        <v>-1.9064813668575376E-2</v>
      </c>
    </row>
    <row r="26" spans="2:6" x14ac:dyDescent="0.25">
      <c r="C26" s="9" t="s">
        <v>554</v>
      </c>
      <c r="D26" s="8">
        <v>3</v>
      </c>
      <c r="E26" s="8">
        <v>4.4745163963699079</v>
      </c>
      <c r="F26" s="8">
        <v>-1.4745163963699079</v>
      </c>
    </row>
    <row r="27" spans="2:6" x14ac:dyDescent="0.25">
      <c r="C27" s="9" t="s">
        <v>555</v>
      </c>
      <c r="D27" s="8">
        <v>3</v>
      </c>
      <c r="E27" s="8">
        <v>4.0816837033601443</v>
      </c>
      <c r="F27" s="8">
        <v>-1.0816837033601443</v>
      </c>
    </row>
    <row r="28" spans="2:6" x14ac:dyDescent="0.25">
      <c r="C28" s="9" t="s">
        <v>556</v>
      </c>
      <c r="D28" s="8">
        <v>4</v>
      </c>
      <c r="E28" s="8">
        <v>3.9182634665627933</v>
      </c>
      <c r="F28" s="8">
        <v>8.173653343720666E-2</v>
      </c>
    </row>
    <row r="29" spans="2:6" x14ac:dyDescent="0.25">
      <c r="C29" s="9" t="s">
        <v>557</v>
      </c>
      <c r="D29" s="8">
        <v>4</v>
      </c>
      <c r="E29" s="8">
        <v>4.2860625221595656</v>
      </c>
      <c r="F29" s="8">
        <v>-0.28606252215956562</v>
      </c>
    </row>
    <row r="30" spans="2:6" x14ac:dyDescent="0.25">
      <c r="C30" s="9" t="s">
        <v>558</v>
      </c>
      <c r="D30" s="8">
        <v>3</v>
      </c>
      <c r="E30" s="8">
        <v>4.0190648136685754</v>
      </c>
      <c r="F30" s="8">
        <v>-1.0190648136685754</v>
      </c>
    </row>
    <row r="31" spans="2:6" x14ac:dyDescent="0.25">
      <c r="C31" s="9" t="s">
        <v>559</v>
      </c>
      <c r="D31" s="8">
        <v>4</v>
      </c>
      <c r="E31" s="8">
        <v>4.0816837033601443</v>
      </c>
      <c r="F31" s="8">
        <v>-8.16837033601443E-2</v>
      </c>
    </row>
    <row r="32" spans="2:6" x14ac:dyDescent="0.25">
      <c r="C32" s="9" t="s">
        <v>560</v>
      </c>
      <c r="D32" s="8">
        <v>5</v>
      </c>
      <c r="E32" s="8">
        <v>4.0295387690036666</v>
      </c>
      <c r="F32" s="8">
        <v>0.97046123099633341</v>
      </c>
    </row>
    <row r="33" spans="3:9" x14ac:dyDescent="0.25">
      <c r="C33" s="9" t="s">
        <v>561</v>
      </c>
      <c r="D33" s="8">
        <v>1</v>
      </c>
      <c r="E33" s="8">
        <v>4.1320206676972626</v>
      </c>
      <c r="F33" s="8">
        <v>-3.1320206676972626</v>
      </c>
    </row>
    <row r="34" spans="3:9" x14ac:dyDescent="0.25">
      <c r="C34" s="9" t="s">
        <v>562</v>
      </c>
      <c r="D34" s="8">
        <v>5</v>
      </c>
      <c r="E34" s="8">
        <v>4.1679831945013897</v>
      </c>
      <c r="F34" s="8">
        <v>0.83201680549861035</v>
      </c>
    </row>
    <row r="35" spans="3:9" x14ac:dyDescent="0.25">
      <c r="C35" s="9" t="s">
        <v>563</v>
      </c>
      <c r="D35" s="8">
        <v>5</v>
      </c>
      <c r="E35" s="8">
        <v>4.2779488947873121</v>
      </c>
      <c r="F35" s="8">
        <v>0.72205110521268789</v>
      </c>
    </row>
    <row r="36" spans="3:9" x14ac:dyDescent="0.25">
      <c r="C36" s="9" t="s">
        <v>564</v>
      </c>
      <c r="D36" s="8">
        <v>5</v>
      </c>
      <c r="E36" s="8">
        <v>4.4727605427027788</v>
      </c>
      <c r="F36" s="8">
        <v>0.52723945729722121</v>
      </c>
    </row>
    <row r="37" spans="3:9" x14ac:dyDescent="0.25">
      <c r="C37" s="9" t="s">
        <v>565</v>
      </c>
      <c r="D37" s="8">
        <v>4</v>
      </c>
      <c r="E37" s="8">
        <v>4.2253686680978761</v>
      </c>
      <c r="F37" s="8">
        <v>-0.22536866809787615</v>
      </c>
    </row>
    <row r="38" spans="3:9" x14ac:dyDescent="0.25">
      <c r="C38" s="9" t="s">
        <v>566</v>
      </c>
      <c r="D38" s="8">
        <v>4</v>
      </c>
      <c r="E38" s="8">
        <v>4.2860625221595656</v>
      </c>
      <c r="F38" s="8">
        <v>-0.28606252215956562</v>
      </c>
    </row>
    <row r="39" spans="3:9" x14ac:dyDescent="0.25">
      <c r="C39" s="9" t="s">
        <v>567</v>
      </c>
      <c r="D39" s="8">
        <v>5</v>
      </c>
      <c r="E39" s="8">
        <v>4.3206993842265833</v>
      </c>
      <c r="F39" s="8">
        <v>0.67930061577341672</v>
      </c>
    </row>
    <row r="40" spans="3:9" x14ac:dyDescent="0.25">
      <c r="C40" s="9" t="s">
        <v>568</v>
      </c>
      <c r="D40" s="8">
        <v>4</v>
      </c>
      <c r="E40" s="8">
        <v>3.6465451021461277</v>
      </c>
      <c r="F40" s="8">
        <v>0.3534548978538723</v>
      </c>
    </row>
    <row r="41" spans="3:9" x14ac:dyDescent="0.25">
      <c r="C41" s="9" t="s">
        <v>569</v>
      </c>
      <c r="D41" s="8">
        <v>5</v>
      </c>
      <c r="E41" s="8">
        <v>4.4842527492166129</v>
      </c>
      <c r="F41" s="8">
        <v>0.51574725078338712</v>
      </c>
    </row>
    <row r="42" spans="3:9" x14ac:dyDescent="0.25">
      <c r="C42" s="9" t="s">
        <v>570</v>
      </c>
      <c r="D42" s="8">
        <v>1</v>
      </c>
      <c r="E42" s="8">
        <v>4.1679831945013897</v>
      </c>
      <c r="F42" s="8">
        <v>-3.1679831945013897</v>
      </c>
    </row>
    <row r="43" spans="3:9" x14ac:dyDescent="0.25">
      <c r="C43" s="9" t="s">
        <v>571</v>
      </c>
      <c r="D43" s="8">
        <v>4</v>
      </c>
      <c r="E43" s="8">
        <v>3.6465451021461277</v>
      </c>
      <c r="F43" s="8">
        <v>0.3534548978538723</v>
      </c>
    </row>
    <row r="44" spans="3:9" x14ac:dyDescent="0.25">
      <c r="C44" s="9" t="s">
        <v>572</v>
      </c>
      <c r="D44" s="8">
        <v>5</v>
      </c>
      <c r="E44" s="8">
        <v>4.0886944885722807</v>
      </c>
      <c r="F44" s="8">
        <v>0.91130551142771932</v>
      </c>
    </row>
    <row r="45" spans="3:9" x14ac:dyDescent="0.25">
      <c r="C45" s="9" t="s">
        <v>573</v>
      </c>
      <c r="D45" s="8">
        <v>4</v>
      </c>
      <c r="E45" s="8">
        <v>3.8731365865785259</v>
      </c>
      <c r="F45" s="8">
        <v>0.12686341342147411</v>
      </c>
    </row>
    <row r="46" spans="3:9" x14ac:dyDescent="0.25">
      <c r="C46" s="9" t="s">
        <v>574</v>
      </c>
      <c r="D46" s="8">
        <v>4</v>
      </c>
      <c r="E46" s="8">
        <v>3.954008274192867</v>
      </c>
      <c r="F46" s="8">
        <v>4.5991725807132955E-2</v>
      </c>
      <c r="G46" cm="1">
        <f t="array" ref="G46">AVERAGE(ABS(Validation__Prediction_Details[Residual]))</f>
        <v>0.76128846382186277</v>
      </c>
      <c r="H46">
        <f>AVERAGE(Validation__Prediction_Details[Prediction: Score])</f>
        <v>4.1455569598074762</v>
      </c>
      <c r="I46">
        <f>H46-G46</f>
        <v>3.3842684959856135</v>
      </c>
    </row>
    <row r="47" spans="3:9" x14ac:dyDescent="0.25">
      <c r="C47" s="9" t="s">
        <v>575</v>
      </c>
      <c r="D47" s="8">
        <v>5</v>
      </c>
      <c r="E47" s="8">
        <v>4.4268672756201264</v>
      </c>
      <c r="F47" s="8">
        <v>0.57313272437987361</v>
      </c>
    </row>
    <row r="48" spans="3:9" x14ac:dyDescent="0.25">
      <c r="C48" s="9" t="s">
        <v>576</v>
      </c>
      <c r="D48" s="8">
        <v>5</v>
      </c>
      <c r="E48" s="8">
        <v>4.0816837033601443</v>
      </c>
      <c r="F48" s="8">
        <v>0.9183162966398557</v>
      </c>
    </row>
    <row r="49" spans="3:6" x14ac:dyDescent="0.25">
      <c r="C49" s="9" t="s">
        <v>577</v>
      </c>
      <c r="D49" s="8">
        <v>3</v>
      </c>
      <c r="E49" s="8">
        <v>4.3267008576972108</v>
      </c>
      <c r="F49" s="8">
        <v>-1.3267008576972108</v>
      </c>
    </row>
    <row r="50" spans="3:6" x14ac:dyDescent="0.25">
      <c r="C50" s="9" t="s">
        <v>578</v>
      </c>
      <c r="D50" s="8">
        <v>5</v>
      </c>
      <c r="E50" s="8">
        <v>4.0271784410408289</v>
      </c>
      <c r="F50" s="8">
        <v>0.97282155895917111</v>
      </c>
    </row>
    <row r="51" spans="3:6" x14ac:dyDescent="0.25">
      <c r="C51" s="9" t="s">
        <v>579</v>
      </c>
      <c r="D51" s="8">
        <v>3</v>
      </c>
      <c r="E51" s="8">
        <v>3.5478843440871439</v>
      </c>
      <c r="F51" s="8">
        <v>-0.54788434408714393</v>
      </c>
    </row>
    <row r="52" spans="3:6" x14ac:dyDescent="0.25">
      <c r="C52" s="9" t="s">
        <v>580</v>
      </c>
      <c r="D52" s="8">
        <v>5</v>
      </c>
      <c r="E52" s="8">
        <v>3.954008274192867</v>
      </c>
      <c r="F52" s="8">
        <v>1.045991725807133</v>
      </c>
    </row>
    <row r="53" spans="3:6" x14ac:dyDescent="0.25">
      <c r="C53" s="9" t="s">
        <v>581</v>
      </c>
      <c r="D53" s="8">
        <v>5</v>
      </c>
      <c r="E53" s="8">
        <v>4.6207092095681537</v>
      </c>
      <c r="F53" s="8">
        <v>0.37929079043184633</v>
      </c>
    </row>
    <row r="54" spans="3:6" x14ac:dyDescent="0.25">
      <c r="C54" s="9" t="s">
        <v>582</v>
      </c>
      <c r="D54" s="8">
        <v>5</v>
      </c>
      <c r="E54" s="8">
        <v>4.0190648136685754</v>
      </c>
      <c r="F54" s="8">
        <v>0.98093518633142462</v>
      </c>
    </row>
    <row r="55" spans="3:6" x14ac:dyDescent="0.25">
      <c r="C55" s="9" t="s">
        <v>583</v>
      </c>
      <c r="D55" s="8">
        <v>4</v>
      </c>
      <c r="E55" s="8">
        <v>4.0271784410408289</v>
      </c>
      <c r="F55" s="8">
        <v>-2.7178441040828893E-2</v>
      </c>
    </row>
    <row r="56" spans="3:6" x14ac:dyDescent="0.25">
      <c r="C56" s="9" t="s">
        <v>584</v>
      </c>
      <c r="D56" s="8">
        <v>4</v>
      </c>
      <c r="E56" s="8">
        <v>4.4745163963699079</v>
      </c>
      <c r="F56" s="8">
        <v>-0.47451639636990794</v>
      </c>
    </row>
    <row r="57" spans="3:6" x14ac:dyDescent="0.25">
      <c r="C57" s="9" t="s">
        <v>585</v>
      </c>
      <c r="D57" s="8">
        <v>5</v>
      </c>
      <c r="E57" s="8">
        <v>4.3618251284494169</v>
      </c>
      <c r="F57" s="8">
        <v>0.63817487155058306</v>
      </c>
    </row>
    <row r="58" spans="3:6" x14ac:dyDescent="0.25">
      <c r="C58" s="9" t="s">
        <v>586</v>
      </c>
      <c r="D58" s="8">
        <v>5</v>
      </c>
      <c r="E58" s="8">
        <v>4.2253686680978761</v>
      </c>
      <c r="F58" s="8">
        <v>0.77463133190212385</v>
      </c>
    </row>
    <row r="59" spans="3:6" x14ac:dyDescent="0.25">
      <c r="C59" s="9" t="s">
        <v>587</v>
      </c>
      <c r="D59" s="8">
        <v>3</v>
      </c>
      <c r="E59" s="8">
        <v>4.2156323152511712</v>
      </c>
      <c r="F59" s="8">
        <v>-1.2156323152511712</v>
      </c>
    </row>
    <row r="60" spans="3:6" x14ac:dyDescent="0.25">
      <c r="C60" s="9" t="s">
        <v>588</v>
      </c>
      <c r="D60" s="8">
        <v>5</v>
      </c>
      <c r="E60" s="8">
        <v>4.2884228501224033</v>
      </c>
      <c r="F60" s="8">
        <v>0.71157714987759668</v>
      </c>
    </row>
    <row r="61" spans="3:6" x14ac:dyDescent="0.25">
      <c r="C61" s="9" t="s">
        <v>589</v>
      </c>
      <c r="D61" s="8">
        <v>4</v>
      </c>
      <c r="E61" s="8">
        <v>4.3267008576972108</v>
      </c>
      <c r="F61" s="8">
        <v>-0.3267008576972108</v>
      </c>
    </row>
    <row r="62" spans="3:6" x14ac:dyDescent="0.25">
      <c r="C62" s="9" t="s">
        <v>590</v>
      </c>
      <c r="D62" s="8">
        <v>4</v>
      </c>
      <c r="E62" s="8">
        <v>3.8731365865785259</v>
      </c>
      <c r="F62" s="8">
        <v>0.12686341342147411</v>
      </c>
    </row>
    <row r="63" spans="3:6" x14ac:dyDescent="0.25">
      <c r="C63" s="9" t="s">
        <v>591</v>
      </c>
      <c r="D63" s="8">
        <v>5</v>
      </c>
      <c r="E63" s="8">
        <v>4.2635764769963078</v>
      </c>
      <c r="F63" s="8">
        <v>0.73642352300369218</v>
      </c>
    </row>
    <row r="64" spans="3:6" x14ac:dyDescent="0.25">
      <c r="C64" s="9" t="s">
        <v>592</v>
      </c>
      <c r="D64" s="8">
        <v>5</v>
      </c>
      <c r="E64" s="8">
        <v>4.4842527492166129</v>
      </c>
      <c r="F64" s="8">
        <v>0.51574725078338712</v>
      </c>
    </row>
    <row r="65" spans="3:6" x14ac:dyDescent="0.25">
      <c r="C65" s="9" t="s">
        <v>593</v>
      </c>
      <c r="D65" s="8">
        <v>5</v>
      </c>
      <c r="E65" s="8">
        <v>4.3267008576972108</v>
      </c>
      <c r="F65" s="8">
        <v>0.6732991423027892</v>
      </c>
    </row>
    <row r="66" spans="3:6" x14ac:dyDescent="0.25">
      <c r="C66" s="9" t="s">
        <v>594</v>
      </c>
      <c r="D66" s="8">
        <v>5</v>
      </c>
      <c r="E66" s="8">
        <v>4.5224605581150445</v>
      </c>
      <c r="F66" s="8">
        <v>0.47753944188495545</v>
      </c>
    </row>
    <row r="67" spans="3:6" x14ac:dyDescent="0.25">
      <c r="C67" s="9" t="s">
        <v>595</v>
      </c>
      <c r="D67" s="8">
        <v>5</v>
      </c>
      <c r="E67" s="8">
        <v>4.5224605581150445</v>
      </c>
      <c r="F67" s="8">
        <v>0.47753944188495545</v>
      </c>
    </row>
    <row r="68" spans="3:6" x14ac:dyDescent="0.25">
      <c r="C68" s="9" t="s">
        <v>596</v>
      </c>
      <c r="D68" s="8">
        <v>5</v>
      </c>
      <c r="E68" s="8">
        <v>4.1679831945013897</v>
      </c>
      <c r="F68" s="8">
        <v>0.83201680549861035</v>
      </c>
    </row>
    <row r="69" spans="3:6" x14ac:dyDescent="0.25">
      <c r="C69" s="9" t="s">
        <v>597</v>
      </c>
      <c r="D69" s="8">
        <v>5</v>
      </c>
      <c r="E69" s="8">
        <v>4.7316446238215155</v>
      </c>
      <c r="F69" s="8">
        <v>0.26835537617848448</v>
      </c>
    </row>
    <row r="70" spans="3:6" x14ac:dyDescent="0.25">
      <c r="C70" s="9" t="s">
        <v>598</v>
      </c>
      <c r="D70" s="8">
        <v>5</v>
      </c>
      <c r="E70" s="8">
        <v>3.664100041369732</v>
      </c>
      <c r="F70" s="8">
        <v>1.335899958630268</v>
      </c>
    </row>
    <row r="71" spans="3:6" x14ac:dyDescent="0.25">
      <c r="C71" s="9" t="s">
        <v>599</v>
      </c>
      <c r="D71" s="8">
        <v>4</v>
      </c>
      <c r="E71" s="8">
        <v>3.6593793854440566</v>
      </c>
      <c r="F71" s="8">
        <v>0.34062061455594339</v>
      </c>
    </row>
    <row r="72" spans="3:6" x14ac:dyDescent="0.25">
      <c r="C72" s="9" t="s">
        <v>600</v>
      </c>
      <c r="D72" s="8">
        <v>4</v>
      </c>
      <c r="E72" s="8">
        <v>4.2265813067084395</v>
      </c>
      <c r="F72" s="8">
        <v>-0.22658130670843946</v>
      </c>
    </row>
    <row r="73" spans="3:6" x14ac:dyDescent="0.25">
      <c r="C73" s="9" t="s">
        <v>601</v>
      </c>
      <c r="D73" s="8">
        <v>4</v>
      </c>
      <c r="E73" s="8">
        <v>4.0271784410408289</v>
      </c>
      <c r="F73" s="8">
        <v>-2.7178441040828893E-2</v>
      </c>
    </row>
    <row r="74" spans="3:6" x14ac:dyDescent="0.25">
      <c r="C74" s="9" t="s">
        <v>602</v>
      </c>
      <c r="D74" s="8">
        <v>5</v>
      </c>
      <c r="E74" s="8">
        <v>4.6207092095681537</v>
      </c>
      <c r="F74" s="8">
        <v>0.37929079043184633</v>
      </c>
    </row>
    <row r="75" spans="3:6" x14ac:dyDescent="0.25">
      <c r="C75" s="9" t="s">
        <v>603</v>
      </c>
      <c r="D75" s="8">
        <v>3</v>
      </c>
      <c r="E75" s="8">
        <v>4.0271784410408289</v>
      </c>
      <c r="F75" s="8">
        <v>-1.0271784410408289</v>
      </c>
    </row>
    <row r="76" spans="3:6" x14ac:dyDescent="0.25">
      <c r="C76" s="9" t="s">
        <v>604</v>
      </c>
      <c r="D76" s="8">
        <v>5</v>
      </c>
      <c r="E76" s="8">
        <v>3.9054291832648644</v>
      </c>
      <c r="F76" s="8">
        <v>1.0945708167351356</v>
      </c>
    </row>
    <row r="77" spans="3:6" x14ac:dyDescent="0.25">
      <c r="C77" s="9" t="s">
        <v>605</v>
      </c>
      <c r="D77" s="8">
        <v>3</v>
      </c>
      <c r="E77" s="8">
        <v>3.6593793854440566</v>
      </c>
      <c r="F77" s="8">
        <v>-0.65937938544405661</v>
      </c>
    </row>
    <row r="78" spans="3:6" x14ac:dyDescent="0.25">
      <c r="C78" s="9" t="s">
        <v>606</v>
      </c>
      <c r="D78" s="8">
        <v>4</v>
      </c>
      <c r="E78" s="8">
        <v>4.0618153031078466</v>
      </c>
      <c r="F78" s="8">
        <v>-6.1815303107846553E-2</v>
      </c>
    </row>
    <row r="79" spans="3:6" x14ac:dyDescent="0.25">
      <c r="C79" s="9" t="s">
        <v>607</v>
      </c>
      <c r="D79" s="8">
        <v>4</v>
      </c>
      <c r="E79" s="8">
        <v>4.0190648136685754</v>
      </c>
      <c r="F79" s="8">
        <v>-1.9064813668575376E-2</v>
      </c>
    </row>
    <row r="80" spans="3:6" x14ac:dyDescent="0.25">
      <c r="C80" s="9" t="s">
        <v>608</v>
      </c>
      <c r="D80" s="8">
        <v>5</v>
      </c>
      <c r="E80" s="8">
        <v>4.6207092095681537</v>
      </c>
      <c r="F80" s="8">
        <v>0.37929079043184633</v>
      </c>
    </row>
    <row r="81" spans="3:6" x14ac:dyDescent="0.25">
      <c r="C81" s="9" t="s">
        <v>609</v>
      </c>
      <c r="D81" s="8">
        <v>5</v>
      </c>
      <c r="E81" s="8">
        <v>4.7316446238215155</v>
      </c>
      <c r="F81" s="8">
        <v>0.26835537617848448</v>
      </c>
    </row>
    <row r="82" spans="3:6" x14ac:dyDescent="0.25">
      <c r="C82" s="9" t="s">
        <v>610</v>
      </c>
      <c r="D82" s="8">
        <v>4</v>
      </c>
      <c r="E82" s="8">
        <v>4.5224605581150445</v>
      </c>
      <c r="F82" s="8">
        <v>-0.52246055811504455</v>
      </c>
    </row>
    <row r="83" spans="3:6" x14ac:dyDescent="0.25">
      <c r="C83" s="9" t="s">
        <v>611</v>
      </c>
      <c r="D83" s="8">
        <v>5</v>
      </c>
      <c r="E83" s="8">
        <v>4.0271784410408289</v>
      </c>
      <c r="F83" s="8">
        <v>0.97282155895917111</v>
      </c>
    </row>
    <row r="84" spans="3:6" x14ac:dyDescent="0.25">
      <c r="C84" s="9" t="s">
        <v>612</v>
      </c>
      <c r="D84" s="8">
        <v>3</v>
      </c>
      <c r="E84" s="8">
        <v>3.9229841224884687</v>
      </c>
      <c r="F84" s="8">
        <v>-0.92298412248846873</v>
      </c>
    </row>
    <row r="85" spans="3:6" x14ac:dyDescent="0.25">
      <c r="C85" s="9" t="s">
        <v>613</v>
      </c>
      <c r="D85" s="8">
        <v>3</v>
      </c>
      <c r="E85" s="8">
        <v>4.0190648136685754</v>
      </c>
      <c r="F85" s="8">
        <v>-1.0190648136685754</v>
      </c>
    </row>
    <row r="86" spans="3:6" x14ac:dyDescent="0.25">
      <c r="C86" s="9" t="s">
        <v>614</v>
      </c>
      <c r="D86" s="8">
        <v>5</v>
      </c>
      <c r="E86" s="8">
        <v>3.9676972255897027</v>
      </c>
      <c r="F86" s="8">
        <v>1.0323027744102973</v>
      </c>
    </row>
    <row r="87" spans="3:6" x14ac:dyDescent="0.25">
      <c r="C87" s="9" t="s">
        <v>615</v>
      </c>
      <c r="D87" s="8">
        <v>4</v>
      </c>
      <c r="E87" s="8">
        <v>4.4727605427027788</v>
      </c>
      <c r="F87" s="8">
        <v>-0.47276054270277879</v>
      </c>
    </row>
    <row r="88" spans="3:6" x14ac:dyDescent="0.25">
      <c r="C88" s="9" t="s">
        <v>616</v>
      </c>
      <c r="D88" s="8">
        <v>5</v>
      </c>
      <c r="E88" s="8">
        <v>4.0678167765784741</v>
      </c>
      <c r="F88" s="8">
        <v>0.93218322342152593</v>
      </c>
    </row>
    <row r="89" spans="3:6" x14ac:dyDescent="0.25">
      <c r="C89" s="9" t="s">
        <v>617</v>
      </c>
      <c r="D89" s="8">
        <v>4</v>
      </c>
      <c r="E89" s="8">
        <v>3.5478843440871439</v>
      </c>
      <c r="F89" s="8">
        <v>0.45211565591285607</v>
      </c>
    </row>
    <row r="90" spans="3:6" x14ac:dyDescent="0.25">
      <c r="C90" s="9" t="s">
        <v>618</v>
      </c>
      <c r="D90" s="8">
        <v>2</v>
      </c>
      <c r="E90" s="8">
        <v>3.9676972255897027</v>
      </c>
      <c r="F90" s="8">
        <v>-1.9676972255897027</v>
      </c>
    </row>
    <row r="91" spans="3:6" x14ac:dyDescent="0.25">
      <c r="C91" s="9" t="s">
        <v>619</v>
      </c>
      <c r="D91" s="8">
        <v>5</v>
      </c>
      <c r="E91" s="8">
        <v>4.2253686680978761</v>
      </c>
      <c r="F91" s="8">
        <v>0.77463133190212385</v>
      </c>
    </row>
    <row r="92" spans="3:6" x14ac:dyDescent="0.25">
      <c r="C92" s="9" t="s">
        <v>620</v>
      </c>
      <c r="D92" s="8">
        <v>2</v>
      </c>
      <c r="E92" s="8">
        <v>3.837452688722768</v>
      </c>
      <c r="F92" s="8">
        <v>-1.837452688722768</v>
      </c>
    </row>
    <row r="93" spans="3:6" x14ac:dyDescent="0.25">
      <c r="C93" s="9" t="s">
        <v>621</v>
      </c>
      <c r="D93" s="8">
        <v>5</v>
      </c>
      <c r="E93" s="8">
        <v>4.4727605427027788</v>
      </c>
      <c r="F93" s="8">
        <v>0.52723945729722121</v>
      </c>
    </row>
    <row r="94" spans="3:6" x14ac:dyDescent="0.25">
      <c r="C94" s="9" t="s">
        <v>622</v>
      </c>
      <c r="D94" s="8">
        <v>4</v>
      </c>
      <c r="E94" s="8">
        <v>3.9229841224884687</v>
      </c>
      <c r="F94" s="8">
        <v>7.7015877511531272E-2</v>
      </c>
    </row>
    <row r="95" spans="3:6" x14ac:dyDescent="0.25">
      <c r="C95" s="9" t="s">
        <v>623</v>
      </c>
      <c r="D95" s="8">
        <v>5</v>
      </c>
      <c r="E95" s="8">
        <v>4.3206993842265833</v>
      </c>
      <c r="F95" s="8">
        <v>0.67930061577341672</v>
      </c>
    </row>
    <row r="96" spans="3:6" x14ac:dyDescent="0.25">
      <c r="C96" s="9" t="s">
        <v>624</v>
      </c>
      <c r="D96" s="8">
        <v>5</v>
      </c>
      <c r="E96" s="8">
        <v>4.7316446238215155</v>
      </c>
      <c r="F96" s="8">
        <v>0.26835537617848448</v>
      </c>
    </row>
    <row r="97" spans="3:6" x14ac:dyDescent="0.25">
      <c r="C97" s="9" t="s">
        <v>625</v>
      </c>
      <c r="D97" s="8">
        <v>5</v>
      </c>
      <c r="E97" s="8">
        <v>4.2156323152511712</v>
      </c>
      <c r="F97" s="8">
        <v>0.78436768474882879</v>
      </c>
    </row>
    <row r="98" spans="3:6" x14ac:dyDescent="0.25">
      <c r="C98" s="9" t="s">
        <v>626</v>
      </c>
      <c r="D98" s="8">
        <v>2</v>
      </c>
      <c r="E98" s="8">
        <v>3.9054291832648644</v>
      </c>
      <c r="F98" s="8">
        <v>-1.9054291832648644</v>
      </c>
    </row>
    <row r="99" spans="3:6" x14ac:dyDescent="0.25">
      <c r="C99" s="9" t="s">
        <v>627</v>
      </c>
      <c r="D99" s="8">
        <v>3</v>
      </c>
      <c r="E99" s="8">
        <v>4.2265813067084395</v>
      </c>
      <c r="F99" s="8">
        <v>-1.2265813067084395</v>
      </c>
    </row>
    <row r="100" spans="3:6" x14ac:dyDescent="0.25">
      <c r="C100" s="9" t="s">
        <v>628</v>
      </c>
      <c r="D100" s="8">
        <v>5</v>
      </c>
      <c r="E100" s="8">
        <v>4.0271784410408289</v>
      </c>
      <c r="F100" s="8">
        <v>0.97282155895917111</v>
      </c>
    </row>
    <row r="101" spans="3:6" x14ac:dyDescent="0.25">
      <c r="C101" s="9" t="s">
        <v>629</v>
      </c>
      <c r="D101" s="8">
        <v>5</v>
      </c>
      <c r="E101" s="8">
        <v>4.0618153031078466</v>
      </c>
      <c r="F101" s="8">
        <v>0.93818469689215345</v>
      </c>
    </row>
    <row r="102" spans="3:6" x14ac:dyDescent="0.25">
      <c r="C102" s="9" t="s">
        <v>630</v>
      </c>
      <c r="D102" s="8">
        <v>3</v>
      </c>
      <c r="E102" s="8">
        <v>3.8067684252058807</v>
      </c>
      <c r="F102" s="8">
        <v>-0.80676842520588066</v>
      </c>
    </row>
    <row r="103" spans="3:6" x14ac:dyDescent="0.25">
      <c r="C103" s="9" t="s">
        <v>631</v>
      </c>
      <c r="D103" s="8">
        <v>3</v>
      </c>
      <c r="E103" s="8">
        <v>4.0295387690036666</v>
      </c>
      <c r="F103" s="8">
        <v>-1.0295387690036666</v>
      </c>
    </row>
    <row r="104" spans="3:6" x14ac:dyDescent="0.25">
      <c r="C104" s="9" t="s">
        <v>632</v>
      </c>
      <c r="D104" s="8">
        <v>3</v>
      </c>
      <c r="E104" s="8">
        <v>4.0886944885722807</v>
      </c>
      <c r="F104" s="8">
        <v>-1.0886944885722807</v>
      </c>
    </row>
    <row r="105" spans="3:6" x14ac:dyDescent="0.25">
      <c r="C105" s="9" t="s">
        <v>633</v>
      </c>
      <c r="D105" s="8">
        <v>5</v>
      </c>
      <c r="E105" s="8">
        <v>4.0678167765784741</v>
      </c>
      <c r="F105" s="8">
        <v>0.93218322342152593</v>
      </c>
    </row>
    <row r="106" spans="3:6" x14ac:dyDescent="0.25">
      <c r="C106" s="9" t="s">
        <v>634</v>
      </c>
      <c r="D106" s="8">
        <v>5</v>
      </c>
      <c r="E106" s="8">
        <v>4.6207092095681537</v>
      </c>
      <c r="F106" s="8">
        <v>0.37929079043184633</v>
      </c>
    </row>
    <row r="107" spans="3:6" x14ac:dyDescent="0.25">
      <c r="C107" s="9" t="s">
        <v>635</v>
      </c>
      <c r="D107" s="8">
        <v>5</v>
      </c>
      <c r="E107" s="8">
        <v>4.3267008576972108</v>
      </c>
      <c r="F107" s="8">
        <v>0.6732991423027892</v>
      </c>
    </row>
    <row r="108" spans="3:6" x14ac:dyDescent="0.25">
      <c r="C108" s="9" t="s">
        <v>636</v>
      </c>
      <c r="D108" s="8">
        <v>5</v>
      </c>
      <c r="E108" s="8">
        <v>3.8067684252058807</v>
      </c>
      <c r="F108" s="8">
        <v>1.1932315747941193</v>
      </c>
    </row>
    <row r="109" spans="3:6" x14ac:dyDescent="0.25">
      <c r="C109" s="9" t="s">
        <v>637</v>
      </c>
      <c r="D109" s="8">
        <v>5</v>
      </c>
      <c r="E109" s="8">
        <v>4.5224605581150445</v>
      </c>
      <c r="F109" s="8">
        <v>0.47753944188495545</v>
      </c>
    </row>
    <row r="110" spans="3:6" x14ac:dyDescent="0.25">
      <c r="C110" s="9" t="s">
        <v>638</v>
      </c>
      <c r="D110" s="8">
        <v>5</v>
      </c>
      <c r="E110" s="8">
        <v>4.1320206676972626</v>
      </c>
      <c r="F110" s="8">
        <v>0.86797933230273738</v>
      </c>
    </row>
    <row r="111" spans="3:6" x14ac:dyDescent="0.25">
      <c r="C111" s="9" t="s">
        <v>639</v>
      </c>
      <c r="D111" s="8">
        <v>5</v>
      </c>
      <c r="E111" s="8">
        <v>3.8731365865785259</v>
      </c>
      <c r="F111" s="8">
        <v>1.1268634134214741</v>
      </c>
    </row>
    <row r="112" spans="3:6" x14ac:dyDescent="0.25">
      <c r="C112" s="9" t="s">
        <v>640</v>
      </c>
      <c r="D112" s="8">
        <v>5</v>
      </c>
      <c r="E112" s="8">
        <v>4.0886944885722807</v>
      </c>
      <c r="F112" s="8">
        <v>0.91130551142771932</v>
      </c>
    </row>
    <row r="113" spans="3:6" x14ac:dyDescent="0.25">
      <c r="C113" s="9" t="s">
        <v>641</v>
      </c>
      <c r="D113" s="8">
        <v>5</v>
      </c>
      <c r="E113" s="8">
        <v>4.3618251284494169</v>
      </c>
      <c r="F113" s="8">
        <v>0.63817487155058306</v>
      </c>
    </row>
    <row r="114" spans="3:6" x14ac:dyDescent="0.25">
      <c r="C114" s="9" t="s">
        <v>642</v>
      </c>
      <c r="D114" s="8">
        <v>4</v>
      </c>
      <c r="E114" s="8">
        <v>4.2128923553116042</v>
      </c>
      <c r="F114" s="8">
        <v>-0.21289235531160422</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Output1'!$B$10:$B$10" display="Inputs" xr:uid="{9A03A512-622F-4A41-9DD8-8D98C6A5DF8A}"/>
    <hyperlink ref="D4" location="'LinReg_Output1'!$B$50:$B$50" display="Regression Summary" xr:uid="{3C7B58FF-3761-4834-8745-507E9D597603}"/>
    <hyperlink ref="F4" location="'LinReg_Output1'!$B$59:$B$59" display="Predictor Screening" xr:uid="{F2CD8A70-B4AB-44CE-8863-76B569D20116}"/>
    <hyperlink ref="H4" location="'LinReg_Output1'!$B$71:$B$71" display="Coefficients" xr:uid="{DAC27072-336C-4ED3-B91A-81ECA84614C9}"/>
    <hyperlink ref="J4" location="'LinReg_Stored1'!$B$10:$B$10" display="PMML Model" xr:uid="{94DD0A4B-C5A8-4988-999C-E8B24A2B2FC3}"/>
    <hyperlink ref="B5" location="'LinReg_TrainingScore1'!$B$10:$B$10" display="Training: Prediction Summary" xr:uid="{2A2BCC11-4CDA-41D9-B0A2-34738DA3A652}"/>
    <hyperlink ref="D5" location="'LinReg_TrainingScore1'!$B$19:$B$19" display="Training: Prediction Details" xr:uid="{2AA9D6CA-BBC1-4CD9-B1C3-901EF1ACDD31}"/>
    <hyperlink ref="F5" location="'LinReg_ValidationScore1'!$B$10:$B$10" display="Validation: Prediction Summary" xr:uid="{884F0B75-F2B1-41BC-9DD5-5A0AA47D1A91}"/>
    <hyperlink ref="H5" location="'LinReg_ValidationScore1'!$B$19:$B$19" display="Validation: Prediction Details" xr:uid="{0C995F67-1301-4DB2-BF04-5AEC4FD199E5}"/>
  </hyperlinks>
  <pageMargins left="0.7" right="0.7" top="0.75" bottom="0.75" header="0.3" footer="0.3"/>
  <drawing r:id="rId1"/>
  <legacyDrawing r:id="rId2"/>
  <tableParts count="2">
    <tablePart r:id="rId3"/>
    <tablePart r:id="rId4"/>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5DA46-A149-4032-82AB-CCFE66A54745}">
  <sheetPr codeName="Sheet39">
    <tabColor rgb="FFC00000"/>
  </sheetPr>
  <dimension ref="B1:Q45"/>
  <sheetViews>
    <sheetView showGridLines="0" workbookViewId="0">
      <selection activeCell="K37" sqref="K37"/>
    </sheetView>
  </sheetViews>
  <sheetFormatPr defaultRowHeight="15" x14ac:dyDescent="0.25"/>
  <cols>
    <col min="14" max="14" width="15.5703125" bestFit="1" customWidth="1"/>
  </cols>
  <sheetData>
    <row r="1" spans="2:17" ht="18.75" x14ac:dyDescent="0.3">
      <c r="B1" s="6" t="s">
        <v>644</v>
      </c>
      <c r="N1" t="s">
        <v>822</v>
      </c>
    </row>
    <row r="3" spans="2:17" ht="15.75" x14ac:dyDescent="0.25">
      <c r="B3" s="13" t="s">
        <v>147</v>
      </c>
      <c r="C3" s="14"/>
      <c r="D3" s="14"/>
      <c r="E3" s="14"/>
      <c r="F3" s="14"/>
      <c r="G3" s="14"/>
      <c r="H3" s="14"/>
      <c r="I3" s="14"/>
      <c r="J3" s="14"/>
      <c r="K3" s="15"/>
      <c r="N3" s="13" t="s">
        <v>148</v>
      </c>
      <c r="O3" s="14"/>
      <c r="P3" s="14"/>
      <c r="Q3" s="15"/>
    </row>
    <row r="4" spans="2:17" x14ac:dyDescent="0.25">
      <c r="B4" s="25" t="s">
        <v>153</v>
      </c>
      <c r="C4" s="21"/>
      <c r="D4" s="25" t="s">
        <v>720</v>
      </c>
      <c r="E4" s="21"/>
      <c r="F4" s="25" t="s">
        <v>721</v>
      </c>
      <c r="G4" s="21"/>
      <c r="H4" s="25" t="s">
        <v>722</v>
      </c>
      <c r="I4" s="21"/>
      <c r="J4" s="25" t="s">
        <v>645</v>
      </c>
      <c r="K4" s="21"/>
      <c r="N4" s="11" t="s">
        <v>149</v>
      </c>
      <c r="O4" s="11" t="s">
        <v>150</v>
      </c>
      <c r="P4" s="11" t="s">
        <v>151</v>
      </c>
      <c r="Q4" s="11" t="s">
        <v>152</v>
      </c>
    </row>
    <row r="5" spans="2:17" x14ac:dyDescent="0.25">
      <c r="B5" s="25" t="s">
        <v>723</v>
      </c>
      <c r="C5" s="21"/>
      <c r="D5" s="25" t="s">
        <v>830</v>
      </c>
      <c r="E5" s="21"/>
      <c r="F5" s="25" t="s">
        <v>724</v>
      </c>
      <c r="G5" s="21"/>
      <c r="H5" s="25" t="s">
        <v>831</v>
      </c>
      <c r="I5" s="21"/>
      <c r="J5" s="19"/>
      <c r="K5" s="21"/>
      <c r="N5" s="10">
        <v>16</v>
      </c>
      <c r="O5" s="10">
        <v>6</v>
      </c>
      <c r="P5" s="10">
        <v>10</v>
      </c>
      <c r="Q5" s="10">
        <v>32</v>
      </c>
    </row>
    <row r="10" spans="2:17" ht="18.75" x14ac:dyDescent="0.3">
      <c r="B10" s="7" t="s">
        <v>645</v>
      </c>
    </row>
    <row r="12" spans="2:17" x14ac:dyDescent="0.25">
      <c r="B12" t="s">
        <v>646</v>
      </c>
    </row>
    <row r="13" spans="2:17" x14ac:dyDescent="0.25">
      <c r="B13" t="s">
        <v>647</v>
      </c>
    </row>
    <row r="14" spans="2:17" x14ac:dyDescent="0.25">
      <c r="B14" t="s">
        <v>648</v>
      </c>
    </row>
    <row r="15" spans="2:17" x14ac:dyDescent="0.25">
      <c r="B15" t="s">
        <v>649</v>
      </c>
    </row>
    <row r="16" spans="2:17" x14ac:dyDescent="0.25">
      <c r="B16" t="s">
        <v>823</v>
      </c>
    </row>
    <row r="17" spans="2:2" x14ac:dyDescent="0.25">
      <c r="B17" t="s">
        <v>650</v>
      </c>
    </row>
    <row r="18" spans="2:2" x14ac:dyDescent="0.25">
      <c r="B18" t="s">
        <v>651</v>
      </c>
    </row>
    <row r="19" spans="2:2" x14ac:dyDescent="0.25">
      <c r="B19" t="s">
        <v>824</v>
      </c>
    </row>
    <row r="20" spans="2:2" x14ac:dyDescent="0.25">
      <c r="B20" t="s">
        <v>655</v>
      </c>
    </row>
    <row r="21" spans="2:2" x14ac:dyDescent="0.25">
      <c r="B21" t="s">
        <v>663</v>
      </c>
    </row>
    <row r="22" spans="2:2" x14ac:dyDescent="0.25">
      <c r="B22" t="s">
        <v>665</v>
      </c>
    </row>
    <row r="23" spans="2:2" x14ac:dyDescent="0.25">
      <c r="B23" t="s">
        <v>666</v>
      </c>
    </row>
    <row r="24" spans="2:2" x14ac:dyDescent="0.25">
      <c r="B24" t="s">
        <v>678</v>
      </c>
    </row>
    <row r="25" spans="2:2" x14ac:dyDescent="0.25">
      <c r="B25" t="s">
        <v>679</v>
      </c>
    </row>
    <row r="26" spans="2:2" x14ac:dyDescent="0.25">
      <c r="B26" t="s">
        <v>680</v>
      </c>
    </row>
    <row r="27" spans="2:2" x14ac:dyDescent="0.25">
      <c r="B27" t="s">
        <v>681</v>
      </c>
    </row>
    <row r="28" spans="2:2" x14ac:dyDescent="0.25">
      <c r="B28" t="s">
        <v>682</v>
      </c>
    </row>
    <row r="29" spans="2:2" x14ac:dyDescent="0.25">
      <c r="B29" t="s">
        <v>685</v>
      </c>
    </row>
    <row r="30" spans="2:2" x14ac:dyDescent="0.25">
      <c r="B30" t="s">
        <v>693</v>
      </c>
    </row>
    <row r="31" spans="2:2" x14ac:dyDescent="0.25">
      <c r="B31" t="s">
        <v>695</v>
      </c>
    </row>
    <row r="32" spans="2:2" x14ac:dyDescent="0.25">
      <c r="B32" t="s">
        <v>696</v>
      </c>
    </row>
    <row r="33" spans="2:2" x14ac:dyDescent="0.25">
      <c r="B33" t="s">
        <v>708</v>
      </c>
    </row>
    <row r="34" spans="2:2" x14ac:dyDescent="0.25">
      <c r="B34" t="s">
        <v>709</v>
      </c>
    </row>
    <row r="35" spans="2:2" x14ac:dyDescent="0.25">
      <c r="B35" t="s">
        <v>710</v>
      </c>
    </row>
    <row r="36" spans="2:2" x14ac:dyDescent="0.25">
      <c r="B36" t="s">
        <v>711</v>
      </c>
    </row>
    <row r="37" spans="2:2" x14ac:dyDescent="0.25">
      <c r="B37" t="s">
        <v>712</v>
      </c>
    </row>
    <row r="38" spans="2:2" x14ac:dyDescent="0.25">
      <c r="B38" t="s">
        <v>825</v>
      </c>
    </row>
    <row r="39" spans="2:2" x14ac:dyDescent="0.25">
      <c r="B39" t="s">
        <v>826</v>
      </c>
    </row>
    <row r="40" spans="2:2" x14ac:dyDescent="0.25">
      <c r="B40" t="s">
        <v>827</v>
      </c>
    </row>
    <row r="41" spans="2:2" x14ac:dyDescent="0.25">
      <c r="B41" t="s">
        <v>828</v>
      </c>
    </row>
    <row r="42" spans="2:2" x14ac:dyDescent="0.25">
      <c r="B42" t="s">
        <v>829</v>
      </c>
    </row>
    <row r="43" spans="2:2" x14ac:dyDescent="0.25">
      <c r="B43" t="s">
        <v>717</v>
      </c>
    </row>
    <row r="44" spans="2:2" x14ac:dyDescent="0.25">
      <c r="B44" t="s">
        <v>718</v>
      </c>
    </row>
    <row r="45" spans="2:2" x14ac:dyDescent="0.25">
      <c r="B45" t="s">
        <v>719</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Output1'!$B$10:$B$10" display="Inputs" xr:uid="{0ADA73D3-AFCD-46F2-9C4F-56C6579089D6}"/>
    <hyperlink ref="D4" location="'LinReg_Output1'!$B$50:$B$50" display="Regression Summary" xr:uid="{D9F53B3C-AA1F-4195-93F2-6435AD1285E6}"/>
    <hyperlink ref="F4" location="'LinReg_Output1'!$B$59:$B$59" display="Predictor Screening" xr:uid="{1C461682-D698-456E-8A97-DA802933FB5E}"/>
    <hyperlink ref="H4" location="'LinReg_Output1'!$B$71:$B$71" display="Coefficients" xr:uid="{BC7B1E8B-DCBB-466A-949C-2A782C6D74BF}"/>
    <hyperlink ref="J4" location="'LinReg_Stored1'!$B$10:$B$10" display="PMML Model" xr:uid="{A310C107-243D-487B-9FFD-A3835A57ECAB}"/>
    <hyperlink ref="B5" location="'LinReg_TrainingScore1'!$B$10:$B$10" display="Training: Prediction Summary" xr:uid="{EEDE860D-6843-467C-8218-6000369CABA0}"/>
    <hyperlink ref="D5" location="'LinReg_TrainingScore1'!$B$19:$B$19" display="Training: Prediction Details" xr:uid="{A8D715D4-3942-42E6-BE94-FCAC09C35A23}"/>
    <hyperlink ref="F5" location="'LinReg_ValidationScore1'!$B$10:$B$10" display="Validation: Prediction Summary" xr:uid="{FB4459EE-05D7-4047-80B4-09922681FEF4}"/>
    <hyperlink ref="H5" location="'LinReg_ValidationScore1'!$B$19:$B$19" display="Validation: Prediction Details" xr:uid="{A74E6BF6-8BE0-47DC-8039-93ED61CF7A9F}"/>
  </hyperlinks>
  <pageMargins left="0.7" right="0.7" top="0.75" bottom="0.75" header="0.3" footer="0.3"/>
  <pageSetup orientation="portrait" horizontalDpi="1200" verticalDpi="120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83D1D-09D7-4776-805F-5B6652B9A462}">
  <sheetPr codeName="Sheet40">
    <tabColor theme="5"/>
  </sheetPr>
  <dimension ref="B1:CV123"/>
  <sheetViews>
    <sheetView showGridLines="0" topLeftCell="A7" workbookViewId="0">
      <selection activeCell="F27" sqref="F27:I27"/>
    </sheetView>
  </sheetViews>
  <sheetFormatPr defaultRowHeight="15" x14ac:dyDescent="0.25"/>
  <cols>
    <col min="3" max="3" width="11.28515625" customWidth="1"/>
    <col min="4" max="4" width="11.42578125" customWidth="1"/>
    <col min="5" max="5" width="10.85546875" customWidth="1"/>
    <col min="14" max="14" width="15.5703125" bestFit="1" customWidth="1"/>
  </cols>
  <sheetData>
    <row r="1" spans="2:100" ht="18.75" x14ac:dyDescent="0.3">
      <c r="B1" s="6" t="s">
        <v>734</v>
      </c>
      <c r="N1" t="s">
        <v>789</v>
      </c>
      <c r="CV1" s="12" t="s">
        <v>748</v>
      </c>
    </row>
    <row r="3" spans="2:100" ht="15.75" x14ac:dyDescent="0.25">
      <c r="B3" s="13" t="s">
        <v>147</v>
      </c>
      <c r="C3" s="14"/>
      <c r="D3" s="14"/>
      <c r="E3" s="14"/>
      <c r="F3" s="14"/>
      <c r="G3" s="14"/>
      <c r="H3" s="14"/>
      <c r="I3" s="14"/>
      <c r="J3" s="14"/>
      <c r="K3" s="15"/>
      <c r="N3" s="13" t="s">
        <v>148</v>
      </c>
      <c r="O3" s="14"/>
      <c r="P3" s="14"/>
      <c r="Q3" s="15"/>
    </row>
    <row r="4" spans="2:100" x14ac:dyDescent="0.25">
      <c r="B4" s="25" t="s">
        <v>770</v>
      </c>
      <c r="C4" s="21"/>
      <c r="D4" s="25" t="s">
        <v>153</v>
      </c>
      <c r="E4" s="21"/>
      <c r="F4" s="25" t="s">
        <v>720</v>
      </c>
      <c r="G4" s="21"/>
      <c r="H4" s="25" t="s">
        <v>721</v>
      </c>
      <c r="I4" s="21"/>
      <c r="J4" s="25" t="s">
        <v>722</v>
      </c>
      <c r="K4" s="21"/>
      <c r="N4" s="11" t="s">
        <v>149</v>
      </c>
      <c r="O4" s="11" t="s">
        <v>150</v>
      </c>
      <c r="P4" s="11" t="s">
        <v>151</v>
      </c>
      <c r="Q4" s="11" t="s">
        <v>152</v>
      </c>
    </row>
    <row r="5" spans="2:100" x14ac:dyDescent="0.25">
      <c r="B5" s="25" t="s">
        <v>645</v>
      </c>
      <c r="C5" s="21"/>
      <c r="D5" s="25" t="s">
        <v>723</v>
      </c>
      <c r="E5" s="21"/>
      <c r="F5" s="25" t="s">
        <v>724</v>
      </c>
      <c r="G5" s="21"/>
      <c r="H5" s="19"/>
      <c r="I5" s="21"/>
      <c r="J5" s="19"/>
      <c r="K5" s="21"/>
      <c r="N5" s="10">
        <v>18</v>
      </c>
      <c r="O5" s="10">
        <v>9</v>
      </c>
      <c r="P5" s="10">
        <v>11</v>
      </c>
      <c r="Q5" s="10">
        <v>38</v>
      </c>
    </row>
    <row r="10" spans="2:100" ht="18.75" x14ac:dyDescent="0.3">
      <c r="B10" s="7" t="s">
        <v>153</v>
      </c>
    </row>
    <row r="12" spans="2:100" ht="15.75" x14ac:dyDescent="0.25">
      <c r="C12" s="13" t="s">
        <v>154</v>
      </c>
      <c r="D12" s="14"/>
      <c r="E12" s="14"/>
      <c r="F12" s="14"/>
      <c r="G12" s="14"/>
      <c r="H12" s="14"/>
      <c r="I12" s="14"/>
      <c r="J12" s="14"/>
      <c r="K12" s="15"/>
    </row>
    <row r="13" spans="2:100" x14ac:dyDescent="0.25">
      <c r="C13" s="16" t="s">
        <v>155</v>
      </c>
      <c r="D13" s="17"/>
      <c r="E13" s="17"/>
      <c r="F13" s="18"/>
      <c r="G13" s="22" t="s">
        <v>156</v>
      </c>
      <c r="H13" s="23"/>
      <c r="I13" s="23"/>
      <c r="J13" s="23"/>
      <c r="K13" s="24"/>
    </row>
    <row r="14" spans="2:100" x14ac:dyDescent="0.25">
      <c r="C14" s="16" t="s">
        <v>157</v>
      </c>
      <c r="D14" s="17"/>
      <c r="E14" s="17"/>
      <c r="F14" s="18"/>
      <c r="G14" s="22" t="s">
        <v>819</v>
      </c>
      <c r="H14" s="23"/>
      <c r="I14" s="23"/>
      <c r="J14" s="23"/>
      <c r="K14" s="24"/>
    </row>
    <row r="15" spans="2:100" x14ac:dyDescent="0.25">
      <c r="C15" s="16" t="s">
        <v>735</v>
      </c>
      <c r="D15" s="17"/>
      <c r="E15" s="17"/>
      <c r="F15" s="18"/>
      <c r="G15" s="22" t="s">
        <v>820</v>
      </c>
      <c r="H15" s="23"/>
      <c r="I15" s="23"/>
      <c r="J15" s="23"/>
      <c r="K15" s="24"/>
    </row>
    <row r="16" spans="2:100" x14ac:dyDescent="0.25">
      <c r="C16" s="16" t="s">
        <v>736</v>
      </c>
      <c r="D16" s="17"/>
      <c r="E16" s="17"/>
      <c r="F16" s="18"/>
      <c r="G16" s="22">
        <v>373</v>
      </c>
      <c r="H16" s="23"/>
      <c r="I16" s="23"/>
      <c r="J16" s="23"/>
      <c r="K16" s="24"/>
    </row>
    <row r="17" spans="3:29" x14ac:dyDescent="0.25">
      <c r="C17" s="16" t="s">
        <v>737</v>
      </c>
      <c r="D17" s="17"/>
      <c r="E17" s="17"/>
      <c r="F17" s="18"/>
      <c r="G17" s="22" t="s">
        <v>821</v>
      </c>
      <c r="H17" s="23"/>
      <c r="I17" s="23"/>
      <c r="J17" s="23"/>
      <c r="K17" s="24"/>
    </row>
    <row r="18" spans="3:29" x14ac:dyDescent="0.25">
      <c r="C18" s="16" t="s">
        <v>738</v>
      </c>
      <c r="D18" s="17"/>
      <c r="E18" s="17"/>
      <c r="F18" s="18"/>
      <c r="G18" s="22">
        <v>93</v>
      </c>
      <c r="H18" s="23"/>
      <c r="I18" s="23"/>
      <c r="J18" s="23"/>
      <c r="K18" s="24"/>
    </row>
    <row r="20" spans="3:29" ht="15.75" x14ac:dyDescent="0.25">
      <c r="C20" s="13" t="s">
        <v>161</v>
      </c>
      <c r="D20" s="14"/>
      <c r="E20" s="14"/>
      <c r="F20" s="14"/>
      <c r="G20" s="14"/>
      <c r="H20" s="14"/>
      <c r="I20" s="14"/>
      <c r="J20" s="14"/>
      <c r="K20" s="14"/>
      <c r="L20" s="14"/>
      <c r="M20" s="14"/>
      <c r="N20" s="14"/>
      <c r="O20" s="14"/>
      <c r="P20" s="14"/>
      <c r="Q20" s="14"/>
      <c r="R20" s="14"/>
      <c r="S20" s="14"/>
      <c r="T20" s="14"/>
      <c r="U20" s="14"/>
      <c r="V20" s="14"/>
      <c r="W20" s="14"/>
      <c r="X20" s="14"/>
      <c r="Y20" s="14"/>
      <c r="Z20" s="14"/>
      <c r="AA20" s="14"/>
      <c r="AB20" s="14"/>
      <c r="AC20" s="15"/>
    </row>
    <row r="21" spans="3:29" x14ac:dyDescent="0.25">
      <c r="C21" s="16" t="s">
        <v>739</v>
      </c>
      <c r="D21" s="18"/>
      <c r="E21" s="22">
        <v>25</v>
      </c>
      <c r="F21" s="23"/>
      <c r="G21" s="23"/>
      <c r="H21" s="23"/>
      <c r="I21" s="23"/>
      <c r="J21" s="23"/>
      <c r="K21" s="23"/>
      <c r="L21" s="23"/>
      <c r="M21" s="23"/>
      <c r="N21" s="23"/>
      <c r="O21" s="23"/>
      <c r="P21" s="23"/>
      <c r="Q21" s="23"/>
      <c r="R21" s="23"/>
      <c r="S21" s="23"/>
      <c r="T21" s="23"/>
      <c r="U21" s="23"/>
      <c r="V21" s="23"/>
      <c r="W21" s="23"/>
      <c r="X21" s="23"/>
      <c r="Y21" s="23"/>
      <c r="Z21" s="23"/>
      <c r="AA21" s="23"/>
      <c r="AB21" s="23"/>
      <c r="AC21" s="24"/>
    </row>
    <row r="22" spans="3:29" x14ac:dyDescent="0.25">
      <c r="C22" s="16" t="s">
        <v>740</v>
      </c>
      <c r="D22" s="18"/>
      <c r="E22" s="10" t="s">
        <v>1</v>
      </c>
      <c r="F22" s="10" t="s">
        <v>2</v>
      </c>
      <c r="G22" s="10" t="s">
        <v>15</v>
      </c>
      <c r="H22" s="10" t="s">
        <v>17</v>
      </c>
      <c r="I22" s="10" t="s">
        <v>125</v>
      </c>
      <c r="J22" s="10" t="s">
        <v>126</v>
      </c>
      <c r="K22" s="10" t="s">
        <v>127</v>
      </c>
      <c r="L22" s="10" t="s">
        <v>128</v>
      </c>
      <c r="M22" s="10" t="s">
        <v>137</v>
      </c>
      <c r="N22" s="10" t="s">
        <v>138</v>
      </c>
      <c r="O22" s="10" t="s">
        <v>139</v>
      </c>
      <c r="P22" s="10" t="s">
        <v>129</v>
      </c>
      <c r="Q22" s="10" t="s">
        <v>140</v>
      </c>
      <c r="R22" s="10" t="s">
        <v>141</v>
      </c>
      <c r="S22" s="10" t="s">
        <v>142</v>
      </c>
      <c r="T22" s="10" t="s">
        <v>143</v>
      </c>
      <c r="U22" s="10" t="s">
        <v>145</v>
      </c>
      <c r="V22" s="10" t="s">
        <v>144</v>
      </c>
      <c r="W22" s="10" t="s">
        <v>130</v>
      </c>
      <c r="X22" s="10" t="s">
        <v>131</v>
      </c>
      <c r="Y22" s="10" t="s">
        <v>132</v>
      </c>
      <c r="Z22" s="10" t="s">
        <v>133</v>
      </c>
      <c r="AA22" s="10" t="s">
        <v>134</v>
      </c>
      <c r="AB22" s="10" t="s">
        <v>135</v>
      </c>
      <c r="AC22" s="10" t="s">
        <v>136</v>
      </c>
    </row>
    <row r="23" spans="3:29" x14ac:dyDescent="0.25">
      <c r="C23" s="16" t="s">
        <v>741</v>
      </c>
      <c r="D23" s="18"/>
      <c r="E23" s="10"/>
      <c r="F23" s="10"/>
      <c r="G23" s="10"/>
      <c r="H23" s="10"/>
      <c r="I23" s="10"/>
      <c r="J23" s="10"/>
      <c r="K23" s="10"/>
      <c r="L23" s="10"/>
      <c r="M23" s="10"/>
      <c r="N23" s="10"/>
      <c r="O23" s="10"/>
      <c r="P23" s="10"/>
      <c r="Q23" s="10"/>
      <c r="R23" s="10"/>
      <c r="S23" s="10"/>
      <c r="T23" s="10"/>
      <c r="U23" s="10"/>
      <c r="V23" s="10"/>
      <c r="W23" s="10"/>
      <c r="X23" s="10"/>
      <c r="Y23" s="10"/>
      <c r="Z23" s="10"/>
      <c r="AA23" s="10"/>
      <c r="AB23" s="10"/>
      <c r="AC23" s="10"/>
    </row>
    <row r="24" spans="3:29" x14ac:dyDescent="0.25">
      <c r="C24" s="16" t="s">
        <v>742</v>
      </c>
      <c r="D24" s="18"/>
      <c r="E24" s="19" t="s">
        <v>4</v>
      </c>
      <c r="F24" s="20"/>
      <c r="G24" s="20"/>
      <c r="H24" s="20"/>
      <c r="I24" s="20"/>
      <c r="J24" s="20"/>
      <c r="K24" s="20"/>
      <c r="L24" s="20"/>
      <c r="M24" s="20"/>
      <c r="N24" s="20"/>
      <c r="O24" s="20"/>
      <c r="P24" s="20"/>
      <c r="Q24" s="20"/>
      <c r="R24" s="20"/>
      <c r="S24" s="20"/>
      <c r="T24" s="20"/>
      <c r="U24" s="20"/>
      <c r="V24" s="20"/>
      <c r="W24" s="20"/>
      <c r="X24" s="20"/>
      <c r="Y24" s="20"/>
      <c r="Z24" s="20"/>
      <c r="AA24" s="20"/>
      <c r="AB24" s="20"/>
      <c r="AC24" s="21"/>
    </row>
    <row r="26" spans="3:29" ht="15.75" x14ac:dyDescent="0.25">
      <c r="C26" s="13" t="s">
        <v>743</v>
      </c>
      <c r="D26" s="14"/>
      <c r="E26" s="14"/>
      <c r="F26" s="14"/>
      <c r="G26" s="14"/>
      <c r="H26" s="14"/>
      <c r="I26" s="15"/>
    </row>
    <row r="27" spans="3:29" x14ac:dyDescent="0.25">
      <c r="C27" s="16" t="s">
        <v>744</v>
      </c>
      <c r="D27" s="17"/>
      <c r="E27" s="18"/>
      <c r="F27" s="22" t="b">
        <v>0</v>
      </c>
      <c r="G27" s="23"/>
      <c r="H27" s="23"/>
      <c r="I27" s="24"/>
    </row>
    <row r="29" spans="3:29" ht="15.75" x14ac:dyDescent="0.25">
      <c r="C29" s="13" t="s">
        <v>745</v>
      </c>
      <c r="D29" s="14"/>
      <c r="E29" s="14"/>
      <c r="F29" s="14"/>
      <c r="G29" s="14"/>
      <c r="H29" s="14"/>
      <c r="I29" s="15"/>
    </row>
    <row r="30" spans="3:29" x14ac:dyDescent="0.25">
      <c r="C30" s="16" t="s">
        <v>746</v>
      </c>
      <c r="D30" s="17"/>
      <c r="E30" s="18"/>
      <c r="F30" s="22" t="b">
        <v>1</v>
      </c>
      <c r="G30" s="23"/>
      <c r="H30" s="23"/>
      <c r="I30" s="24"/>
    </row>
    <row r="32" spans="3:29" ht="15.75" x14ac:dyDescent="0.25">
      <c r="C32" s="13" t="s">
        <v>747</v>
      </c>
      <c r="D32" s="14"/>
      <c r="E32" s="14"/>
      <c r="F32" s="14"/>
      <c r="G32" s="14"/>
      <c r="H32" s="14"/>
      <c r="I32" s="15"/>
    </row>
    <row r="33" spans="3:9" x14ac:dyDescent="0.25">
      <c r="C33" s="16" t="s">
        <v>749</v>
      </c>
      <c r="D33" s="17"/>
      <c r="E33" s="18"/>
      <c r="F33" s="22" t="b">
        <v>0</v>
      </c>
      <c r="G33" s="23"/>
      <c r="H33" s="23"/>
      <c r="I33" s="24"/>
    </row>
    <row r="34" spans="3:9" x14ac:dyDescent="0.25">
      <c r="C34" s="16" t="s">
        <v>750</v>
      </c>
      <c r="D34" s="17"/>
      <c r="E34" s="18"/>
      <c r="F34" s="22" t="b">
        <v>0</v>
      </c>
      <c r="G34" s="23"/>
      <c r="H34" s="23"/>
      <c r="I34" s="24"/>
    </row>
    <row r="35" spans="3:9" x14ac:dyDescent="0.25">
      <c r="C35" s="16" t="s">
        <v>751</v>
      </c>
      <c r="D35" s="17"/>
      <c r="E35" s="18"/>
      <c r="F35" s="22" t="b">
        <v>0</v>
      </c>
      <c r="G35" s="23"/>
      <c r="H35" s="23"/>
      <c r="I35" s="24"/>
    </row>
    <row r="37" spans="3:9" ht="15.75" x14ac:dyDescent="0.25">
      <c r="C37" s="13" t="s">
        <v>752</v>
      </c>
      <c r="D37" s="14"/>
      <c r="E37" s="14"/>
      <c r="F37" s="14"/>
      <c r="G37" s="14"/>
      <c r="H37" s="14"/>
      <c r="I37" s="15"/>
    </row>
    <row r="38" spans="3:9" x14ac:dyDescent="0.25">
      <c r="C38" s="16" t="s">
        <v>753</v>
      </c>
      <c r="D38" s="17"/>
      <c r="E38" s="18"/>
      <c r="F38" s="22" t="b">
        <v>0</v>
      </c>
      <c r="G38" s="23"/>
      <c r="H38" s="23"/>
      <c r="I38" s="24"/>
    </row>
    <row r="39" spans="3:9" x14ac:dyDescent="0.25">
      <c r="C39" s="16" t="s">
        <v>754</v>
      </c>
      <c r="D39" s="17"/>
      <c r="E39" s="18"/>
      <c r="F39" s="22" t="b">
        <v>0</v>
      </c>
      <c r="G39" s="23"/>
      <c r="H39" s="23"/>
      <c r="I39" s="24"/>
    </row>
    <row r="40" spans="3:9" x14ac:dyDescent="0.25">
      <c r="C40" s="16" t="s">
        <v>755</v>
      </c>
      <c r="D40" s="17"/>
      <c r="E40" s="18"/>
      <c r="F40" s="22" t="b">
        <v>0</v>
      </c>
      <c r="G40" s="23"/>
      <c r="H40" s="23"/>
      <c r="I40" s="24"/>
    </row>
    <row r="41" spans="3:9" x14ac:dyDescent="0.25">
      <c r="C41" s="16" t="s">
        <v>756</v>
      </c>
      <c r="D41" s="17"/>
      <c r="E41" s="18"/>
      <c r="F41" s="22" t="b">
        <v>0</v>
      </c>
      <c r="G41" s="23"/>
      <c r="H41" s="23"/>
      <c r="I41" s="24"/>
    </row>
    <row r="43" spans="3:9" ht="15.75" x14ac:dyDescent="0.25">
      <c r="C43" s="13" t="s">
        <v>782</v>
      </c>
      <c r="D43" s="14"/>
      <c r="E43" s="14"/>
      <c r="F43" s="14"/>
      <c r="G43" s="14"/>
      <c r="H43" s="14"/>
      <c r="I43" s="15"/>
    </row>
    <row r="44" spans="3:9" x14ac:dyDescent="0.25">
      <c r="C44" s="16" t="s">
        <v>783</v>
      </c>
      <c r="D44" s="17"/>
      <c r="E44" s="18"/>
      <c r="F44" s="22" t="s">
        <v>784</v>
      </c>
      <c r="G44" s="23"/>
      <c r="H44" s="23"/>
      <c r="I44" s="24"/>
    </row>
    <row r="45" spans="3:9" x14ac:dyDescent="0.25">
      <c r="C45" s="16" t="s">
        <v>785</v>
      </c>
      <c r="D45" s="17"/>
      <c r="E45" s="18"/>
      <c r="F45" s="22">
        <v>3.84</v>
      </c>
      <c r="G45" s="23"/>
      <c r="H45" s="23"/>
      <c r="I45" s="24"/>
    </row>
    <row r="46" spans="3:9" x14ac:dyDescent="0.25">
      <c r="C46" s="16" t="s">
        <v>786</v>
      </c>
      <c r="D46" s="17"/>
      <c r="E46" s="18"/>
      <c r="F46" s="22">
        <v>25</v>
      </c>
      <c r="G46" s="23"/>
      <c r="H46" s="23"/>
      <c r="I46" s="24"/>
    </row>
    <row r="48" spans="3:9" ht="15.75" x14ac:dyDescent="0.25">
      <c r="C48" s="13" t="s">
        <v>757</v>
      </c>
      <c r="D48" s="14"/>
      <c r="E48" s="14"/>
      <c r="F48" s="14"/>
      <c r="G48" s="15"/>
    </row>
    <row r="49" spans="2:7" x14ac:dyDescent="0.25">
      <c r="C49" s="19" t="s">
        <v>758</v>
      </c>
      <c r="D49" s="20"/>
      <c r="E49" s="20"/>
      <c r="F49" s="20"/>
      <c r="G49" s="21"/>
    </row>
    <row r="50" spans="2:7" x14ac:dyDescent="0.25">
      <c r="C50" s="19" t="s">
        <v>759</v>
      </c>
      <c r="D50" s="20"/>
      <c r="E50" s="20"/>
      <c r="F50" s="20"/>
      <c r="G50" s="21"/>
    </row>
    <row r="53" spans="2:7" ht="18.75" x14ac:dyDescent="0.3">
      <c r="B53" s="7" t="s">
        <v>720</v>
      </c>
    </row>
    <row r="55" spans="2:7" x14ac:dyDescent="0.25">
      <c r="C55" s="9" t="s">
        <v>726</v>
      </c>
      <c r="D55" s="5" t="s">
        <v>727</v>
      </c>
    </row>
    <row r="56" spans="2:7" x14ac:dyDescent="0.25">
      <c r="C56" s="9" t="s">
        <v>760</v>
      </c>
      <c r="D56" s="8">
        <v>352</v>
      </c>
    </row>
    <row r="57" spans="2:7" x14ac:dyDescent="0.25">
      <c r="C57" s="9" t="s">
        <v>732</v>
      </c>
      <c r="D57" s="8">
        <v>0.12155944887838921</v>
      </c>
    </row>
    <row r="58" spans="2:7" x14ac:dyDescent="0.25">
      <c r="C58" s="9" t="s">
        <v>761</v>
      </c>
      <c r="D58" s="8">
        <v>7.164805392829765E-2</v>
      </c>
    </row>
    <row r="59" spans="2:7" x14ac:dyDescent="0.25">
      <c r="C59" s="9" t="s">
        <v>762</v>
      </c>
      <c r="D59" s="8">
        <v>0.98569750311531179</v>
      </c>
    </row>
    <row r="60" spans="2:7" x14ac:dyDescent="0.25">
      <c r="C60" s="9" t="s">
        <v>763</v>
      </c>
      <c r="D60" s="8">
        <v>342.00304781201157</v>
      </c>
    </row>
    <row r="62" spans="2:7" ht="18.75" x14ac:dyDescent="0.3">
      <c r="B62" s="7" t="s">
        <v>721</v>
      </c>
    </row>
    <row r="64" spans="2:7" x14ac:dyDescent="0.25">
      <c r="C64" s="9" t="s">
        <v>764</v>
      </c>
      <c r="D64" s="5" t="s">
        <v>765</v>
      </c>
      <c r="E64" s="5" t="s">
        <v>766</v>
      </c>
    </row>
    <row r="65" spans="3:5" x14ac:dyDescent="0.25">
      <c r="C65" s="9" t="s">
        <v>767</v>
      </c>
      <c r="D65" s="8">
        <v>3.179371520902325</v>
      </c>
      <c r="E65" s="8" t="b">
        <v>1</v>
      </c>
    </row>
    <row r="66" spans="3:5" x14ac:dyDescent="0.25">
      <c r="C66" s="9" t="s">
        <v>1</v>
      </c>
      <c r="D66" s="8">
        <v>804.96491622822862</v>
      </c>
      <c r="E66" s="8" t="b">
        <v>1</v>
      </c>
    </row>
    <row r="67" spans="3:5" x14ac:dyDescent="0.25">
      <c r="C67" s="9" t="s">
        <v>2</v>
      </c>
      <c r="D67" s="8">
        <v>157.65198105341554</v>
      </c>
      <c r="E67" s="8" t="b">
        <v>1</v>
      </c>
    </row>
    <row r="68" spans="3:5" x14ac:dyDescent="0.25">
      <c r="C68" s="9" t="s">
        <v>15</v>
      </c>
      <c r="D68" s="8">
        <v>50459.451968882895</v>
      </c>
      <c r="E68" s="8" t="b">
        <v>1</v>
      </c>
    </row>
    <row r="69" spans="3:5" x14ac:dyDescent="0.25">
      <c r="C69" s="9" t="s">
        <v>17</v>
      </c>
      <c r="D69" s="8">
        <v>55.37653481269777</v>
      </c>
      <c r="E69" s="8" t="b">
        <v>1</v>
      </c>
    </row>
    <row r="70" spans="3:5" x14ac:dyDescent="0.25">
      <c r="C70" s="9" t="s">
        <v>125</v>
      </c>
      <c r="D70" s="8">
        <v>5.741650293743252E-15</v>
      </c>
      <c r="E70" s="8" t="b">
        <v>0</v>
      </c>
    </row>
    <row r="71" spans="3:5" x14ac:dyDescent="0.25">
      <c r="C71" s="9" t="s">
        <v>126</v>
      </c>
      <c r="D71" s="8">
        <v>8.6801136790438846</v>
      </c>
      <c r="E71" s="8" t="b">
        <v>1</v>
      </c>
    </row>
    <row r="72" spans="3:5" x14ac:dyDescent="0.25">
      <c r="C72" s="9" t="s">
        <v>127</v>
      </c>
      <c r="D72" s="8">
        <v>8.051274180130326</v>
      </c>
      <c r="E72" s="8" t="b">
        <v>1</v>
      </c>
    </row>
    <row r="73" spans="3:5" x14ac:dyDescent="0.25">
      <c r="C73" s="9" t="s">
        <v>128</v>
      </c>
      <c r="D73" s="8">
        <v>6.8849985824138562</v>
      </c>
      <c r="E73" s="8" t="b">
        <v>1</v>
      </c>
    </row>
    <row r="74" spans="3:5" x14ac:dyDescent="0.25">
      <c r="C74" s="9" t="s">
        <v>137</v>
      </c>
      <c r="D74" s="8">
        <v>7.5127631128512933</v>
      </c>
      <c r="E74" s="8" t="b">
        <v>1</v>
      </c>
    </row>
    <row r="75" spans="3:5" x14ac:dyDescent="0.25">
      <c r="C75" s="9" t="s">
        <v>138</v>
      </c>
      <c r="D75" s="8">
        <v>3.0536086232421463E-15</v>
      </c>
      <c r="E75" s="8" t="b">
        <v>0</v>
      </c>
    </row>
    <row r="76" spans="3:5" x14ac:dyDescent="0.25">
      <c r="C76" s="9" t="s">
        <v>139</v>
      </c>
      <c r="D76" s="8">
        <v>9.8283154212171802</v>
      </c>
      <c r="E76" s="8" t="b">
        <v>1</v>
      </c>
    </row>
    <row r="77" spans="3:5" x14ac:dyDescent="0.25">
      <c r="C77" s="9" t="s">
        <v>129</v>
      </c>
      <c r="D77" s="8">
        <v>7.8193539981891176</v>
      </c>
      <c r="E77" s="8" t="b">
        <v>1</v>
      </c>
    </row>
    <row r="78" spans="3:5" x14ac:dyDescent="0.25">
      <c r="C78" s="9" t="s">
        <v>140</v>
      </c>
      <c r="D78" s="8">
        <v>9.5240411638783691</v>
      </c>
      <c r="E78" s="8" t="b">
        <v>1</v>
      </c>
    </row>
    <row r="79" spans="3:5" x14ac:dyDescent="0.25">
      <c r="C79" s="9" t="s">
        <v>141</v>
      </c>
      <c r="D79" s="8">
        <v>8.3406846255705691</v>
      </c>
      <c r="E79" s="8" t="b">
        <v>1</v>
      </c>
    </row>
    <row r="80" spans="3:5" x14ac:dyDescent="0.25">
      <c r="C80" s="9" t="s">
        <v>142</v>
      </c>
      <c r="D80" s="8">
        <v>6.3159886196428454E-15</v>
      </c>
      <c r="E80" s="8" t="b">
        <v>0</v>
      </c>
    </row>
    <row r="81" spans="2:5" x14ac:dyDescent="0.25">
      <c r="C81" s="9" t="s">
        <v>143</v>
      </c>
      <c r="D81" s="8">
        <v>6.5646998366945208</v>
      </c>
      <c r="E81" s="8" t="b">
        <v>1</v>
      </c>
    </row>
    <row r="82" spans="2:5" x14ac:dyDescent="0.25">
      <c r="C82" s="9" t="s">
        <v>145</v>
      </c>
      <c r="D82" s="8">
        <v>4.0913264122228728E-15</v>
      </c>
      <c r="E82" s="8" t="b">
        <v>0</v>
      </c>
    </row>
    <row r="83" spans="2:5" x14ac:dyDescent="0.25">
      <c r="C83" s="9" t="s">
        <v>144</v>
      </c>
      <c r="D83" s="8">
        <v>10.559779518782314</v>
      </c>
      <c r="E83" s="8" t="b">
        <v>1</v>
      </c>
    </row>
    <row r="84" spans="2:5" x14ac:dyDescent="0.25">
      <c r="C84" s="9" t="s">
        <v>130</v>
      </c>
      <c r="D84" s="8">
        <v>6.0536719226380065</v>
      </c>
      <c r="E84" s="8" t="b">
        <v>1</v>
      </c>
    </row>
    <row r="85" spans="2:5" x14ac:dyDescent="0.25">
      <c r="C85" s="9" t="s">
        <v>131</v>
      </c>
      <c r="D85" s="8">
        <v>5.0712096643506053</v>
      </c>
      <c r="E85" s="8" t="b">
        <v>1</v>
      </c>
    </row>
    <row r="86" spans="2:5" x14ac:dyDescent="0.25">
      <c r="C86" s="9" t="s">
        <v>132</v>
      </c>
      <c r="D86" s="8">
        <v>5.3903766491914843E-15</v>
      </c>
      <c r="E86" s="8" t="b">
        <v>0</v>
      </c>
    </row>
    <row r="87" spans="2:5" x14ac:dyDescent="0.25">
      <c r="C87" s="9" t="s">
        <v>133</v>
      </c>
      <c r="D87" s="8">
        <v>6.5070074523886747</v>
      </c>
      <c r="E87" s="8" t="b">
        <v>1</v>
      </c>
    </row>
    <row r="88" spans="2:5" x14ac:dyDescent="0.25">
      <c r="C88" s="9" t="s">
        <v>134</v>
      </c>
      <c r="D88" s="8">
        <v>5.6602135549340744</v>
      </c>
      <c r="E88" s="8" t="b">
        <v>1</v>
      </c>
    </row>
    <row r="89" spans="2:5" x14ac:dyDescent="0.25">
      <c r="C89" s="9" t="s">
        <v>135</v>
      </c>
      <c r="D89" s="8">
        <v>6.7600340844002051</v>
      </c>
      <c r="E89" s="8" t="b">
        <v>1</v>
      </c>
    </row>
    <row r="90" spans="2:5" x14ac:dyDescent="0.25">
      <c r="C90" s="9" t="s">
        <v>136</v>
      </c>
      <c r="D90" s="8">
        <v>7.3408221273594316</v>
      </c>
      <c r="E90" s="8" t="b">
        <v>1</v>
      </c>
    </row>
    <row r="93" spans="2:5" x14ac:dyDescent="0.25">
      <c r="C93" s="9" t="s">
        <v>768</v>
      </c>
      <c r="D93" s="8">
        <v>4.1790982347586923E-9</v>
      </c>
    </row>
    <row r="95" spans="2:5" ht="18.75" x14ac:dyDescent="0.3">
      <c r="B95" s="7" t="s">
        <v>722</v>
      </c>
    </row>
    <row r="97" spans="3:4" x14ac:dyDescent="0.25">
      <c r="C97" s="9" t="s">
        <v>764</v>
      </c>
      <c r="D97" s="5" t="s">
        <v>769</v>
      </c>
    </row>
    <row r="98" spans="3:4" x14ac:dyDescent="0.25">
      <c r="C98" s="9" t="s">
        <v>767</v>
      </c>
      <c r="D98" s="8">
        <v>4.8329834165893315</v>
      </c>
    </row>
    <row r="99" spans="3:4" x14ac:dyDescent="0.25">
      <c r="C99" s="9" t="s">
        <v>1</v>
      </c>
      <c r="D99" s="8">
        <v>1.8863694360614701E-3</v>
      </c>
    </row>
    <row r="100" spans="3:4" x14ac:dyDescent="0.25">
      <c r="C100" s="9" t="s">
        <v>2</v>
      </c>
      <c r="D100" s="8">
        <v>-4.1760912412037599E-3</v>
      </c>
    </row>
    <row r="101" spans="3:4" x14ac:dyDescent="0.25">
      <c r="C101" s="9" t="s">
        <v>15</v>
      </c>
      <c r="D101" s="8">
        <v>-1.5342302947515422E-4</v>
      </c>
    </row>
    <row r="102" spans="3:4" x14ac:dyDescent="0.25">
      <c r="C102" s="9" t="s">
        <v>17</v>
      </c>
      <c r="D102" s="8">
        <v>2.2298942051343831E-3</v>
      </c>
    </row>
    <row r="103" spans="3:4" x14ac:dyDescent="0.25">
      <c r="C103" s="27" t="s">
        <v>125</v>
      </c>
      <c r="D103" s="26">
        <v>0</v>
      </c>
    </row>
    <row r="104" spans="3:4" x14ac:dyDescent="0.25">
      <c r="C104" s="9" t="s">
        <v>126</v>
      </c>
      <c r="D104" s="8">
        <v>1.2972337069602376E-2</v>
      </c>
    </row>
    <row r="105" spans="3:4" x14ac:dyDescent="0.25">
      <c r="C105" s="9" t="s">
        <v>127</v>
      </c>
      <c r="D105" s="8">
        <v>-8.2390025484047405E-2</v>
      </c>
    </row>
    <row r="106" spans="3:4" x14ac:dyDescent="0.25">
      <c r="C106" s="9" t="s">
        <v>128</v>
      </c>
      <c r="D106" s="8">
        <v>2.705067638949079E-2</v>
      </c>
    </row>
    <row r="107" spans="3:4" x14ac:dyDescent="0.25">
      <c r="C107" s="9" t="s">
        <v>137</v>
      </c>
      <c r="D107" s="8">
        <v>0.14222410262265847</v>
      </c>
    </row>
    <row r="108" spans="3:4" x14ac:dyDescent="0.25">
      <c r="C108" s="27" t="s">
        <v>138</v>
      </c>
      <c r="D108" s="26">
        <v>0</v>
      </c>
    </row>
    <row r="109" spans="3:4" x14ac:dyDescent="0.25">
      <c r="C109" s="9" t="s">
        <v>139</v>
      </c>
      <c r="D109" s="8">
        <v>0.35728551239069334</v>
      </c>
    </row>
    <row r="110" spans="3:4" x14ac:dyDescent="0.25">
      <c r="C110" s="9" t="s">
        <v>129</v>
      </c>
      <c r="D110" s="8">
        <v>0.23007315854342728</v>
      </c>
    </row>
    <row r="111" spans="3:4" x14ac:dyDescent="0.25">
      <c r="C111" s="9" t="s">
        <v>140</v>
      </c>
      <c r="D111" s="8">
        <v>-0.55300066924158731</v>
      </c>
    </row>
    <row r="112" spans="3:4" x14ac:dyDescent="0.25">
      <c r="C112" s="9" t="s">
        <v>141</v>
      </c>
      <c r="D112" s="8">
        <v>-0.6124725559743962</v>
      </c>
    </row>
    <row r="113" spans="3:4" x14ac:dyDescent="0.25">
      <c r="C113" s="27" t="s">
        <v>142</v>
      </c>
      <c r="D113" s="26">
        <v>0</v>
      </c>
    </row>
    <row r="114" spans="3:4" x14ac:dyDescent="0.25">
      <c r="C114" s="9" t="s">
        <v>143</v>
      </c>
      <c r="D114" s="8">
        <v>-0.16911345472356512</v>
      </c>
    </row>
    <row r="115" spans="3:4" x14ac:dyDescent="0.25">
      <c r="C115" s="27" t="s">
        <v>145</v>
      </c>
      <c r="D115" s="26">
        <v>0</v>
      </c>
    </row>
    <row r="116" spans="3:4" x14ac:dyDescent="0.25">
      <c r="C116" s="9" t="s">
        <v>144</v>
      </c>
      <c r="D116" s="8">
        <v>6.8979395974951799E-2</v>
      </c>
    </row>
    <row r="117" spans="3:4" x14ac:dyDescent="0.25">
      <c r="C117" s="9" t="s">
        <v>130</v>
      </c>
      <c r="D117" s="8">
        <v>-4.7591641680786841E-2</v>
      </c>
    </row>
    <row r="118" spans="3:4" x14ac:dyDescent="0.25">
      <c r="C118" s="9" t="s">
        <v>131</v>
      </c>
      <c r="D118" s="8">
        <v>-0.38453509647637835</v>
      </c>
    </row>
    <row r="119" spans="3:4" x14ac:dyDescent="0.25">
      <c r="C119" s="27" t="s">
        <v>132</v>
      </c>
      <c r="D119" s="26">
        <v>0</v>
      </c>
    </row>
    <row r="120" spans="3:4" x14ac:dyDescent="0.25">
      <c r="C120" s="9" t="s">
        <v>133</v>
      </c>
      <c r="D120" s="8">
        <v>-0.35147408403904734</v>
      </c>
    </row>
    <row r="121" spans="3:4" x14ac:dyDescent="0.25">
      <c r="C121" s="9" t="s">
        <v>134</v>
      </c>
      <c r="D121" s="8">
        <v>-0.28507928290056161</v>
      </c>
    </row>
    <row r="122" spans="3:4" x14ac:dyDescent="0.25">
      <c r="C122" s="9" t="s">
        <v>135</v>
      </c>
      <c r="D122" s="8">
        <v>-0.49009796541197853</v>
      </c>
    </row>
    <row r="123" spans="3:4" x14ac:dyDescent="0.25">
      <c r="C123" s="9" t="s">
        <v>136</v>
      </c>
      <c r="D123" s="8">
        <v>-0.4474401483348448</v>
      </c>
    </row>
  </sheetData>
  <mergeCells count="64">
    <mergeCell ref="B3:K3"/>
    <mergeCell ref="N3:Q3"/>
    <mergeCell ref="H4:I4"/>
    <mergeCell ref="J4:K4"/>
    <mergeCell ref="B5:C5"/>
    <mergeCell ref="D5:E5"/>
    <mergeCell ref="F5:G5"/>
    <mergeCell ref="H5:I5"/>
    <mergeCell ref="J5:K5"/>
    <mergeCell ref="C48:G48"/>
    <mergeCell ref="C49:G49"/>
    <mergeCell ref="C50:G50"/>
    <mergeCell ref="B4:C4"/>
    <mergeCell ref="D4:E4"/>
    <mergeCell ref="F4:G4"/>
    <mergeCell ref="C43:I43"/>
    <mergeCell ref="C44:E44"/>
    <mergeCell ref="C45:E45"/>
    <mergeCell ref="C46:E46"/>
    <mergeCell ref="F44:I44"/>
    <mergeCell ref="F45:I45"/>
    <mergeCell ref="F46:I46"/>
    <mergeCell ref="C37:I37"/>
    <mergeCell ref="C38:E38"/>
    <mergeCell ref="C39:E39"/>
    <mergeCell ref="C40:E40"/>
    <mergeCell ref="C41:E41"/>
    <mergeCell ref="F38:I38"/>
    <mergeCell ref="F39:I39"/>
    <mergeCell ref="F40:I40"/>
    <mergeCell ref="F41:I41"/>
    <mergeCell ref="C32:I32"/>
    <mergeCell ref="C33:E33"/>
    <mergeCell ref="C34:E34"/>
    <mergeCell ref="C35:E35"/>
    <mergeCell ref="F33:I33"/>
    <mergeCell ref="F34:I34"/>
    <mergeCell ref="F35:I35"/>
    <mergeCell ref="C26:I26"/>
    <mergeCell ref="C27:E27"/>
    <mergeCell ref="F27:I27"/>
    <mergeCell ref="C29:I29"/>
    <mergeCell ref="C30:E30"/>
    <mergeCell ref="F30:I30"/>
    <mergeCell ref="C20:AC20"/>
    <mergeCell ref="C21:D21"/>
    <mergeCell ref="C22:D22"/>
    <mergeCell ref="C23:D23"/>
    <mergeCell ref="C24:D24"/>
    <mergeCell ref="E21:AC21"/>
    <mergeCell ref="E24:AC24"/>
    <mergeCell ref="C18:F18"/>
    <mergeCell ref="G13:K13"/>
    <mergeCell ref="G14:K14"/>
    <mergeCell ref="G15:K15"/>
    <mergeCell ref="G16:K16"/>
    <mergeCell ref="G17:K17"/>
    <mergeCell ref="G18:K18"/>
    <mergeCell ref="C12:K12"/>
    <mergeCell ref="C13:F13"/>
    <mergeCell ref="C14:F14"/>
    <mergeCell ref="C15:F15"/>
    <mergeCell ref="C16:F16"/>
    <mergeCell ref="C17:F17"/>
  </mergeCells>
  <hyperlinks>
    <hyperlink ref="B4" location="'LinReg_FS'!$B$10:$B$10" display="Feature Selection" xr:uid="{58C73D9C-722F-42C0-84DD-A3CFA4C3E8EC}"/>
    <hyperlink ref="D4" location="'LinReg_Output'!$B$10:$B$10" display="Inputs" xr:uid="{0C99B5C7-4790-4FCC-92EE-ACC008965912}"/>
    <hyperlink ref="F4" location="'LinReg_Output'!$B$53:$B$53" display="Regression Summary" xr:uid="{9C954FEE-0189-42FB-9DF8-D1316BA916C4}"/>
    <hyperlink ref="H4" location="'LinReg_Output'!$B$62:$B$62" display="Predictor Screening" xr:uid="{4EF89424-C95C-4C75-9290-BFD01D54CE24}"/>
    <hyperlink ref="J4" location="'LinReg_Output'!$B$95:$B$95" display="Coefficients" xr:uid="{76D64E95-09A3-4AD8-9A36-240E91BB03F6}"/>
    <hyperlink ref="B5" location="'LinReg_Stored'!$B$10:$B$10" display="PMML Model" xr:uid="{46E420F6-8580-42DD-87BD-E71CB2B72A89}"/>
    <hyperlink ref="D5" location="'LinReg_TrainingScore'!$B$10:$B$10" display="Training: Prediction Summary" xr:uid="{8F7632F7-D34C-4A58-B286-8884432C8282}"/>
    <hyperlink ref="F5" location="'LinReg_ValidationScore'!$B$10:$B$10" display="Validation: Prediction Summary" xr:uid="{0A8FCD9C-32BF-42BE-8E58-7942548251C0}"/>
  </hyperlinks>
  <pageMargins left="0.7" right="0.7" top="0.75" bottom="0.75" header="0.3" footer="0.3"/>
  <tableParts count="4">
    <tablePart r:id="rId1"/>
    <tablePart r:id="rId2"/>
    <tablePart r:id="rId3"/>
    <tablePart r:id="rId4"/>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67940-2A85-4008-B8CC-47E72CB48732}">
  <sheetPr codeName="Sheet41">
    <tabColor theme="5"/>
  </sheetPr>
  <dimension ref="B1:AC26"/>
  <sheetViews>
    <sheetView showGridLines="0" workbookViewId="0">
      <selection activeCell="I27" sqref="I27"/>
    </sheetView>
  </sheetViews>
  <sheetFormatPr defaultRowHeight="15" x14ac:dyDescent="0.25"/>
  <cols>
    <col min="3" max="3" width="11.42578125" customWidth="1"/>
    <col min="4" max="4" width="14.85546875" customWidth="1"/>
    <col min="5" max="5" width="13.28515625" customWidth="1"/>
    <col min="6" max="6" width="18.42578125" customWidth="1"/>
    <col min="7" max="7" width="11.85546875" customWidth="1"/>
    <col min="8" max="8" width="16" customWidth="1"/>
    <col min="9" max="9" width="23.5703125" customWidth="1"/>
    <col min="10" max="10" width="23.42578125" customWidth="1"/>
    <col min="11" max="11" width="24.42578125" customWidth="1"/>
    <col min="12" max="12" width="23.85546875" customWidth="1"/>
    <col min="13" max="13" width="20.42578125" customWidth="1"/>
    <col min="14" max="14" width="22.7109375" customWidth="1"/>
    <col min="15" max="15" width="22.42578125" customWidth="1"/>
    <col min="16" max="16" width="18.140625" customWidth="1"/>
    <col min="17" max="18" width="20.7109375" customWidth="1"/>
    <col min="19" max="19" width="14" customWidth="1"/>
    <col min="20" max="20" width="21.85546875" customWidth="1"/>
    <col min="21" max="21" width="23" customWidth="1"/>
    <col min="22" max="22" width="29.5703125" customWidth="1"/>
    <col min="23" max="23" width="24.5703125" customWidth="1"/>
    <col min="24" max="24" width="26.42578125" customWidth="1"/>
    <col min="25" max="25" width="26.85546875" customWidth="1"/>
    <col min="26" max="26" width="25.5703125" customWidth="1"/>
    <col min="27" max="27" width="27.140625" customWidth="1"/>
    <col min="28" max="28" width="26.42578125" customWidth="1"/>
    <col min="29" max="29" width="29.7109375" customWidth="1"/>
  </cols>
  <sheetData>
    <row r="1" spans="2:29" ht="18.75" x14ac:dyDescent="0.3">
      <c r="B1" s="6" t="s">
        <v>771</v>
      </c>
      <c r="N1" t="s">
        <v>789</v>
      </c>
    </row>
    <row r="3" spans="2:29" ht="15.75" x14ac:dyDescent="0.25">
      <c r="B3" s="13" t="s">
        <v>147</v>
      </c>
      <c r="C3" s="14"/>
      <c r="D3" s="14"/>
      <c r="E3" s="14"/>
      <c r="F3" s="14"/>
      <c r="G3" s="14"/>
      <c r="H3" s="14"/>
      <c r="I3" s="14"/>
      <c r="J3" s="14"/>
      <c r="K3" s="15"/>
      <c r="N3" s="13" t="s">
        <v>148</v>
      </c>
      <c r="O3" s="14"/>
      <c r="P3" s="14"/>
      <c r="Q3" s="15"/>
    </row>
    <row r="4" spans="2:29" x14ac:dyDescent="0.25">
      <c r="B4" s="25" t="s">
        <v>770</v>
      </c>
      <c r="C4" s="21"/>
      <c r="D4" s="25" t="s">
        <v>153</v>
      </c>
      <c r="E4" s="21"/>
      <c r="F4" s="25" t="s">
        <v>720</v>
      </c>
      <c r="G4" s="21"/>
      <c r="H4" s="25" t="s">
        <v>721</v>
      </c>
      <c r="I4" s="21"/>
      <c r="J4" s="25" t="s">
        <v>722</v>
      </c>
      <c r="K4" s="21"/>
      <c r="N4" s="11" t="s">
        <v>149</v>
      </c>
      <c r="O4" s="11" t="s">
        <v>150</v>
      </c>
      <c r="P4" s="11" t="s">
        <v>151</v>
      </c>
      <c r="Q4" s="11" t="s">
        <v>152</v>
      </c>
    </row>
    <row r="5" spans="2:29" x14ac:dyDescent="0.25">
      <c r="B5" s="25" t="s">
        <v>645</v>
      </c>
      <c r="C5" s="21"/>
      <c r="D5" s="25" t="s">
        <v>723</v>
      </c>
      <c r="E5" s="21"/>
      <c r="F5" s="25" t="s">
        <v>724</v>
      </c>
      <c r="G5" s="21"/>
      <c r="H5" s="19"/>
      <c r="I5" s="21"/>
      <c r="J5" s="19"/>
      <c r="K5" s="21"/>
      <c r="N5" s="10">
        <v>18</v>
      </c>
      <c r="O5" s="10">
        <v>9</v>
      </c>
      <c r="P5" s="10">
        <v>11</v>
      </c>
      <c r="Q5" s="10">
        <v>38</v>
      </c>
    </row>
    <row r="10" spans="2:29" ht="18.75" x14ac:dyDescent="0.3">
      <c r="B10" s="7" t="s">
        <v>770</v>
      </c>
    </row>
    <row r="12" spans="2:29" ht="15.75" x14ac:dyDescent="0.25">
      <c r="C12" s="29" t="s">
        <v>772</v>
      </c>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1"/>
    </row>
    <row r="13" spans="2:29" x14ac:dyDescent="0.25">
      <c r="C13" s="9" t="s">
        <v>773</v>
      </c>
      <c r="D13" s="5" t="s">
        <v>767</v>
      </c>
      <c r="E13" s="5" t="s">
        <v>1</v>
      </c>
      <c r="F13" s="5" t="s">
        <v>2</v>
      </c>
      <c r="G13" s="5" t="s">
        <v>15</v>
      </c>
      <c r="H13" s="5" t="s">
        <v>17</v>
      </c>
      <c r="I13" s="5" t="s">
        <v>125</v>
      </c>
      <c r="J13" s="5" t="s">
        <v>126</v>
      </c>
      <c r="K13" s="5" t="s">
        <v>127</v>
      </c>
      <c r="L13" s="5" t="s">
        <v>128</v>
      </c>
      <c r="M13" s="5" t="s">
        <v>137</v>
      </c>
      <c r="N13" s="5" t="s">
        <v>138</v>
      </c>
      <c r="O13" s="5" t="s">
        <v>139</v>
      </c>
      <c r="P13" s="5" t="s">
        <v>129</v>
      </c>
      <c r="Q13" s="5" t="s">
        <v>140</v>
      </c>
      <c r="R13" s="5" t="s">
        <v>141</v>
      </c>
      <c r="S13" s="5" t="s">
        <v>142</v>
      </c>
      <c r="T13" s="5" t="s">
        <v>143</v>
      </c>
      <c r="U13" s="5" t="s">
        <v>145</v>
      </c>
      <c r="V13" s="5" t="s">
        <v>144</v>
      </c>
      <c r="W13" s="5" t="s">
        <v>130</v>
      </c>
      <c r="X13" s="5" t="s">
        <v>131</v>
      </c>
      <c r="Y13" s="5" t="s">
        <v>132</v>
      </c>
      <c r="Z13" s="5" t="s">
        <v>133</v>
      </c>
      <c r="AA13" s="5" t="s">
        <v>134</v>
      </c>
      <c r="AB13" s="5" t="s">
        <v>135</v>
      </c>
      <c r="AC13" s="5" t="s">
        <v>136</v>
      </c>
    </row>
    <row r="14" spans="2:29" x14ac:dyDescent="0.25">
      <c r="B14" s="12" t="s">
        <v>813</v>
      </c>
      <c r="C14" s="28" t="s">
        <v>774</v>
      </c>
      <c r="D14" s="8">
        <v>1</v>
      </c>
      <c r="E14" s="8">
        <v>0</v>
      </c>
      <c r="F14" s="8">
        <v>0</v>
      </c>
      <c r="G14" s="8">
        <v>0</v>
      </c>
      <c r="H14" s="8">
        <v>0</v>
      </c>
      <c r="I14" s="8">
        <v>0</v>
      </c>
      <c r="J14" s="8">
        <v>0</v>
      </c>
      <c r="K14" s="8">
        <v>0</v>
      </c>
      <c r="L14" s="8">
        <v>0</v>
      </c>
      <c r="M14" s="8">
        <v>0</v>
      </c>
      <c r="N14" s="8">
        <v>0</v>
      </c>
      <c r="O14" s="8">
        <v>0</v>
      </c>
      <c r="P14" s="8">
        <v>0</v>
      </c>
      <c r="Q14" s="8">
        <v>0</v>
      </c>
      <c r="R14" s="8">
        <v>0</v>
      </c>
      <c r="S14" s="8">
        <v>0</v>
      </c>
      <c r="T14" s="8">
        <v>0</v>
      </c>
      <c r="U14" s="8">
        <v>0</v>
      </c>
      <c r="V14" s="8">
        <v>0</v>
      </c>
      <c r="W14" s="8">
        <v>0</v>
      </c>
      <c r="X14" s="8">
        <v>0</v>
      </c>
      <c r="Y14" s="8">
        <v>0</v>
      </c>
      <c r="Z14" s="8">
        <v>0</v>
      </c>
      <c r="AA14" s="8">
        <v>0</v>
      </c>
      <c r="AB14" s="8">
        <v>0</v>
      </c>
      <c r="AC14" s="8">
        <v>0</v>
      </c>
    </row>
    <row r="15" spans="2:29" x14ac:dyDescent="0.25">
      <c r="B15" s="12" t="s">
        <v>814</v>
      </c>
      <c r="C15" s="28" t="s">
        <v>775</v>
      </c>
      <c r="D15" s="8">
        <v>1</v>
      </c>
      <c r="E15" s="8">
        <v>0</v>
      </c>
      <c r="F15" s="8">
        <v>0</v>
      </c>
      <c r="G15" s="8">
        <v>0</v>
      </c>
      <c r="H15" s="8">
        <v>0</v>
      </c>
      <c r="I15" s="8">
        <v>0</v>
      </c>
      <c r="J15" s="8">
        <v>0</v>
      </c>
      <c r="K15" s="8">
        <v>0</v>
      </c>
      <c r="L15" s="8">
        <v>0</v>
      </c>
      <c r="M15" s="8">
        <v>0</v>
      </c>
      <c r="N15" s="8">
        <v>0</v>
      </c>
      <c r="O15" s="8">
        <v>1</v>
      </c>
      <c r="P15" s="8">
        <v>0</v>
      </c>
      <c r="Q15" s="8">
        <v>0</v>
      </c>
      <c r="R15" s="8">
        <v>0</v>
      </c>
      <c r="S15" s="8">
        <v>0</v>
      </c>
      <c r="T15" s="8">
        <v>0</v>
      </c>
      <c r="U15" s="8">
        <v>0</v>
      </c>
      <c r="V15" s="8">
        <v>0</v>
      </c>
      <c r="W15" s="8">
        <v>0</v>
      </c>
      <c r="X15" s="8">
        <v>0</v>
      </c>
      <c r="Y15" s="8">
        <v>0</v>
      </c>
      <c r="Z15" s="8">
        <v>0</v>
      </c>
      <c r="AA15" s="8">
        <v>0</v>
      </c>
      <c r="AB15" s="8">
        <v>0</v>
      </c>
      <c r="AC15" s="8">
        <v>0</v>
      </c>
    </row>
    <row r="16" spans="2:29" x14ac:dyDescent="0.25">
      <c r="B16" s="12" t="s">
        <v>815</v>
      </c>
      <c r="C16" s="28" t="s">
        <v>776</v>
      </c>
      <c r="D16" s="8">
        <v>1</v>
      </c>
      <c r="E16" s="8">
        <v>0</v>
      </c>
      <c r="F16" s="8">
        <v>0</v>
      </c>
      <c r="G16" s="8">
        <v>0</v>
      </c>
      <c r="H16" s="8">
        <v>0</v>
      </c>
      <c r="I16" s="8">
        <v>0</v>
      </c>
      <c r="J16" s="8">
        <v>0</v>
      </c>
      <c r="K16" s="8">
        <v>0</v>
      </c>
      <c r="L16" s="8">
        <v>0</v>
      </c>
      <c r="M16" s="8">
        <v>0</v>
      </c>
      <c r="N16" s="8">
        <v>0</v>
      </c>
      <c r="O16" s="8">
        <v>1</v>
      </c>
      <c r="P16" s="8">
        <v>0</v>
      </c>
      <c r="Q16" s="8">
        <v>0</v>
      </c>
      <c r="R16" s="8">
        <v>1</v>
      </c>
      <c r="S16" s="8">
        <v>0</v>
      </c>
      <c r="T16" s="8">
        <v>0</v>
      </c>
      <c r="U16" s="8">
        <v>0</v>
      </c>
      <c r="V16" s="8">
        <v>0</v>
      </c>
      <c r="W16" s="8">
        <v>0</v>
      </c>
      <c r="X16" s="8">
        <v>0</v>
      </c>
      <c r="Y16" s="8">
        <v>0</v>
      </c>
      <c r="Z16" s="8">
        <v>0</v>
      </c>
      <c r="AA16" s="8">
        <v>0</v>
      </c>
      <c r="AB16" s="8">
        <v>0</v>
      </c>
      <c r="AC16" s="8">
        <v>0</v>
      </c>
    </row>
    <row r="17" spans="2:29" x14ac:dyDescent="0.25">
      <c r="B17" s="12" t="s">
        <v>816</v>
      </c>
      <c r="C17" s="28" t="s">
        <v>777</v>
      </c>
      <c r="D17" s="8">
        <v>1</v>
      </c>
      <c r="E17" s="8">
        <v>0</v>
      </c>
      <c r="F17" s="8">
        <v>0</v>
      </c>
      <c r="G17" s="8">
        <v>0</v>
      </c>
      <c r="H17" s="8">
        <v>0</v>
      </c>
      <c r="I17" s="8">
        <v>0</v>
      </c>
      <c r="J17" s="8">
        <v>0</v>
      </c>
      <c r="K17" s="8">
        <v>0</v>
      </c>
      <c r="L17" s="8">
        <v>0</v>
      </c>
      <c r="M17" s="8">
        <v>0</v>
      </c>
      <c r="N17" s="8">
        <v>0</v>
      </c>
      <c r="O17" s="8">
        <v>1</v>
      </c>
      <c r="P17" s="8">
        <v>0</v>
      </c>
      <c r="Q17" s="8">
        <v>1</v>
      </c>
      <c r="R17" s="8">
        <v>1</v>
      </c>
      <c r="S17" s="8">
        <v>0</v>
      </c>
      <c r="T17" s="8">
        <v>0</v>
      </c>
      <c r="U17" s="8">
        <v>0</v>
      </c>
      <c r="V17" s="8">
        <v>0</v>
      </c>
      <c r="W17" s="8">
        <v>0</v>
      </c>
      <c r="X17" s="8">
        <v>0</v>
      </c>
      <c r="Y17" s="8">
        <v>0</v>
      </c>
      <c r="Z17" s="8">
        <v>0</v>
      </c>
      <c r="AA17" s="8">
        <v>0</v>
      </c>
      <c r="AB17" s="8">
        <v>0</v>
      </c>
      <c r="AC17" s="8">
        <v>0</v>
      </c>
    </row>
    <row r="18" spans="2:29" x14ac:dyDescent="0.25">
      <c r="B18" s="12" t="s">
        <v>817</v>
      </c>
      <c r="C18" s="28" t="s">
        <v>818</v>
      </c>
      <c r="D18" s="8">
        <v>1</v>
      </c>
      <c r="E18" s="8">
        <v>0</v>
      </c>
      <c r="F18" s="8">
        <v>0</v>
      </c>
      <c r="G18" s="8">
        <v>1</v>
      </c>
      <c r="H18" s="8">
        <v>0</v>
      </c>
      <c r="I18" s="8">
        <v>0</v>
      </c>
      <c r="J18" s="8">
        <v>0</v>
      </c>
      <c r="K18" s="8">
        <v>0</v>
      </c>
      <c r="L18" s="8">
        <v>0</v>
      </c>
      <c r="M18" s="8">
        <v>0</v>
      </c>
      <c r="N18" s="8">
        <v>0</v>
      </c>
      <c r="O18" s="8">
        <v>1</v>
      </c>
      <c r="P18" s="8">
        <v>0</v>
      </c>
      <c r="Q18" s="8">
        <v>1</v>
      </c>
      <c r="R18" s="8">
        <v>1</v>
      </c>
      <c r="S18" s="8">
        <v>0</v>
      </c>
      <c r="T18" s="8">
        <v>0</v>
      </c>
      <c r="U18" s="8">
        <v>0</v>
      </c>
      <c r="V18" s="8">
        <v>0</v>
      </c>
      <c r="W18" s="8">
        <v>0</v>
      </c>
      <c r="X18" s="8">
        <v>0</v>
      </c>
      <c r="Y18" s="8">
        <v>0</v>
      </c>
      <c r="Z18" s="8">
        <v>0</v>
      </c>
      <c r="AA18" s="8">
        <v>0</v>
      </c>
      <c r="AB18" s="8">
        <v>0</v>
      </c>
      <c r="AC18" s="8">
        <v>0</v>
      </c>
    </row>
    <row r="20" spans="2:29" ht="15.75" x14ac:dyDescent="0.25">
      <c r="C20" s="29" t="s">
        <v>778</v>
      </c>
      <c r="D20" s="30"/>
      <c r="E20" s="30"/>
      <c r="F20" s="30"/>
      <c r="G20" s="30"/>
      <c r="H20" s="30"/>
      <c r="I20" s="31"/>
    </row>
    <row r="21" spans="2:29" x14ac:dyDescent="0.25">
      <c r="C21" s="9" t="s">
        <v>773</v>
      </c>
      <c r="D21" s="5" t="s">
        <v>779</v>
      </c>
      <c r="E21" s="5" t="s">
        <v>763</v>
      </c>
      <c r="F21" s="5" t="s">
        <v>780</v>
      </c>
      <c r="G21" s="5" t="s">
        <v>732</v>
      </c>
      <c r="H21" s="5" t="s">
        <v>761</v>
      </c>
      <c r="I21" s="5" t="s">
        <v>781</v>
      </c>
    </row>
    <row r="22" spans="2:29" x14ac:dyDescent="0.25">
      <c r="C22" s="9" t="s">
        <v>774</v>
      </c>
      <c r="D22" s="8">
        <v>1</v>
      </c>
      <c r="E22" s="8">
        <v>389.32975871313647</v>
      </c>
      <c r="F22" s="8">
        <v>29.710098765999987</v>
      </c>
      <c r="G22" s="8">
        <v>5.5511151231257827E-16</v>
      </c>
      <c r="H22" s="8">
        <v>6.6613381477509392E-16</v>
      </c>
      <c r="I22" s="8">
        <v>6.3134922407441106E-4</v>
      </c>
    </row>
    <row r="23" spans="2:29" x14ac:dyDescent="0.25">
      <c r="C23" s="9" t="s">
        <v>775</v>
      </c>
      <c r="D23" s="8">
        <v>2</v>
      </c>
      <c r="E23" s="8">
        <v>384.28025477706984</v>
      </c>
      <c r="F23" s="8">
        <v>26.512994831205674</v>
      </c>
      <c r="G23" s="8">
        <v>1.296973535431023E-2</v>
      </c>
      <c r="H23" s="8">
        <v>1.0309276419955271E-2</v>
      </c>
      <c r="I23" s="8">
        <v>1.7708862030171657E-3</v>
      </c>
    </row>
    <row r="24" spans="2:29" x14ac:dyDescent="0.25">
      <c r="C24" s="9" t="s">
        <v>776</v>
      </c>
      <c r="D24" s="8">
        <v>3</v>
      </c>
      <c r="E24" s="8">
        <v>379.38641151012985</v>
      </c>
      <c r="F24" s="8">
        <v>23.476101619336532</v>
      </c>
      <c r="G24" s="8">
        <v>2.5539653675262008E-2</v>
      </c>
      <c r="H24" s="8">
        <v>2.0272300451884995E-2</v>
      </c>
      <c r="I24" s="8">
        <v>4.7400119094223652E-3</v>
      </c>
    </row>
    <row r="25" spans="2:29" x14ac:dyDescent="0.25">
      <c r="C25" s="9" t="s">
        <v>777</v>
      </c>
      <c r="D25" s="8">
        <v>4</v>
      </c>
      <c r="E25" s="8">
        <v>371.05272643482795</v>
      </c>
      <c r="F25" s="8">
        <v>16.898817980277556</v>
      </c>
      <c r="G25" s="8">
        <v>4.6944863240663603E-2</v>
      </c>
      <c r="H25" s="8">
        <v>3.9196447494652675E-2</v>
      </c>
      <c r="I25" s="8">
        <v>3.1847572939567012E-2</v>
      </c>
    </row>
    <row r="26" spans="2:29" x14ac:dyDescent="0.25">
      <c r="C26" s="9" t="s">
        <v>818</v>
      </c>
      <c r="D26" s="8">
        <v>5</v>
      </c>
      <c r="E26" s="8">
        <v>360.10744727209851</v>
      </c>
      <c r="F26" s="8">
        <v>7.6336018077055883</v>
      </c>
      <c r="G26" s="8">
        <v>7.5057995920033371E-2</v>
      </c>
      <c r="H26" s="8">
        <v>6.5004278484381617E-2</v>
      </c>
      <c r="I26" s="8">
        <v>0.29460424260950879</v>
      </c>
    </row>
  </sheetData>
  <mergeCells count="14">
    <mergeCell ref="H5:I5"/>
    <mergeCell ref="J5:K5"/>
    <mergeCell ref="B3:K3"/>
    <mergeCell ref="N3:Q3"/>
    <mergeCell ref="C12:AC12"/>
    <mergeCell ref="C20:I20"/>
    <mergeCell ref="B4:C4"/>
    <mergeCell ref="D4:E4"/>
    <mergeCell ref="F4:G4"/>
    <mergeCell ref="H4:I4"/>
    <mergeCell ref="J4:K4"/>
    <mergeCell ref="B5:C5"/>
    <mergeCell ref="D5:E5"/>
    <mergeCell ref="F5:G5"/>
  </mergeCells>
  <hyperlinks>
    <hyperlink ref="C14" location="B14:B14" tooltip="701" display="Subset 1" xr:uid="{1183B285-B664-479F-9852-0802ACC619F0}"/>
    <hyperlink ref="C15" location="B15:B15" tooltip="701" display="Subset 2" xr:uid="{94675AA5-4DB5-42C2-BE88-AC4EC98FB639}"/>
    <hyperlink ref="C16" location="B16:B16" tooltip="701" display="Subset 3" xr:uid="{23F98D41-FDFF-4017-9DF4-F6FD066120BD}"/>
    <hyperlink ref="C17" location="B17:B17" tooltip="701" display="Subset 4" xr:uid="{0BFB195E-986C-4138-A828-BB14C94D6755}"/>
    <hyperlink ref="C18" location="B18:B18" tooltip="701" display="Subset 5" xr:uid="{F07C0EFC-681F-40A2-ABA3-BE0CE4AA4C43}"/>
    <hyperlink ref="B4" location="'LinReg_FS'!$B$10:$B$10" display="Feature Selection" xr:uid="{F705F684-ACE2-403C-9C17-48DB42D1E0A6}"/>
    <hyperlink ref="D4" location="'LinReg_Output'!$B$10:$B$10" display="Inputs" xr:uid="{F31359B6-8818-4112-860F-136AF20950C9}"/>
    <hyperlink ref="F4" location="'LinReg_Output'!$B$53:$B$53" display="Regression Summary" xr:uid="{01279389-F65C-4B99-B78E-5807D9099249}"/>
    <hyperlink ref="H4" location="'LinReg_Output'!$B$62:$B$62" display="Predictor Screening" xr:uid="{A439B563-805E-47C5-8833-029156CA3714}"/>
    <hyperlink ref="J4" location="'LinReg_Output'!$B$95:$B$95" display="Coefficients" xr:uid="{4CF80A1C-901B-49D2-A6DA-20613F980249}"/>
    <hyperlink ref="B5" location="'LinReg_Stored'!$B$10:$B$10" display="PMML Model" xr:uid="{D2D2F88F-AE66-48E0-A695-C3CB40C66C06}"/>
    <hyperlink ref="D5" location="'LinReg_TrainingScore'!$B$10:$B$10" display="Training: Prediction Summary" xr:uid="{DC762C40-97B5-460E-9C6A-D3F9567E1755}"/>
    <hyperlink ref="F5" location="'LinReg_ValidationScore'!$B$10:$B$10" display="Validation: Prediction Summary" xr:uid="{4A9660E0-5FC8-4C18-98BD-3B3C5BFDC66C}"/>
  </hyperlinks>
  <pageMargins left="0.7" right="0.7" top="0.75" bottom="0.75" header="0.3" footer="0.3"/>
  <tableParts count="2">
    <tablePart r:id="rId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5BC50-304E-4AD0-9192-803271348585}">
  <sheetPr codeName="Sheet42">
    <tabColor theme="5"/>
  </sheetPr>
  <dimension ref="B1:Q17"/>
  <sheetViews>
    <sheetView showGridLines="0" workbookViewId="0">
      <selection activeCell="I27" sqref="I27"/>
    </sheetView>
  </sheetViews>
  <sheetFormatPr defaultRowHeight="15" x14ac:dyDescent="0.25"/>
  <cols>
    <col min="14" max="14" width="15.5703125" bestFit="1" customWidth="1"/>
  </cols>
  <sheetData>
    <row r="1" spans="2:17" ht="18.75" x14ac:dyDescent="0.3">
      <c r="B1" s="6" t="s">
        <v>733</v>
      </c>
      <c r="N1" t="s">
        <v>789</v>
      </c>
    </row>
    <row r="3" spans="2:17" ht="15.75" x14ac:dyDescent="0.25">
      <c r="B3" s="13" t="s">
        <v>147</v>
      </c>
      <c r="C3" s="14"/>
      <c r="D3" s="14"/>
      <c r="E3" s="14"/>
      <c r="F3" s="14"/>
      <c r="G3" s="14"/>
      <c r="H3" s="14"/>
      <c r="I3" s="14"/>
      <c r="J3" s="14"/>
      <c r="K3" s="15"/>
      <c r="N3" s="13" t="s">
        <v>148</v>
      </c>
      <c r="O3" s="14"/>
      <c r="P3" s="14"/>
      <c r="Q3" s="15"/>
    </row>
    <row r="4" spans="2:17" x14ac:dyDescent="0.25">
      <c r="B4" s="25" t="s">
        <v>770</v>
      </c>
      <c r="C4" s="21"/>
      <c r="D4" s="25" t="s">
        <v>153</v>
      </c>
      <c r="E4" s="21"/>
      <c r="F4" s="25" t="s">
        <v>720</v>
      </c>
      <c r="G4" s="21"/>
      <c r="H4" s="25" t="s">
        <v>721</v>
      </c>
      <c r="I4" s="21"/>
      <c r="J4" s="25" t="s">
        <v>722</v>
      </c>
      <c r="K4" s="21"/>
      <c r="N4" s="11" t="s">
        <v>149</v>
      </c>
      <c r="O4" s="11" t="s">
        <v>150</v>
      </c>
      <c r="P4" s="11" t="s">
        <v>151</v>
      </c>
      <c r="Q4" s="11" t="s">
        <v>152</v>
      </c>
    </row>
    <row r="5" spans="2:17" x14ac:dyDescent="0.25">
      <c r="B5" s="25" t="s">
        <v>645</v>
      </c>
      <c r="C5" s="21"/>
      <c r="D5" s="25" t="s">
        <v>723</v>
      </c>
      <c r="E5" s="21"/>
      <c r="F5" s="25" t="s">
        <v>724</v>
      </c>
      <c r="G5" s="21"/>
      <c r="H5" s="19"/>
      <c r="I5" s="21"/>
      <c r="J5" s="19"/>
      <c r="K5" s="21"/>
      <c r="N5" s="10">
        <v>18</v>
      </c>
      <c r="O5" s="10">
        <v>9</v>
      </c>
      <c r="P5" s="10">
        <v>11</v>
      </c>
      <c r="Q5" s="10">
        <v>38</v>
      </c>
    </row>
    <row r="10" spans="2:17" ht="18.75" x14ac:dyDescent="0.3">
      <c r="B10" s="7" t="s">
        <v>723</v>
      </c>
    </row>
    <row r="12" spans="2:17" x14ac:dyDescent="0.25">
      <c r="C12" t="s">
        <v>726</v>
      </c>
      <c r="D12" t="s">
        <v>727</v>
      </c>
    </row>
    <row r="13" spans="2:17" x14ac:dyDescent="0.25">
      <c r="C13" t="s">
        <v>728</v>
      </c>
      <c r="D13">
        <v>342.00304781201146</v>
      </c>
    </row>
    <row r="14" spans="2:17" x14ac:dyDescent="0.25">
      <c r="C14" t="s">
        <v>729</v>
      </c>
      <c r="D14">
        <v>0.9168982515067331</v>
      </c>
    </row>
    <row r="15" spans="2:17" x14ac:dyDescent="0.25">
      <c r="C15" t="s">
        <v>730</v>
      </c>
      <c r="D15">
        <v>0.9575480413570554</v>
      </c>
    </row>
    <row r="16" spans="2:17" x14ac:dyDescent="0.25">
      <c r="C16" t="s">
        <v>731</v>
      </c>
      <c r="D16">
        <v>0.74970141902013387</v>
      </c>
    </row>
    <row r="17" spans="3:4" x14ac:dyDescent="0.25">
      <c r="C17" t="s">
        <v>732</v>
      </c>
      <c r="D17">
        <v>0.12155944887838854</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FS'!$B$10:$B$10" display="Feature Selection" xr:uid="{4201D397-8B1E-43A0-8185-CF5FA1731C54}"/>
    <hyperlink ref="D4" location="'LinReg_Output'!$B$10:$B$10" display="Inputs" xr:uid="{A65A2BC7-F09D-4861-9DD9-5603790B77C5}"/>
    <hyperlink ref="F4" location="'LinReg_Output'!$B$53:$B$53" display="Regression Summary" xr:uid="{872A6EA5-CA66-478C-9418-15E680981EFC}"/>
    <hyperlink ref="H4" location="'LinReg_Output'!$B$62:$B$62" display="Predictor Screening" xr:uid="{1F77DC60-BFAD-4666-8D5D-F51D2B6E75F6}"/>
    <hyperlink ref="J4" location="'LinReg_Output'!$B$95:$B$95" display="Coefficients" xr:uid="{E2562918-A009-4911-BB80-3D3BF4E552A2}"/>
    <hyperlink ref="B5" location="'LinReg_Stored'!$B$10:$B$10" display="PMML Model" xr:uid="{29BBDA9B-A898-451C-A5F6-64DA5E7CEB4F}"/>
    <hyperlink ref="D5" location="'LinReg_TrainingScore'!$B$10:$B$10" display="Training: Prediction Summary" xr:uid="{9332621E-2ED1-4814-B289-2FD88B04BB03}"/>
    <hyperlink ref="F5" location="'LinReg_ValidationScore'!$B$10:$B$10" display="Validation: Prediction Summary" xr:uid="{6109846E-ECA5-40E4-B2EA-3EAC022F93E1}"/>
  </hyperlinks>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C1A49-7069-441D-8689-EE2D70C87E48}">
  <sheetPr codeName="Sheet43">
    <tabColor theme="5"/>
  </sheetPr>
  <dimension ref="B1:Q17"/>
  <sheetViews>
    <sheetView showGridLines="0" workbookViewId="0">
      <selection activeCell="I27" sqref="I27"/>
    </sheetView>
  </sheetViews>
  <sheetFormatPr defaultRowHeight="15" x14ac:dyDescent="0.25"/>
  <cols>
    <col min="14" max="14" width="15.5703125" bestFit="1" customWidth="1"/>
  </cols>
  <sheetData>
    <row r="1" spans="2:17" ht="18.75" x14ac:dyDescent="0.3">
      <c r="B1" s="6" t="s">
        <v>725</v>
      </c>
      <c r="N1" t="s">
        <v>789</v>
      </c>
    </row>
    <row r="3" spans="2:17" ht="15.75" x14ac:dyDescent="0.25">
      <c r="B3" s="13" t="s">
        <v>147</v>
      </c>
      <c r="C3" s="14"/>
      <c r="D3" s="14"/>
      <c r="E3" s="14"/>
      <c r="F3" s="14"/>
      <c r="G3" s="14"/>
      <c r="H3" s="14"/>
      <c r="I3" s="14"/>
      <c r="J3" s="14"/>
      <c r="K3" s="15"/>
      <c r="N3" s="13" t="s">
        <v>148</v>
      </c>
      <c r="O3" s="14"/>
      <c r="P3" s="14"/>
      <c r="Q3" s="15"/>
    </row>
    <row r="4" spans="2:17" x14ac:dyDescent="0.25">
      <c r="B4" s="25" t="s">
        <v>770</v>
      </c>
      <c r="C4" s="21"/>
      <c r="D4" s="25" t="s">
        <v>153</v>
      </c>
      <c r="E4" s="21"/>
      <c r="F4" s="25" t="s">
        <v>720</v>
      </c>
      <c r="G4" s="21"/>
      <c r="H4" s="25" t="s">
        <v>721</v>
      </c>
      <c r="I4" s="21"/>
      <c r="J4" s="25" t="s">
        <v>722</v>
      </c>
      <c r="K4" s="21"/>
      <c r="N4" s="11" t="s">
        <v>149</v>
      </c>
      <c r="O4" s="11" t="s">
        <v>150</v>
      </c>
      <c r="P4" s="11" t="s">
        <v>151</v>
      </c>
      <c r="Q4" s="11" t="s">
        <v>152</v>
      </c>
    </row>
    <row r="5" spans="2:17" x14ac:dyDescent="0.25">
      <c r="B5" s="25" t="s">
        <v>645</v>
      </c>
      <c r="C5" s="21"/>
      <c r="D5" s="25" t="s">
        <v>723</v>
      </c>
      <c r="E5" s="21"/>
      <c r="F5" s="25" t="s">
        <v>724</v>
      </c>
      <c r="G5" s="21"/>
      <c r="H5" s="19"/>
      <c r="I5" s="21"/>
      <c r="J5" s="19"/>
      <c r="K5" s="21"/>
      <c r="N5" s="10">
        <v>18</v>
      </c>
      <c r="O5" s="10">
        <v>9</v>
      </c>
      <c r="P5" s="10">
        <v>11</v>
      </c>
      <c r="Q5" s="10">
        <v>38</v>
      </c>
    </row>
    <row r="10" spans="2:17" ht="18.75" x14ac:dyDescent="0.3">
      <c r="B10" s="7" t="s">
        <v>724</v>
      </c>
    </row>
    <row r="12" spans="2:17" x14ac:dyDescent="0.25">
      <c r="C12" t="s">
        <v>726</v>
      </c>
      <c r="D12" t="s">
        <v>727</v>
      </c>
    </row>
    <row r="13" spans="2:17" x14ac:dyDescent="0.25">
      <c r="C13" t="s">
        <v>728</v>
      </c>
      <c r="D13">
        <v>88.101451497980662</v>
      </c>
    </row>
    <row r="14" spans="2:17" x14ac:dyDescent="0.25">
      <c r="C14" t="s">
        <v>729</v>
      </c>
      <c r="D14">
        <v>0.9473274354621577</v>
      </c>
    </row>
    <row r="15" spans="2:17" x14ac:dyDescent="0.25">
      <c r="C15" t="s">
        <v>730</v>
      </c>
      <c r="D15">
        <v>0.97330747221120095</v>
      </c>
    </row>
    <row r="16" spans="2:17" x14ac:dyDescent="0.25">
      <c r="C16" t="s">
        <v>731</v>
      </c>
      <c r="D16">
        <v>0.76797918769731555</v>
      </c>
    </row>
    <row r="17" spans="3:4" x14ac:dyDescent="0.25">
      <c r="C17" t="s">
        <v>732</v>
      </c>
      <c r="D17">
        <v>9.4047435945133206E-2</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FS'!$B$10:$B$10" display="Feature Selection" xr:uid="{74509D93-9731-4662-B324-2C8B06E141B3}"/>
    <hyperlink ref="D4" location="'LinReg_Output'!$B$10:$B$10" display="Inputs" xr:uid="{D115CF56-DA96-4439-B600-0CAD7805998D}"/>
    <hyperlink ref="F4" location="'LinReg_Output'!$B$53:$B$53" display="Regression Summary" xr:uid="{EE01D81A-C6BD-4EF6-8182-2C50F869F390}"/>
    <hyperlink ref="H4" location="'LinReg_Output'!$B$62:$B$62" display="Predictor Screening" xr:uid="{4497365F-4B61-464E-9A6A-AA689D1405B7}"/>
    <hyperlink ref="J4" location="'LinReg_Output'!$B$95:$B$95" display="Coefficients" xr:uid="{7B712BC1-9331-458B-AC19-2A0E3907D5A2}"/>
    <hyperlink ref="B5" location="'LinReg_Stored'!$B$10:$B$10" display="PMML Model" xr:uid="{8AF56E44-C949-46E2-A353-508CA639B104}"/>
    <hyperlink ref="D5" location="'LinReg_TrainingScore'!$B$10:$B$10" display="Training: Prediction Summary" xr:uid="{163CC9A3-5B6E-4F17-A796-59F3D046B98E}"/>
    <hyperlink ref="F5" location="'LinReg_ValidationScore'!$B$10:$B$10" display="Validation: Prediction Summary" xr:uid="{A559A0DC-0445-4760-A07D-CB181A40BFA2}"/>
  </hyperlinks>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DBE0B-D4B7-4064-A0C2-4147CFA4F8AC}">
  <sheetPr codeName="Sheet44">
    <tabColor theme="5"/>
  </sheetPr>
  <dimension ref="B1:Q108"/>
  <sheetViews>
    <sheetView showGridLines="0" workbookViewId="0"/>
  </sheetViews>
  <sheetFormatPr defaultRowHeight="15" x14ac:dyDescent="0.25"/>
  <cols>
    <col min="14" max="14" width="15.5703125" bestFit="1" customWidth="1"/>
  </cols>
  <sheetData>
    <row r="1" spans="2:17" ht="18.75" x14ac:dyDescent="0.3">
      <c r="B1" s="6" t="s">
        <v>644</v>
      </c>
      <c r="N1" t="s">
        <v>789</v>
      </c>
    </row>
    <row r="3" spans="2:17" ht="15.75" x14ac:dyDescent="0.25">
      <c r="B3" s="13" t="s">
        <v>147</v>
      </c>
      <c r="C3" s="14"/>
      <c r="D3" s="14"/>
      <c r="E3" s="14"/>
      <c r="F3" s="14"/>
      <c r="G3" s="14"/>
      <c r="H3" s="14"/>
      <c r="I3" s="14"/>
      <c r="J3" s="14"/>
      <c r="K3" s="15"/>
      <c r="N3" s="13" t="s">
        <v>148</v>
      </c>
      <c r="O3" s="14"/>
      <c r="P3" s="14"/>
      <c r="Q3" s="15"/>
    </row>
    <row r="4" spans="2:17" x14ac:dyDescent="0.25">
      <c r="B4" s="25" t="s">
        <v>770</v>
      </c>
      <c r="C4" s="21"/>
      <c r="D4" s="25" t="s">
        <v>153</v>
      </c>
      <c r="E4" s="21"/>
      <c r="F4" s="25" t="s">
        <v>720</v>
      </c>
      <c r="G4" s="21"/>
      <c r="H4" s="25" t="s">
        <v>721</v>
      </c>
      <c r="I4" s="21"/>
      <c r="J4" s="25" t="s">
        <v>722</v>
      </c>
      <c r="K4" s="21"/>
      <c r="N4" s="11" t="s">
        <v>149</v>
      </c>
      <c r="O4" s="11" t="s">
        <v>150</v>
      </c>
      <c r="P4" s="11" t="s">
        <v>151</v>
      </c>
      <c r="Q4" s="11" t="s">
        <v>152</v>
      </c>
    </row>
    <row r="5" spans="2:17" x14ac:dyDescent="0.25">
      <c r="B5" s="25" t="s">
        <v>645</v>
      </c>
      <c r="C5" s="21"/>
      <c r="D5" s="25" t="s">
        <v>723</v>
      </c>
      <c r="E5" s="21"/>
      <c r="F5" s="25" t="s">
        <v>724</v>
      </c>
      <c r="G5" s="21"/>
      <c r="H5" s="19"/>
      <c r="I5" s="21"/>
      <c r="J5" s="19"/>
      <c r="K5" s="21"/>
      <c r="N5" s="10">
        <v>18</v>
      </c>
      <c r="O5" s="10">
        <v>9</v>
      </c>
      <c r="P5" s="10">
        <v>11</v>
      </c>
      <c r="Q5" s="10">
        <v>38</v>
      </c>
    </row>
    <row r="10" spans="2:17" ht="18.75" x14ac:dyDescent="0.3">
      <c r="B10" s="7" t="s">
        <v>645</v>
      </c>
    </row>
    <row r="12" spans="2:17" x14ac:dyDescent="0.25">
      <c r="B12" t="s">
        <v>646</v>
      </c>
    </row>
    <row r="13" spans="2:17" x14ac:dyDescent="0.25">
      <c r="B13" t="s">
        <v>647</v>
      </c>
    </row>
    <row r="14" spans="2:17" x14ac:dyDescent="0.25">
      <c r="B14" t="s">
        <v>648</v>
      </c>
    </row>
    <row r="15" spans="2:17" x14ac:dyDescent="0.25">
      <c r="B15" t="s">
        <v>649</v>
      </c>
    </row>
    <row r="16" spans="2:17" x14ac:dyDescent="0.25">
      <c r="B16" t="s">
        <v>790</v>
      </c>
    </row>
    <row r="17" spans="2:2" x14ac:dyDescent="0.25">
      <c r="B17" t="s">
        <v>650</v>
      </c>
    </row>
    <row r="18" spans="2:2" x14ac:dyDescent="0.25">
      <c r="B18" t="s">
        <v>651</v>
      </c>
    </row>
    <row r="19" spans="2:2" x14ac:dyDescent="0.25">
      <c r="B19" t="s">
        <v>652</v>
      </c>
    </row>
    <row r="20" spans="2:2" x14ac:dyDescent="0.25">
      <c r="B20" t="s">
        <v>653</v>
      </c>
    </row>
    <row r="21" spans="2:2" x14ac:dyDescent="0.25">
      <c r="B21" t="s">
        <v>654</v>
      </c>
    </row>
    <row r="22" spans="2:2" x14ac:dyDescent="0.25">
      <c r="B22" t="s">
        <v>655</v>
      </c>
    </row>
    <row r="23" spans="2:2" x14ac:dyDescent="0.25">
      <c r="B23" t="s">
        <v>656</v>
      </c>
    </row>
    <row r="24" spans="2:2" x14ac:dyDescent="0.25">
      <c r="B24" t="s">
        <v>657</v>
      </c>
    </row>
    <row r="25" spans="2:2" x14ac:dyDescent="0.25">
      <c r="B25" t="s">
        <v>658</v>
      </c>
    </row>
    <row r="26" spans="2:2" x14ac:dyDescent="0.25">
      <c r="B26" t="s">
        <v>659</v>
      </c>
    </row>
    <row r="27" spans="2:2" x14ac:dyDescent="0.25">
      <c r="B27" t="s">
        <v>660</v>
      </c>
    </row>
    <row r="28" spans="2:2" x14ac:dyDescent="0.25">
      <c r="B28" t="s">
        <v>661</v>
      </c>
    </row>
    <row r="29" spans="2:2" x14ac:dyDescent="0.25">
      <c r="B29" t="s">
        <v>662</v>
      </c>
    </row>
    <row r="30" spans="2:2" x14ac:dyDescent="0.25">
      <c r="B30" t="s">
        <v>663</v>
      </c>
    </row>
    <row r="31" spans="2:2" x14ac:dyDescent="0.25">
      <c r="B31" t="s">
        <v>664</v>
      </c>
    </row>
    <row r="32" spans="2:2" x14ac:dyDescent="0.25">
      <c r="B32" t="s">
        <v>665</v>
      </c>
    </row>
    <row r="33" spans="2:2" x14ac:dyDescent="0.25">
      <c r="B33" t="s">
        <v>666</v>
      </c>
    </row>
    <row r="34" spans="2:2" x14ac:dyDescent="0.25">
      <c r="B34" t="s">
        <v>667</v>
      </c>
    </row>
    <row r="35" spans="2:2" x14ac:dyDescent="0.25">
      <c r="B35" t="s">
        <v>668</v>
      </c>
    </row>
    <row r="36" spans="2:2" x14ac:dyDescent="0.25">
      <c r="B36" t="s">
        <v>669</v>
      </c>
    </row>
    <row r="37" spans="2:2" x14ac:dyDescent="0.25">
      <c r="B37" t="s">
        <v>670</v>
      </c>
    </row>
    <row r="38" spans="2:2" x14ac:dyDescent="0.25">
      <c r="B38" t="s">
        <v>671</v>
      </c>
    </row>
    <row r="39" spans="2:2" x14ac:dyDescent="0.25">
      <c r="B39" t="s">
        <v>672</v>
      </c>
    </row>
    <row r="40" spans="2:2" x14ac:dyDescent="0.25">
      <c r="B40" t="s">
        <v>673</v>
      </c>
    </row>
    <row r="41" spans="2:2" x14ac:dyDescent="0.25">
      <c r="B41" t="s">
        <v>674</v>
      </c>
    </row>
    <row r="42" spans="2:2" x14ac:dyDescent="0.25">
      <c r="B42" t="s">
        <v>675</v>
      </c>
    </row>
    <row r="43" spans="2:2" x14ac:dyDescent="0.25">
      <c r="B43" t="s">
        <v>676</v>
      </c>
    </row>
    <row r="44" spans="2:2" x14ac:dyDescent="0.25">
      <c r="B44" t="s">
        <v>677</v>
      </c>
    </row>
    <row r="45" spans="2:2" x14ac:dyDescent="0.25">
      <c r="B45" t="s">
        <v>678</v>
      </c>
    </row>
    <row r="46" spans="2:2" x14ac:dyDescent="0.25">
      <c r="B46" t="s">
        <v>679</v>
      </c>
    </row>
    <row r="47" spans="2:2" x14ac:dyDescent="0.25">
      <c r="B47" t="s">
        <v>680</v>
      </c>
    </row>
    <row r="48" spans="2:2" x14ac:dyDescent="0.25">
      <c r="B48" t="s">
        <v>681</v>
      </c>
    </row>
    <row r="49" spans="2:2" x14ac:dyDescent="0.25">
      <c r="B49" t="s">
        <v>682</v>
      </c>
    </row>
    <row r="50" spans="2:2" x14ac:dyDescent="0.25">
      <c r="B50" t="s">
        <v>683</v>
      </c>
    </row>
    <row r="51" spans="2:2" x14ac:dyDescent="0.25">
      <c r="B51" t="s">
        <v>684</v>
      </c>
    </row>
    <row r="52" spans="2:2" x14ac:dyDescent="0.25">
      <c r="B52" t="s">
        <v>685</v>
      </c>
    </row>
    <row r="53" spans="2:2" x14ac:dyDescent="0.25">
      <c r="B53" t="s">
        <v>686</v>
      </c>
    </row>
    <row r="54" spans="2:2" x14ac:dyDescent="0.25">
      <c r="B54" t="s">
        <v>687</v>
      </c>
    </row>
    <row r="55" spans="2:2" x14ac:dyDescent="0.25">
      <c r="B55" t="s">
        <v>688</v>
      </c>
    </row>
    <row r="56" spans="2:2" x14ac:dyDescent="0.25">
      <c r="B56" t="s">
        <v>689</v>
      </c>
    </row>
    <row r="57" spans="2:2" x14ac:dyDescent="0.25">
      <c r="B57" t="s">
        <v>690</v>
      </c>
    </row>
    <row r="58" spans="2:2" x14ac:dyDescent="0.25">
      <c r="B58" t="s">
        <v>691</v>
      </c>
    </row>
    <row r="59" spans="2:2" x14ac:dyDescent="0.25">
      <c r="B59" t="s">
        <v>692</v>
      </c>
    </row>
    <row r="60" spans="2:2" x14ac:dyDescent="0.25">
      <c r="B60" t="s">
        <v>693</v>
      </c>
    </row>
    <row r="61" spans="2:2" x14ac:dyDescent="0.25">
      <c r="B61" t="s">
        <v>694</v>
      </c>
    </row>
    <row r="62" spans="2:2" x14ac:dyDescent="0.25">
      <c r="B62" t="s">
        <v>695</v>
      </c>
    </row>
    <row r="63" spans="2:2" x14ac:dyDescent="0.25">
      <c r="B63" t="s">
        <v>696</v>
      </c>
    </row>
    <row r="64" spans="2:2" x14ac:dyDescent="0.25">
      <c r="B64" t="s">
        <v>697</v>
      </c>
    </row>
    <row r="65" spans="2:2" x14ac:dyDescent="0.25">
      <c r="B65" t="s">
        <v>698</v>
      </c>
    </row>
    <row r="66" spans="2:2" x14ac:dyDescent="0.25">
      <c r="B66" t="s">
        <v>699</v>
      </c>
    </row>
    <row r="67" spans="2:2" x14ac:dyDescent="0.25">
      <c r="B67" t="s">
        <v>700</v>
      </c>
    </row>
    <row r="68" spans="2:2" x14ac:dyDescent="0.25">
      <c r="B68" t="s">
        <v>701</v>
      </c>
    </row>
    <row r="69" spans="2:2" x14ac:dyDescent="0.25">
      <c r="B69" t="s">
        <v>702</v>
      </c>
    </row>
    <row r="70" spans="2:2" x14ac:dyDescent="0.25">
      <c r="B70" t="s">
        <v>703</v>
      </c>
    </row>
    <row r="71" spans="2:2" x14ac:dyDescent="0.25">
      <c r="B71" t="s">
        <v>704</v>
      </c>
    </row>
    <row r="72" spans="2:2" x14ac:dyDescent="0.25">
      <c r="B72" t="s">
        <v>705</v>
      </c>
    </row>
    <row r="73" spans="2:2" x14ac:dyDescent="0.25">
      <c r="B73" t="s">
        <v>706</v>
      </c>
    </row>
    <row r="74" spans="2:2" x14ac:dyDescent="0.25">
      <c r="B74" t="s">
        <v>707</v>
      </c>
    </row>
    <row r="75" spans="2:2" x14ac:dyDescent="0.25">
      <c r="B75" t="s">
        <v>708</v>
      </c>
    </row>
    <row r="76" spans="2:2" x14ac:dyDescent="0.25">
      <c r="B76" t="s">
        <v>709</v>
      </c>
    </row>
    <row r="77" spans="2:2" x14ac:dyDescent="0.25">
      <c r="B77" t="s">
        <v>710</v>
      </c>
    </row>
    <row r="78" spans="2:2" x14ac:dyDescent="0.25">
      <c r="B78" t="s">
        <v>711</v>
      </c>
    </row>
    <row r="79" spans="2:2" x14ac:dyDescent="0.25">
      <c r="B79" t="s">
        <v>712</v>
      </c>
    </row>
    <row r="80" spans="2:2" x14ac:dyDescent="0.25">
      <c r="B80" t="s">
        <v>791</v>
      </c>
    </row>
    <row r="81" spans="2:2" x14ac:dyDescent="0.25">
      <c r="B81" t="s">
        <v>792</v>
      </c>
    </row>
    <row r="82" spans="2:2" x14ac:dyDescent="0.25">
      <c r="B82" t="s">
        <v>793</v>
      </c>
    </row>
    <row r="83" spans="2:2" x14ac:dyDescent="0.25">
      <c r="B83" t="s">
        <v>794</v>
      </c>
    </row>
    <row r="84" spans="2:2" x14ac:dyDescent="0.25">
      <c r="B84" t="s">
        <v>795</v>
      </c>
    </row>
    <row r="85" spans="2:2" x14ac:dyDescent="0.25">
      <c r="B85" t="s">
        <v>713</v>
      </c>
    </row>
    <row r="86" spans="2:2" x14ac:dyDescent="0.25">
      <c r="B86" t="s">
        <v>796</v>
      </c>
    </row>
    <row r="87" spans="2:2" x14ac:dyDescent="0.25">
      <c r="B87" t="s">
        <v>797</v>
      </c>
    </row>
    <row r="88" spans="2:2" x14ac:dyDescent="0.25">
      <c r="B88" t="s">
        <v>798</v>
      </c>
    </row>
    <row r="89" spans="2:2" x14ac:dyDescent="0.25">
      <c r="B89" t="s">
        <v>799</v>
      </c>
    </row>
    <row r="90" spans="2:2" x14ac:dyDescent="0.25">
      <c r="B90" t="s">
        <v>714</v>
      </c>
    </row>
    <row r="91" spans="2:2" x14ac:dyDescent="0.25">
      <c r="B91" t="s">
        <v>800</v>
      </c>
    </row>
    <row r="92" spans="2:2" x14ac:dyDescent="0.25">
      <c r="B92" t="s">
        <v>801</v>
      </c>
    </row>
    <row r="93" spans="2:2" x14ac:dyDescent="0.25">
      <c r="B93" t="s">
        <v>802</v>
      </c>
    </row>
    <row r="94" spans="2:2" x14ac:dyDescent="0.25">
      <c r="B94" t="s">
        <v>803</v>
      </c>
    </row>
    <row r="95" spans="2:2" x14ac:dyDescent="0.25">
      <c r="B95" t="s">
        <v>715</v>
      </c>
    </row>
    <row r="96" spans="2:2" x14ac:dyDescent="0.25">
      <c r="B96" t="s">
        <v>804</v>
      </c>
    </row>
    <row r="97" spans="2:2" x14ac:dyDescent="0.25">
      <c r="B97" t="s">
        <v>716</v>
      </c>
    </row>
    <row r="98" spans="2:2" x14ac:dyDescent="0.25">
      <c r="B98" t="s">
        <v>805</v>
      </c>
    </row>
    <row r="99" spans="2:2" x14ac:dyDescent="0.25">
      <c r="B99" t="s">
        <v>806</v>
      </c>
    </row>
    <row r="100" spans="2:2" x14ac:dyDescent="0.25">
      <c r="B100" t="s">
        <v>807</v>
      </c>
    </row>
    <row r="101" spans="2:2" x14ac:dyDescent="0.25">
      <c r="B101" t="s">
        <v>808</v>
      </c>
    </row>
    <row r="102" spans="2:2" x14ac:dyDescent="0.25">
      <c r="B102" t="s">
        <v>809</v>
      </c>
    </row>
    <row r="103" spans="2:2" x14ac:dyDescent="0.25">
      <c r="B103" t="s">
        <v>810</v>
      </c>
    </row>
    <row r="104" spans="2:2" x14ac:dyDescent="0.25">
      <c r="B104" t="s">
        <v>811</v>
      </c>
    </row>
    <row r="105" spans="2:2" x14ac:dyDescent="0.25">
      <c r="B105" t="s">
        <v>812</v>
      </c>
    </row>
    <row r="106" spans="2:2" x14ac:dyDescent="0.25">
      <c r="B106" t="s">
        <v>717</v>
      </c>
    </row>
    <row r="107" spans="2:2" x14ac:dyDescent="0.25">
      <c r="B107" t="s">
        <v>718</v>
      </c>
    </row>
    <row r="108" spans="2:2" x14ac:dyDescent="0.25">
      <c r="B108" t="s">
        <v>719</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FS'!$B$10:$B$10" display="Feature Selection" xr:uid="{5C573158-5427-4D27-A531-CB85E4880C9D}"/>
    <hyperlink ref="D4" location="'LinReg_Output'!$B$10:$B$10" display="Inputs" xr:uid="{F06178AF-BF9E-4950-9D70-5BCFEFD60010}"/>
    <hyperlink ref="F4" location="'LinReg_Output'!$B$53:$B$53" display="Regression Summary" xr:uid="{5AEB5111-A681-475D-BA78-6C61D657FFB1}"/>
    <hyperlink ref="H4" location="'LinReg_Output'!$B$62:$B$62" display="Predictor Screening" xr:uid="{7C3F356F-EBED-4D63-A646-5508CC13CBD4}"/>
    <hyperlink ref="J4" location="'LinReg_Output'!$B$95:$B$95" display="Coefficients" xr:uid="{5834C752-ABE2-47F5-9B2C-6ADFA47D2774}"/>
    <hyperlink ref="B5" location="'LinReg_Stored'!$B$10:$B$10" display="PMML Model" xr:uid="{D0FD93AB-9718-4B3A-A9D7-A860D5DEEF17}"/>
    <hyperlink ref="D5" location="'LinReg_TrainingScore'!$B$10:$B$10" display="Training: Prediction Summary" xr:uid="{6EF8FEEB-5F87-4527-81CA-A1B7077C582A}"/>
    <hyperlink ref="F5" location="'LinReg_ValidationScore'!$B$10:$B$10" display="Validation: Prediction Summary" xr:uid="{C5F2D378-A2ED-4E05-BCDC-078E6B691A39}"/>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5DCE7-1873-4E61-9D0E-CFBF53906390}">
  <sheetPr codeName="Sheet45"/>
  <dimension ref="A1:Z467"/>
  <sheetViews>
    <sheetView workbookViewId="0">
      <selection activeCell="I27" sqref="I27"/>
    </sheetView>
  </sheetViews>
  <sheetFormatPr defaultColWidth="8.85546875" defaultRowHeight="15" x14ac:dyDescent="0.25"/>
  <cols>
    <col min="1" max="1" width="11.140625" bestFit="1" customWidth="1"/>
    <col min="2" max="2" width="16.42578125" bestFit="1" customWidth="1"/>
    <col min="3" max="3" width="14.7109375" bestFit="1" customWidth="1"/>
    <col min="4" max="4" width="9.7109375" bestFit="1" customWidth="1"/>
    <col min="5" max="5" width="13.85546875" bestFit="1" customWidth="1"/>
    <col min="6" max="6" width="21.85546875" bestFit="1" customWidth="1"/>
    <col min="7" max="7" width="21.7109375" bestFit="1" customWidth="1"/>
    <col min="8" max="8" width="22.42578125" bestFit="1" customWidth="1"/>
    <col min="9" max="9" width="22.140625" bestFit="1" customWidth="1"/>
    <col min="10" max="10" width="18.42578125" bestFit="1" customWidth="1"/>
    <col min="11" max="11" width="20.85546875" bestFit="1" customWidth="1"/>
    <col min="12" max="12" width="20.42578125" bestFit="1" customWidth="1"/>
    <col min="13" max="13" width="16" bestFit="1" customWidth="1"/>
    <col min="14" max="15" width="18.85546875" bestFit="1" customWidth="1"/>
    <col min="16" max="16" width="11.85546875" bestFit="1" customWidth="1"/>
    <col min="17" max="17" width="19.85546875" bestFit="1" customWidth="1"/>
    <col min="18" max="18" width="21" bestFit="1" customWidth="1"/>
    <col min="19" max="19" width="27.85546875" bestFit="1" customWidth="1"/>
    <col min="20" max="20" width="22.85546875" bestFit="1" customWidth="1"/>
    <col min="21" max="21" width="24.42578125" bestFit="1" customWidth="1"/>
    <col min="22" max="22" width="25.140625" bestFit="1" customWidth="1"/>
    <col min="23" max="23" width="23.85546875" bestFit="1" customWidth="1"/>
    <col min="24" max="24" width="25.42578125" bestFit="1" customWidth="1"/>
    <col min="25" max="25" width="24.7109375" bestFit="1" customWidth="1"/>
    <col min="26" max="26" width="28" bestFit="1" customWidth="1"/>
  </cols>
  <sheetData>
    <row r="1" spans="1:26" x14ac:dyDescent="0.25">
      <c r="A1" t="s">
        <v>1</v>
      </c>
      <c r="B1" t="s">
        <v>2</v>
      </c>
      <c r="C1" t="s">
        <v>4</v>
      </c>
      <c r="D1" t="s">
        <v>15</v>
      </c>
      <c r="E1" t="s">
        <v>17</v>
      </c>
      <c r="F1" t="s">
        <v>125</v>
      </c>
      <c r="G1" t="s">
        <v>126</v>
      </c>
      <c r="H1" t="s">
        <v>127</v>
      </c>
      <c r="I1" t="s">
        <v>128</v>
      </c>
      <c r="J1" t="s">
        <v>137</v>
      </c>
      <c r="K1" t="s">
        <v>138</v>
      </c>
      <c r="L1" t="s">
        <v>139</v>
      </c>
      <c r="M1" t="s">
        <v>129</v>
      </c>
      <c r="N1" t="s">
        <v>140</v>
      </c>
      <c r="O1" t="s">
        <v>141</v>
      </c>
      <c r="P1" t="s">
        <v>142</v>
      </c>
      <c r="Q1" t="s">
        <v>143</v>
      </c>
      <c r="R1" t="s">
        <v>145</v>
      </c>
      <c r="S1" t="s">
        <v>144</v>
      </c>
      <c r="T1" t="s">
        <v>130</v>
      </c>
      <c r="U1" t="s">
        <v>131</v>
      </c>
      <c r="V1" t="s">
        <v>132</v>
      </c>
      <c r="W1" t="s">
        <v>133</v>
      </c>
      <c r="X1" t="s">
        <v>134</v>
      </c>
      <c r="Y1" t="s">
        <v>135</v>
      </c>
      <c r="Z1" t="s">
        <v>136</v>
      </c>
    </row>
    <row r="2" spans="1:26" x14ac:dyDescent="0.25">
      <c r="A2">
        <v>131</v>
      </c>
      <c r="B2">
        <v>61</v>
      </c>
      <c r="C2">
        <v>0</v>
      </c>
      <c r="D2">
        <v>188</v>
      </c>
      <c r="E2">
        <v>8</v>
      </c>
      <c r="F2">
        <v>0</v>
      </c>
      <c r="G2">
        <v>0</v>
      </c>
      <c r="H2">
        <v>0</v>
      </c>
      <c r="I2">
        <v>1</v>
      </c>
      <c r="J2">
        <v>0</v>
      </c>
      <c r="K2">
        <v>1</v>
      </c>
      <c r="L2">
        <v>0</v>
      </c>
      <c r="M2">
        <v>0</v>
      </c>
      <c r="N2">
        <v>0</v>
      </c>
      <c r="O2">
        <v>1</v>
      </c>
      <c r="P2">
        <v>0</v>
      </c>
      <c r="Q2">
        <v>0</v>
      </c>
      <c r="R2">
        <v>0</v>
      </c>
      <c r="S2">
        <v>1</v>
      </c>
      <c r="T2">
        <v>0</v>
      </c>
      <c r="U2">
        <v>0</v>
      </c>
      <c r="V2">
        <v>0</v>
      </c>
      <c r="W2">
        <v>0</v>
      </c>
      <c r="X2">
        <v>1</v>
      </c>
      <c r="Y2">
        <v>0</v>
      </c>
      <c r="Z2">
        <v>0</v>
      </c>
    </row>
    <row r="3" spans="1:26" x14ac:dyDescent="0.25">
      <c r="A3">
        <v>20</v>
      </c>
      <c r="B3">
        <v>19</v>
      </c>
      <c r="C3">
        <v>0</v>
      </c>
      <c r="D3">
        <v>826</v>
      </c>
      <c r="E3">
        <v>5</v>
      </c>
      <c r="F3">
        <v>1</v>
      </c>
      <c r="G3">
        <v>0</v>
      </c>
      <c r="H3">
        <v>0</v>
      </c>
      <c r="I3">
        <v>0</v>
      </c>
      <c r="J3">
        <v>0</v>
      </c>
      <c r="K3">
        <v>1</v>
      </c>
      <c r="L3">
        <v>0</v>
      </c>
      <c r="M3">
        <v>0</v>
      </c>
      <c r="N3">
        <v>0</v>
      </c>
      <c r="O3">
        <v>1</v>
      </c>
      <c r="P3">
        <v>0</v>
      </c>
      <c r="Q3">
        <v>0</v>
      </c>
      <c r="R3">
        <v>0</v>
      </c>
      <c r="S3">
        <v>1</v>
      </c>
      <c r="T3">
        <v>0</v>
      </c>
      <c r="U3">
        <v>0</v>
      </c>
      <c r="V3">
        <v>0</v>
      </c>
      <c r="W3">
        <v>0</v>
      </c>
      <c r="X3">
        <v>0</v>
      </c>
      <c r="Y3">
        <v>1</v>
      </c>
      <c r="Z3">
        <v>0</v>
      </c>
    </row>
    <row r="4" spans="1:26" x14ac:dyDescent="0.25">
      <c r="A4">
        <v>41</v>
      </c>
      <c r="B4">
        <v>9</v>
      </c>
      <c r="C4">
        <v>1</v>
      </c>
      <c r="D4">
        <v>3933</v>
      </c>
      <c r="E4">
        <v>1</v>
      </c>
      <c r="F4">
        <v>1</v>
      </c>
      <c r="G4">
        <v>0</v>
      </c>
      <c r="H4">
        <v>0</v>
      </c>
      <c r="I4">
        <v>0</v>
      </c>
      <c r="J4">
        <v>1</v>
      </c>
      <c r="K4">
        <v>0</v>
      </c>
      <c r="L4">
        <v>0</v>
      </c>
      <c r="M4">
        <v>0</v>
      </c>
      <c r="N4">
        <v>0</v>
      </c>
      <c r="O4">
        <v>0</v>
      </c>
      <c r="P4">
        <v>1</v>
      </c>
      <c r="Q4">
        <v>0</v>
      </c>
      <c r="R4">
        <v>0</v>
      </c>
      <c r="S4">
        <v>1</v>
      </c>
      <c r="T4">
        <v>1</v>
      </c>
      <c r="U4">
        <v>0</v>
      </c>
      <c r="V4">
        <v>0</v>
      </c>
      <c r="W4">
        <v>0</v>
      </c>
      <c r="X4">
        <v>0</v>
      </c>
      <c r="Y4">
        <v>0</v>
      </c>
      <c r="Z4">
        <v>0</v>
      </c>
    </row>
    <row r="5" spans="1:26" x14ac:dyDescent="0.25">
      <c r="A5">
        <v>88</v>
      </c>
      <c r="B5">
        <v>15</v>
      </c>
      <c r="C5">
        <v>0</v>
      </c>
      <c r="D5">
        <v>1467</v>
      </c>
      <c r="E5">
        <v>3</v>
      </c>
      <c r="F5">
        <v>0</v>
      </c>
      <c r="G5">
        <v>0</v>
      </c>
      <c r="H5">
        <v>1</v>
      </c>
      <c r="I5">
        <v>0</v>
      </c>
      <c r="J5">
        <v>1</v>
      </c>
      <c r="K5">
        <v>0</v>
      </c>
      <c r="L5">
        <v>0</v>
      </c>
      <c r="M5">
        <v>1</v>
      </c>
      <c r="N5">
        <v>0</v>
      </c>
      <c r="O5">
        <v>1</v>
      </c>
      <c r="P5">
        <v>0</v>
      </c>
      <c r="Q5">
        <v>1</v>
      </c>
      <c r="R5">
        <v>0</v>
      </c>
      <c r="S5">
        <v>0</v>
      </c>
      <c r="T5">
        <v>0</v>
      </c>
      <c r="U5">
        <v>1</v>
      </c>
      <c r="V5">
        <v>0</v>
      </c>
      <c r="W5">
        <v>0</v>
      </c>
      <c r="X5">
        <v>0</v>
      </c>
      <c r="Y5">
        <v>0</v>
      </c>
      <c r="Z5">
        <v>0</v>
      </c>
    </row>
    <row r="6" spans="1:26" x14ac:dyDescent="0.25">
      <c r="A6">
        <v>67</v>
      </c>
      <c r="B6">
        <v>46</v>
      </c>
      <c r="C6">
        <v>1</v>
      </c>
      <c r="D6">
        <v>2700</v>
      </c>
      <c r="E6">
        <v>6</v>
      </c>
      <c r="F6">
        <v>0</v>
      </c>
      <c r="G6">
        <v>1</v>
      </c>
      <c r="H6">
        <v>0</v>
      </c>
      <c r="I6">
        <v>0</v>
      </c>
      <c r="J6">
        <v>0</v>
      </c>
      <c r="K6">
        <v>0</v>
      </c>
      <c r="L6">
        <v>1</v>
      </c>
      <c r="M6">
        <v>1</v>
      </c>
      <c r="N6">
        <v>0</v>
      </c>
      <c r="O6">
        <v>0</v>
      </c>
      <c r="P6">
        <v>1</v>
      </c>
      <c r="Q6">
        <v>0</v>
      </c>
      <c r="R6">
        <v>0</v>
      </c>
      <c r="S6">
        <v>1</v>
      </c>
      <c r="T6">
        <v>0</v>
      </c>
      <c r="U6">
        <v>0</v>
      </c>
      <c r="V6">
        <v>0</v>
      </c>
      <c r="W6">
        <v>1</v>
      </c>
      <c r="X6">
        <v>0</v>
      </c>
      <c r="Y6">
        <v>0</v>
      </c>
      <c r="Z6">
        <v>0</v>
      </c>
    </row>
    <row r="7" spans="1:26" x14ac:dyDescent="0.25">
      <c r="A7">
        <v>73</v>
      </c>
      <c r="B7">
        <v>32</v>
      </c>
      <c r="C7">
        <v>0</v>
      </c>
      <c r="D7">
        <v>2034</v>
      </c>
      <c r="E7">
        <v>10</v>
      </c>
      <c r="F7">
        <v>0</v>
      </c>
      <c r="G7">
        <v>0</v>
      </c>
      <c r="H7">
        <v>1</v>
      </c>
      <c r="I7">
        <v>0</v>
      </c>
      <c r="J7">
        <v>1</v>
      </c>
      <c r="K7">
        <v>0</v>
      </c>
      <c r="L7">
        <v>0</v>
      </c>
      <c r="M7">
        <v>0</v>
      </c>
      <c r="N7">
        <v>0</v>
      </c>
      <c r="O7">
        <v>0</v>
      </c>
      <c r="P7">
        <v>1</v>
      </c>
      <c r="Q7">
        <v>1</v>
      </c>
      <c r="R7">
        <v>0</v>
      </c>
      <c r="S7">
        <v>0</v>
      </c>
      <c r="T7">
        <v>0</v>
      </c>
      <c r="U7">
        <v>0</v>
      </c>
      <c r="V7">
        <v>0</v>
      </c>
      <c r="W7">
        <v>0</v>
      </c>
      <c r="X7">
        <v>1</v>
      </c>
      <c r="Y7">
        <v>0</v>
      </c>
      <c r="Z7">
        <v>0</v>
      </c>
    </row>
    <row r="8" spans="1:26" x14ac:dyDescent="0.25">
      <c r="A8">
        <v>103</v>
      </c>
      <c r="B8">
        <v>5</v>
      </c>
      <c r="C8">
        <v>1</v>
      </c>
      <c r="D8">
        <v>2959</v>
      </c>
      <c r="E8">
        <v>7</v>
      </c>
      <c r="F8">
        <v>0</v>
      </c>
      <c r="G8">
        <v>0</v>
      </c>
      <c r="H8">
        <v>0</v>
      </c>
      <c r="I8">
        <v>1</v>
      </c>
      <c r="J8">
        <v>0</v>
      </c>
      <c r="K8">
        <v>0</v>
      </c>
      <c r="L8">
        <v>1</v>
      </c>
      <c r="M8">
        <v>0</v>
      </c>
      <c r="N8">
        <v>0</v>
      </c>
      <c r="O8">
        <v>0</v>
      </c>
      <c r="P8">
        <v>1</v>
      </c>
      <c r="Q8">
        <v>0</v>
      </c>
      <c r="R8">
        <v>0</v>
      </c>
      <c r="S8">
        <v>1</v>
      </c>
      <c r="T8">
        <v>0</v>
      </c>
      <c r="U8">
        <v>1</v>
      </c>
      <c r="V8">
        <v>0</v>
      </c>
      <c r="W8">
        <v>0</v>
      </c>
      <c r="X8">
        <v>0</v>
      </c>
      <c r="Y8">
        <v>0</v>
      </c>
      <c r="Z8">
        <v>0</v>
      </c>
    </row>
    <row r="9" spans="1:26" x14ac:dyDescent="0.25">
      <c r="A9">
        <v>75</v>
      </c>
      <c r="B9">
        <v>19</v>
      </c>
      <c r="C9">
        <v>0</v>
      </c>
      <c r="D9">
        <v>3025</v>
      </c>
      <c r="E9">
        <v>8</v>
      </c>
      <c r="F9">
        <v>0</v>
      </c>
      <c r="G9">
        <v>1</v>
      </c>
      <c r="H9">
        <v>0</v>
      </c>
      <c r="I9">
        <v>0</v>
      </c>
      <c r="J9">
        <v>1</v>
      </c>
      <c r="K9">
        <v>0</v>
      </c>
      <c r="L9">
        <v>0</v>
      </c>
      <c r="M9">
        <v>0</v>
      </c>
      <c r="N9">
        <v>0</v>
      </c>
      <c r="O9">
        <v>0</v>
      </c>
      <c r="P9">
        <v>1</v>
      </c>
      <c r="Q9">
        <v>0</v>
      </c>
      <c r="R9">
        <v>1</v>
      </c>
      <c r="S9">
        <v>0</v>
      </c>
      <c r="T9">
        <v>0</v>
      </c>
      <c r="U9">
        <v>0</v>
      </c>
      <c r="V9">
        <v>0</v>
      </c>
      <c r="W9">
        <v>1</v>
      </c>
      <c r="X9">
        <v>0</v>
      </c>
      <c r="Y9">
        <v>0</v>
      </c>
      <c r="Z9">
        <v>0</v>
      </c>
    </row>
    <row r="10" spans="1:26" x14ac:dyDescent="0.25">
      <c r="A10">
        <v>160</v>
      </c>
      <c r="B10">
        <v>34</v>
      </c>
      <c r="C10">
        <v>0</v>
      </c>
      <c r="D10">
        <v>732</v>
      </c>
      <c r="E10">
        <v>6</v>
      </c>
      <c r="F10">
        <v>1</v>
      </c>
      <c r="G10">
        <v>0</v>
      </c>
      <c r="H10">
        <v>0</v>
      </c>
      <c r="I10">
        <v>0</v>
      </c>
      <c r="J10">
        <v>1</v>
      </c>
      <c r="K10">
        <v>0</v>
      </c>
      <c r="L10">
        <v>0</v>
      </c>
      <c r="M10">
        <v>0</v>
      </c>
      <c r="N10">
        <v>1</v>
      </c>
      <c r="O10">
        <v>0</v>
      </c>
      <c r="P10">
        <v>0</v>
      </c>
      <c r="Q10">
        <v>0</v>
      </c>
      <c r="R10">
        <v>0</v>
      </c>
      <c r="S10">
        <v>1</v>
      </c>
      <c r="T10">
        <v>0</v>
      </c>
      <c r="U10">
        <v>0</v>
      </c>
      <c r="V10">
        <v>1</v>
      </c>
      <c r="W10">
        <v>0</v>
      </c>
      <c r="X10">
        <v>0</v>
      </c>
      <c r="Y10">
        <v>0</v>
      </c>
      <c r="Z10">
        <v>0</v>
      </c>
    </row>
    <row r="11" spans="1:26" x14ac:dyDescent="0.25">
      <c r="A11">
        <v>46</v>
      </c>
      <c r="B11">
        <v>12</v>
      </c>
      <c r="C11">
        <v>1</v>
      </c>
      <c r="D11">
        <v>2034</v>
      </c>
      <c r="E11">
        <v>3</v>
      </c>
      <c r="F11">
        <v>1</v>
      </c>
      <c r="G11">
        <v>0</v>
      </c>
      <c r="H11">
        <v>0</v>
      </c>
      <c r="I11">
        <v>0</v>
      </c>
      <c r="J11">
        <v>0</v>
      </c>
      <c r="K11">
        <v>0</v>
      </c>
      <c r="L11">
        <v>1</v>
      </c>
      <c r="M11">
        <v>0</v>
      </c>
      <c r="N11">
        <v>0</v>
      </c>
      <c r="O11">
        <v>0</v>
      </c>
      <c r="P11">
        <v>1</v>
      </c>
      <c r="Q11">
        <v>0</v>
      </c>
      <c r="R11">
        <v>0</v>
      </c>
      <c r="S11">
        <v>1</v>
      </c>
      <c r="T11">
        <v>0</v>
      </c>
      <c r="U11">
        <v>0</v>
      </c>
      <c r="V11">
        <v>0</v>
      </c>
      <c r="W11">
        <v>0</v>
      </c>
      <c r="X11">
        <v>0</v>
      </c>
      <c r="Y11">
        <v>1</v>
      </c>
      <c r="Z11">
        <v>0</v>
      </c>
    </row>
    <row r="12" spans="1:26" x14ac:dyDescent="0.25">
      <c r="A12">
        <v>139</v>
      </c>
      <c r="B12">
        <v>20</v>
      </c>
      <c r="C12">
        <v>1</v>
      </c>
      <c r="D12">
        <v>2034</v>
      </c>
      <c r="E12">
        <v>5</v>
      </c>
      <c r="F12">
        <v>0</v>
      </c>
      <c r="G12">
        <v>0</v>
      </c>
      <c r="H12">
        <v>1</v>
      </c>
      <c r="I12">
        <v>0</v>
      </c>
      <c r="J12">
        <v>1</v>
      </c>
      <c r="K12">
        <v>0</v>
      </c>
      <c r="L12">
        <v>0</v>
      </c>
      <c r="M12">
        <v>0</v>
      </c>
      <c r="N12">
        <v>0</v>
      </c>
      <c r="O12">
        <v>0</v>
      </c>
      <c r="P12">
        <v>1</v>
      </c>
      <c r="Q12">
        <v>0</v>
      </c>
      <c r="R12">
        <v>1</v>
      </c>
      <c r="S12">
        <v>0</v>
      </c>
      <c r="T12">
        <v>0</v>
      </c>
      <c r="U12">
        <v>1</v>
      </c>
      <c r="V12">
        <v>0</v>
      </c>
      <c r="W12">
        <v>0</v>
      </c>
      <c r="X12">
        <v>0</v>
      </c>
      <c r="Y12">
        <v>0</v>
      </c>
      <c r="Z12">
        <v>0</v>
      </c>
    </row>
    <row r="13" spans="1:26" x14ac:dyDescent="0.25">
      <c r="A13">
        <v>161</v>
      </c>
      <c r="B13">
        <v>33</v>
      </c>
      <c r="C13">
        <v>0</v>
      </c>
      <c r="D13">
        <v>3348</v>
      </c>
      <c r="E13">
        <v>3</v>
      </c>
      <c r="F13">
        <v>1</v>
      </c>
      <c r="G13">
        <v>0</v>
      </c>
      <c r="H13">
        <v>0</v>
      </c>
      <c r="I13">
        <v>0</v>
      </c>
      <c r="J13">
        <v>0</v>
      </c>
      <c r="K13">
        <v>0</v>
      </c>
      <c r="L13">
        <v>1</v>
      </c>
      <c r="M13">
        <v>0</v>
      </c>
      <c r="N13">
        <v>0</v>
      </c>
      <c r="O13">
        <v>0</v>
      </c>
      <c r="P13">
        <v>1</v>
      </c>
      <c r="Q13">
        <v>0</v>
      </c>
      <c r="R13">
        <v>0</v>
      </c>
      <c r="S13">
        <v>1</v>
      </c>
      <c r="T13">
        <v>1</v>
      </c>
      <c r="U13">
        <v>0</v>
      </c>
      <c r="V13">
        <v>0</v>
      </c>
      <c r="W13">
        <v>0</v>
      </c>
      <c r="X13">
        <v>0</v>
      </c>
      <c r="Y13">
        <v>0</v>
      </c>
      <c r="Z13">
        <v>0</v>
      </c>
    </row>
    <row r="14" spans="1:26" x14ac:dyDescent="0.25">
      <c r="A14">
        <v>164</v>
      </c>
      <c r="B14">
        <v>48</v>
      </c>
      <c r="C14">
        <v>1</v>
      </c>
      <c r="D14">
        <v>2700</v>
      </c>
      <c r="E14">
        <v>4</v>
      </c>
      <c r="F14">
        <v>1</v>
      </c>
      <c r="G14">
        <v>0</v>
      </c>
      <c r="H14">
        <v>0</v>
      </c>
      <c r="I14">
        <v>0</v>
      </c>
      <c r="J14">
        <v>0</v>
      </c>
      <c r="K14">
        <v>0</v>
      </c>
      <c r="L14">
        <v>1</v>
      </c>
      <c r="M14">
        <v>1</v>
      </c>
      <c r="N14">
        <v>0</v>
      </c>
      <c r="O14">
        <v>0</v>
      </c>
      <c r="P14">
        <v>1</v>
      </c>
      <c r="Q14">
        <v>0</v>
      </c>
      <c r="R14">
        <v>0</v>
      </c>
      <c r="S14">
        <v>1</v>
      </c>
      <c r="T14">
        <v>0</v>
      </c>
      <c r="U14">
        <v>0</v>
      </c>
      <c r="V14">
        <v>1</v>
      </c>
      <c r="W14">
        <v>0</v>
      </c>
      <c r="X14">
        <v>0</v>
      </c>
      <c r="Y14">
        <v>0</v>
      </c>
      <c r="Z14">
        <v>0</v>
      </c>
    </row>
    <row r="15" spans="1:26" x14ac:dyDescent="0.25">
      <c r="A15">
        <v>127</v>
      </c>
      <c r="B15">
        <v>40</v>
      </c>
      <c r="C15">
        <v>0</v>
      </c>
      <c r="D15">
        <v>2034</v>
      </c>
      <c r="E15">
        <v>8</v>
      </c>
      <c r="F15">
        <v>1</v>
      </c>
      <c r="G15">
        <v>0</v>
      </c>
      <c r="H15">
        <v>0</v>
      </c>
      <c r="I15">
        <v>0</v>
      </c>
      <c r="J15">
        <v>0</v>
      </c>
      <c r="K15">
        <v>0</v>
      </c>
      <c r="L15">
        <v>1</v>
      </c>
      <c r="M15">
        <v>0</v>
      </c>
      <c r="N15">
        <v>0</v>
      </c>
      <c r="O15">
        <v>0</v>
      </c>
      <c r="P15">
        <v>1</v>
      </c>
      <c r="Q15">
        <v>0</v>
      </c>
      <c r="R15">
        <v>1</v>
      </c>
      <c r="S15">
        <v>0</v>
      </c>
      <c r="T15">
        <v>0</v>
      </c>
      <c r="U15">
        <v>0</v>
      </c>
      <c r="V15">
        <v>0</v>
      </c>
      <c r="W15">
        <v>0</v>
      </c>
      <c r="X15">
        <v>1</v>
      </c>
      <c r="Y15">
        <v>0</v>
      </c>
      <c r="Z15">
        <v>0</v>
      </c>
    </row>
    <row r="16" spans="1:26" x14ac:dyDescent="0.25">
      <c r="A16">
        <v>153</v>
      </c>
      <c r="B16">
        <v>38</v>
      </c>
      <c r="C16">
        <v>1</v>
      </c>
      <c r="D16">
        <v>3348</v>
      </c>
      <c r="E16">
        <v>10</v>
      </c>
      <c r="F16">
        <v>1</v>
      </c>
      <c r="G16">
        <v>0</v>
      </c>
      <c r="H16">
        <v>0</v>
      </c>
      <c r="I16">
        <v>0</v>
      </c>
      <c r="J16">
        <v>0</v>
      </c>
      <c r="K16">
        <v>1</v>
      </c>
      <c r="L16">
        <v>0</v>
      </c>
      <c r="M16">
        <v>0</v>
      </c>
      <c r="N16">
        <v>0</v>
      </c>
      <c r="O16">
        <v>0</v>
      </c>
      <c r="P16">
        <v>1</v>
      </c>
      <c r="Q16">
        <v>0</v>
      </c>
      <c r="R16">
        <v>0</v>
      </c>
      <c r="S16">
        <v>1</v>
      </c>
      <c r="T16">
        <v>0</v>
      </c>
      <c r="U16">
        <v>0</v>
      </c>
      <c r="V16">
        <v>0</v>
      </c>
      <c r="W16">
        <v>0</v>
      </c>
      <c r="X16">
        <v>0</v>
      </c>
      <c r="Y16">
        <v>1</v>
      </c>
      <c r="Z16">
        <v>0</v>
      </c>
    </row>
    <row r="17" spans="1:26" x14ac:dyDescent="0.25">
      <c r="A17">
        <v>127</v>
      </c>
      <c r="B17">
        <v>40</v>
      </c>
      <c r="C17">
        <v>1</v>
      </c>
      <c r="D17">
        <v>2959</v>
      </c>
      <c r="E17">
        <v>8</v>
      </c>
      <c r="F17">
        <v>1</v>
      </c>
      <c r="G17">
        <v>0</v>
      </c>
      <c r="H17">
        <v>0</v>
      </c>
      <c r="I17">
        <v>0</v>
      </c>
      <c r="J17">
        <v>0</v>
      </c>
      <c r="K17">
        <v>0</v>
      </c>
      <c r="L17">
        <v>1</v>
      </c>
      <c r="M17">
        <v>0</v>
      </c>
      <c r="N17">
        <v>0</v>
      </c>
      <c r="O17">
        <v>0</v>
      </c>
      <c r="P17">
        <v>1</v>
      </c>
      <c r="Q17">
        <v>0</v>
      </c>
      <c r="R17">
        <v>1</v>
      </c>
      <c r="S17">
        <v>0</v>
      </c>
      <c r="T17">
        <v>0</v>
      </c>
      <c r="U17">
        <v>0</v>
      </c>
      <c r="V17">
        <v>0</v>
      </c>
      <c r="W17">
        <v>0</v>
      </c>
      <c r="X17">
        <v>0</v>
      </c>
      <c r="Y17">
        <v>0</v>
      </c>
      <c r="Z17">
        <v>1</v>
      </c>
    </row>
    <row r="18" spans="1:26" x14ac:dyDescent="0.25">
      <c r="A18">
        <v>36</v>
      </c>
      <c r="B18">
        <v>30</v>
      </c>
      <c r="C18">
        <v>1</v>
      </c>
      <c r="D18">
        <v>3025</v>
      </c>
      <c r="E18">
        <v>8</v>
      </c>
      <c r="F18">
        <v>0</v>
      </c>
      <c r="G18">
        <v>0</v>
      </c>
      <c r="H18">
        <v>1</v>
      </c>
      <c r="I18">
        <v>0</v>
      </c>
      <c r="J18">
        <v>0</v>
      </c>
      <c r="K18">
        <v>1</v>
      </c>
      <c r="L18">
        <v>0</v>
      </c>
      <c r="M18">
        <v>0</v>
      </c>
      <c r="N18">
        <v>0</v>
      </c>
      <c r="O18">
        <v>0</v>
      </c>
      <c r="P18">
        <v>1</v>
      </c>
      <c r="Q18">
        <v>0</v>
      </c>
      <c r="R18">
        <v>0</v>
      </c>
      <c r="S18">
        <v>1</v>
      </c>
      <c r="T18">
        <v>1</v>
      </c>
      <c r="U18">
        <v>0</v>
      </c>
      <c r="V18">
        <v>0</v>
      </c>
      <c r="W18">
        <v>0</v>
      </c>
      <c r="X18">
        <v>0</v>
      </c>
      <c r="Y18">
        <v>0</v>
      </c>
      <c r="Z18">
        <v>0</v>
      </c>
    </row>
    <row r="19" spans="1:26" x14ac:dyDescent="0.25">
      <c r="A19">
        <v>52</v>
      </c>
      <c r="B19">
        <v>48</v>
      </c>
      <c r="C19">
        <v>0</v>
      </c>
      <c r="D19">
        <v>3025</v>
      </c>
      <c r="E19">
        <v>8</v>
      </c>
      <c r="F19">
        <v>0</v>
      </c>
      <c r="G19">
        <v>0</v>
      </c>
      <c r="H19">
        <v>0</v>
      </c>
      <c r="I19">
        <v>1</v>
      </c>
      <c r="J19">
        <v>1</v>
      </c>
      <c r="K19">
        <v>0</v>
      </c>
      <c r="L19">
        <v>0</v>
      </c>
      <c r="M19">
        <v>0</v>
      </c>
      <c r="N19">
        <v>0</v>
      </c>
      <c r="O19">
        <v>0</v>
      </c>
      <c r="P19">
        <v>1</v>
      </c>
      <c r="Q19">
        <v>0</v>
      </c>
      <c r="R19">
        <v>1</v>
      </c>
      <c r="S19">
        <v>0</v>
      </c>
      <c r="T19">
        <v>0</v>
      </c>
      <c r="U19">
        <v>0</v>
      </c>
      <c r="V19">
        <v>1</v>
      </c>
      <c r="W19">
        <v>0</v>
      </c>
      <c r="X19">
        <v>0</v>
      </c>
      <c r="Y19">
        <v>0</v>
      </c>
      <c r="Z19">
        <v>0</v>
      </c>
    </row>
    <row r="20" spans="1:26" x14ac:dyDescent="0.25">
      <c r="A20">
        <v>159</v>
      </c>
      <c r="B20">
        <v>43</v>
      </c>
      <c r="C20">
        <v>1</v>
      </c>
      <c r="D20">
        <v>732</v>
      </c>
      <c r="E20">
        <v>4</v>
      </c>
      <c r="F20">
        <v>0</v>
      </c>
      <c r="G20">
        <v>0</v>
      </c>
      <c r="H20">
        <v>0</v>
      </c>
      <c r="I20">
        <v>1</v>
      </c>
      <c r="J20">
        <v>0</v>
      </c>
      <c r="K20">
        <v>1</v>
      </c>
      <c r="L20">
        <v>0</v>
      </c>
      <c r="M20">
        <v>0</v>
      </c>
      <c r="N20">
        <v>1</v>
      </c>
      <c r="O20">
        <v>0</v>
      </c>
      <c r="P20">
        <v>0</v>
      </c>
      <c r="Q20">
        <v>0</v>
      </c>
      <c r="R20">
        <v>0</v>
      </c>
      <c r="S20">
        <v>1</v>
      </c>
      <c r="T20">
        <v>0</v>
      </c>
      <c r="U20">
        <v>0</v>
      </c>
      <c r="V20">
        <v>0</v>
      </c>
      <c r="W20">
        <v>0</v>
      </c>
      <c r="X20">
        <v>0</v>
      </c>
      <c r="Y20">
        <v>0</v>
      </c>
      <c r="Z20">
        <v>1</v>
      </c>
    </row>
    <row r="21" spans="1:26" x14ac:dyDescent="0.25">
      <c r="A21">
        <v>110</v>
      </c>
      <c r="B21">
        <v>19</v>
      </c>
      <c r="C21">
        <v>0</v>
      </c>
      <c r="D21">
        <v>1282</v>
      </c>
      <c r="E21">
        <v>2</v>
      </c>
      <c r="F21">
        <v>1</v>
      </c>
      <c r="G21">
        <v>0</v>
      </c>
      <c r="H21">
        <v>0</v>
      </c>
      <c r="I21">
        <v>0</v>
      </c>
      <c r="J21">
        <v>1</v>
      </c>
      <c r="K21">
        <v>0</v>
      </c>
      <c r="L21">
        <v>0</v>
      </c>
      <c r="M21">
        <v>0</v>
      </c>
      <c r="N21">
        <v>0</v>
      </c>
      <c r="O21">
        <v>0</v>
      </c>
      <c r="P21">
        <v>1</v>
      </c>
      <c r="Q21">
        <v>0</v>
      </c>
      <c r="R21">
        <v>0</v>
      </c>
      <c r="S21">
        <v>1</v>
      </c>
      <c r="T21">
        <v>0</v>
      </c>
      <c r="U21">
        <v>0</v>
      </c>
      <c r="V21">
        <v>0</v>
      </c>
      <c r="W21">
        <v>0</v>
      </c>
      <c r="X21">
        <v>0</v>
      </c>
      <c r="Y21">
        <v>1</v>
      </c>
      <c r="Z21">
        <v>0</v>
      </c>
    </row>
    <row r="22" spans="1:26" x14ac:dyDescent="0.25">
      <c r="A22">
        <v>119</v>
      </c>
      <c r="B22">
        <v>21</v>
      </c>
      <c r="C22">
        <v>0</v>
      </c>
      <c r="D22">
        <v>3773</v>
      </c>
      <c r="E22">
        <v>3</v>
      </c>
      <c r="F22">
        <v>1</v>
      </c>
      <c r="G22">
        <v>0</v>
      </c>
      <c r="H22">
        <v>0</v>
      </c>
      <c r="I22">
        <v>0</v>
      </c>
      <c r="J22">
        <v>1</v>
      </c>
      <c r="K22">
        <v>0</v>
      </c>
      <c r="L22">
        <v>0</v>
      </c>
      <c r="M22">
        <v>0</v>
      </c>
      <c r="N22">
        <v>1</v>
      </c>
      <c r="O22">
        <v>0</v>
      </c>
      <c r="P22">
        <v>0</v>
      </c>
      <c r="Q22">
        <v>0</v>
      </c>
      <c r="R22">
        <v>0</v>
      </c>
      <c r="S22">
        <v>1</v>
      </c>
      <c r="T22">
        <v>1</v>
      </c>
      <c r="U22">
        <v>0</v>
      </c>
      <c r="V22">
        <v>0</v>
      </c>
      <c r="W22">
        <v>0</v>
      </c>
      <c r="X22">
        <v>0</v>
      </c>
      <c r="Y22">
        <v>0</v>
      </c>
      <c r="Z22">
        <v>0</v>
      </c>
    </row>
    <row r="23" spans="1:26" x14ac:dyDescent="0.25">
      <c r="A23">
        <v>17</v>
      </c>
      <c r="B23">
        <v>17</v>
      </c>
      <c r="C23">
        <v>1</v>
      </c>
      <c r="D23">
        <v>2959</v>
      </c>
      <c r="E23">
        <v>10</v>
      </c>
      <c r="F23">
        <v>0</v>
      </c>
      <c r="G23">
        <v>0</v>
      </c>
      <c r="H23">
        <v>1</v>
      </c>
      <c r="I23">
        <v>0</v>
      </c>
      <c r="J23">
        <v>0</v>
      </c>
      <c r="K23">
        <v>0</v>
      </c>
      <c r="L23">
        <v>1</v>
      </c>
      <c r="M23">
        <v>0</v>
      </c>
      <c r="N23">
        <v>0</v>
      </c>
      <c r="O23">
        <v>0</v>
      </c>
      <c r="P23">
        <v>1</v>
      </c>
      <c r="Q23">
        <v>0</v>
      </c>
      <c r="R23">
        <v>0</v>
      </c>
      <c r="S23">
        <v>1</v>
      </c>
      <c r="T23">
        <v>0</v>
      </c>
      <c r="U23">
        <v>0</v>
      </c>
      <c r="V23">
        <v>1</v>
      </c>
      <c r="W23">
        <v>0</v>
      </c>
      <c r="X23">
        <v>0</v>
      </c>
      <c r="Y23">
        <v>0</v>
      </c>
      <c r="Z23">
        <v>0</v>
      </c>
    </row>
    <row r="24" spans="1:26" x14ac:dyDescent="0.25">
      <c r="A24">
        <v>65</v>
      </c>
      <c r="B24">
        <v>24</v>
      </c>
      <c r="C24">
        <v>0</v>
      </c>
      <c r="D24">
        <v>315</v>
      </c>
      <c r="E24">
        <v>6</v>
      </c>
      <c r="F24">
        <v>1</v>
      </c>
      <c r="G24">
        <v>0</v>
      </c>
      <c r="H24">
        <v>0</v>
      </c>
      <c r="I24">
        <v>0</v>
      </c>
      <c r="J24">
        <v>1</v>
      </c>
      <c r="K24">
        <v>0</v>
      </c>
      <c r="L24">
        <v>0</v>
      </c>
      <c r="M24">
        <v>0</v>
      </c>
      <c r="N24">
        <v>1</v>
      </c>
      <c r="O24">
        <v>0</v>
      </c>
      <c r="P24">
        <v>0</v>
      </c>
      <c r="Q24">
        <v>0</v>
      </c>
      <c r="R24">
        <v>0</v>
      </c>
      <c r="S24">
        <v>1</v>
      </c>
      <c r="T24">
        <v>0</v>
      </c>
      <c r="U24">
        <v>1</v>
      </c>
      <c r="V24">
        <v>0</v>
      </c>
      <c r="W24">
        <v>0</v>
      </c>
      <c r="X24">
        <v>0</v>
      </c>
      <c r="Y24">
        <v>0</v>
      </c>
      <c r="Z24">
        <v>0</v>
      </c>
    </row>
    <row r="25" spans="1:26" x14ac:dyDescent="0.25">
      <c r="A25">
        <v>57</v>
      </c>
      <c r="B25">
        <v>20</v>
      </c>
      <c r="C25">
        <v>1</v>
      </c>
      <c r="D25">
        <v>3025</v>
      </c>
      <c r="E25">
        <v>0</v>
      </c>
      <c r="F25">
        <v>0</v>
      </c>
      <c r="G25">
        <v>0</v>
      </c>
      <c r="H25">
        <v>1</v>
      </c>
      <c r="I25">
        <v>0</v>
      </c>
      <c r="J25">
        <v>1</v>
      </c>
      <c r="K25">
        <v>0</v>
      </c>
      <c r="L25">
        <v>0</v>
      </c>
      <c r="M25">
        <v>0</v>
      </c>
      <c r="N25">
        <v>0</v>
      </c>
      <c r="O25">
        <v>0</v>
      </c>
      <c r="P25">
        <v>1</v>
      </c>
      <c r="Q25">
        <v>0</v>
      </c>
      <c r="R25">
        <v>1</v>
      </c>
      <c r="S25">
        <v>0</v>
      </c>
      <c r="T25">
        <v>1</v>
      </c>
      <c r="U25">
        <v>0</v>
      </c>
      <c r="V25">
        <v>0</v>
      </c>
      <c r="W25">
        <v>0</v>
      </c>
      <c r="X25">
        <v>0</v>
      </c>
      <c r="Y25">
        <v>0</v>
      </c>
      <c r="Z25">
        <v>0</v>
      </c>
    </row>
    <row r="26" spans="1:26" x14ac:dyDescent="0.25">
      <c r="A26">
        <v>184</v>
      </c>
      <c r="B26">
        <v>52</v>
      </c>
      <c r="C26">
        <v>1</v>
      </c>
      <c r="D26">
        <v>188</v>
      </c>
      <c r="E26">
        <v>3</v>
      </c>
      <c r="F26">
        <v>0</v>
      </c>
      <c r="G26">
        <v>1</v>
      </c>
      <c r="H26">
        <v>0</v>
      </c>
      <c r="I26">
        <v>0</v>
      </c>
      <c r="J26">
        <v>0</v>
      </c>
      <c r="K26">
        <v>0</v>
      </c>
      <c r="L26">
        <v>1</v>
      </c>
      <c r="M26">
        <v>0</v>
      </c>
      <c r="N26">
        <v>0</v>
      </c>
      <c r="O26">
        <v>1</v>
      </c>
      <c r="P26">
        <v>0</v>
      </c>
      <c r="Q26">
        <v>0</v>
      </c>
      <c r="R26">
        <v>1</v>
      </c>
      <c r="S26">
        <v>0</v>
      </c>
      <c r="T26">
        <v>0</v>
      </c>
      <c r="U26">
        <v>0</v>
      </c>
      <c r="V26">
        <v>0</v>
      </c>
      <c r="W26">
        <v>0</v>
      </c>
      <c r="X26">
        <v>0</v>
      </c>
      <c r="Y26">
        <v>0</v>
      </c>
      <c r="Z26">
        <v>1</v>
      </c>
    </row>
    <row r="27" spans="1:26" x14ac:dyDescent="0.25">
      <c r="A27">
        <v>17</v>
      </c>
      <c r="B27">
        <v>14</v>
      </c>
      <c r="C27">
        <v>1</v>
      </c>
      <c r="D27">
        <v>188</v>
      </c>
      <c r="E27">
        <v>10</v>
      </c>
      <c r="F27">
        <v>0</v>
      </c>
      <c r="G27">
        <v>0</v>
      </c>
      <c r="H27">
        <v>1</v>
      </c>
      <c r="I27">
        <v>0</v>
      </c>
      <c r="J27">
        <v>1</v>
      </c>
      <c r="K27">
        <v>0</v>
      </c>
      <c r="L27">
        <v>0</v>
      </c>
      <c r="M27">
        <v>0</v>
      </c>
      <c r="N27">
        <v>0</v>
      </c>
      <c r="O27">
        <v>1</v>
      </c>
      <c r="P27">
        <v>0</v>
      </c>
      <c r="Q27">
        <v>0</v>
      </c>
      <c r="R27">
        <v>0</v>
      </c>
      <c r="S27">
        <v>1</v>
      </c>
      <c r="T27">
        <v>0</v>
      </c>
      <c r="U27">
        <v>0</v>
      </c>
      <c r="V27">
        <v>0</v>
      </c>
      <c r="W27">
        <v>1</v>
      </c>
      <c r="X27">
        <v>0</v>
      </c>
      <c r="Y27">
        <v>0</v>
      </c>
      <c r="Z27">
        <v>0</v>
      </c>
    </row>
    <row r="28" spans="1:26" x14ac:dyDescent="0.25">
      <c r="A28">
        <v>85</v>
      </c>
      <c r="B28">
        <v>43</v>
      </c>
      <c r="C28">
        <v>1</v>
      </c>
      <c r="D28">
        <v>2034</v>
      </c>
      <c r="E28">
        <v>5</v>
      </c>
      <c r="F28">
        <v>0</v>
      </c>
      <c r="G28">
        <v>0</v>
      </c>
      <c r="H28">
        <v>0</v>
      </c>
      <c r="I28">
        <v>1</v>
      </c>
      <c r="J28">
        <v>1</v>
      </c>
      <c r="K28">
        <v>0</v>
      </c>
      <c r="L28">
        <v>0</v>
      </c>
      <c r="M28">
        <v>0</v>
      </c>
      <c r="N28">
        <v>0</v>
      </c>
      <c r="O28">
        <v>0</v>
      </c>
      <c r="P28">
        <v>1</v>
      </c>
      <c r="Q28">
        <v>0</v>
      </c>
      <c r="R28">
        <v>1</v>
      </c>
      <c r="S28">
        <v>0</v>
      </c>
      <c r="T28">
        <v>0</v>
      </c>
      <c r="U28">
        <v>0</v>
      </c>
      <c r="V28">
        <v>0</v>
      </c>
      <c r="W28">
        <v>0</v>
      </c>
      <c r="X28">
        <v>0</v>
      </c>
      <c r="Y28">
        <v>0</v>
      </c>
      <c r="Z28">
        <v>1</v>
      </c>
    </row>
    <row r="29" spans="1:26" x14ac:dyDescent="0.25">
      <c r="A29">
        <v>85</v>
      </c>
      <c r="B29">
        <v>37</v>
      </c>
      <c r="C29">
        <v>1</v>
      </c>
      <c r="D29">
        <v>2916</v>
      </c>
      <c r="E29">
        <v>4</v>
      </c>
      <c r="F29">
        <v>0</v>
      </c>
      <c r="G29">
        <v>1</v>
      </c>
      <c r="H29">
        <v>0</v>
      </c>
      <c r="I29">
        <v>0</v>
      </c>
      <c r="J29">
        <v>0</v>
      </c>
      <c r="K29">
        <v>1</v>
      </c>
      <c r="L29">
        <v>0</v>
      </c>
      <c r="M29">
        <v>0</v>
      </c>
      <c r="N29">
        <v>0</v>
      </c>
      <c r="O29">
        <v>1</v>
      </c>
      <c r="P29">
        <v>0</v>
      </c>
      <c r="Q29">
        <v>1</v>
      </c>
      <c r="R29">
        <v>0</v>
      </c>
      <c r="S29">
        <v>0</v>
      </c>
      <c r="T29">
        <v>1</v>
      </c>
      <c r="U29">
        <v>0</v>
      </c>
      <c r="V29">
        <v>0</v>
      </c>
      <c r="W29">
        <v>0</v>
      </c>
      <c r="X29">
        <v>0</v>
      </c>
      <c r="Y29">
        <v>0</v>
      </c>
      <c r="Z29">
        <v>0</v>
      </c>
    </row>
    <row r="30" spans="1:26" x14ac:dyDescent="0.25">
      <c r="A30">
        <v>123</v>
      </c>
      <c r="B30">
        <v>26</v>
      </c>
      <c r="C30">
        <v>1</v>
      </c>
      <c r="D30">
        <v>2916</v>
      </c>
      <c r="E30">
        <v>4</v>
      </c>
      <c r="F30">
        <v>1</v>
      </c>
      <c r="G30">
        <v>0</v>
      </c>
      <c r="H30">
        <v>0</v>
      </c>
      <c r="I30">
        <v>0</v>
      </c>
      <c r="J30">
        <v>0</v>
      </c>
      <c r="K30">
        <v>0</v>
      </c>
      <c r="L30">
        <v>1</v>
      </c>
      <c r="M30">
        <v>0</v>
      </c>
      <c r="N30">
        <v>0</v>
      </c>
      <c r="O30">
        <v>1</v>
      </c>
      <c r="P30">
        <v>0</v>
      </c>
      <c r="Q30">
        <v>0</v>
      </c>
      <c r="R30">
        <v>0</v>
      </c>
      <c r="S30">
        <v>1</v>
      </c>
      <c r="T30">
        <v>0</v>
      </c>
      <c r="U30">
        <v>0</v>
      </c>
      <c r="V30">
        <v>1</v>
      </c>
      <c r="W30">
        <v>0</v>
      </c>
      <c r="X30">
        <v>0</v>
      </c>
      <c r="Y30">
        <v>0</v>
      </c>
      <c r="Z30">
        <v>0</v>
      </c>
    </row>
    <row r="31" spans="1:26" x14ac:dyDescent="0.25">
      <c r="A31">
        <v>130</v>
      </c>
      <c r="B31">
        <v>41</v>
      </c>
      <c r="C31">
        <v>0</v>
      </c>
      <c r="D31">
        <v>1467</v>
      </c>
      <c r="E31">
        <v>3</v>
      </c>
      <c r="F31">
        <v>0</v>
      </c>
      <c r="G31">
        <v>1</v>
      </c>
      <c r="H31">
        <v>0</v>
      </c>
      <c r="I31">
        <v>0</v>
      </c>
      <c r="J31">
        <v>1</v>
      </c>
      <c r="K31">
        <v>0</v>
      </c>
      <c r="L31">
        <v>0</v>
      </c>
      <c r="M31">
        <v>1</v>
      </c>
      <c r="N31">
        <v>0</v>
      </c>
      <c r="O31">
        <v>1</v>
      </c>
      <c r="P31">
        <v>0</v>
      </c>
      <c r="Q31">
        <v>0</v>
      </c>
      <c r="R31">
        <v>1</v>
      </c>
      <c r="S31">
        <v>0</v>
      </c>
      <c r="T31">
        <v>0</v>
      </c>
      <c r="U31">
        <v>0</v>
      </c>
      <c r="V31">
        <v>0</v>
      </c>
      <c r="W31">
        <v>0</v>
      </c>
      <c r="X31">
        <v>0</v>
      </c>
      <c r="Y31">
        <v>1</v>
      </c>
      <c r="Z31">
        <v>0</v>
      </c>
    </row>
    <row r="32" spans="1:26" x14ac:dyDescent="0.25">
      <c r="A32">
        <v>82</v>
      </c>
      <c r="B32">
        <v>14</v>
      </c>
      <c r="C32">
        <v>0</v>
      </c>
      <c r="D32">
        <v>315</v>
      </c>
      <c r="E32">
        <v>1</v>
      </c>
      <c r="F32">
        <v>0</v>
      </c>
      <c r="G32">
        <v>0</v>
      </c>
      <c r="H32">
        <v>1</v>
      </c>
      <c r="I32">
        <v>0</v>
      </c>
      <c r="J32">
        <v>0</v>
      </c>
      <c r="K32">
        <v>1</v>
      </c>
      <c r="L32">
        <v>0</v>
      </c>
      <c r="M32">
        <v>0</v>
      </c>
      <c r="N32">
        <v>1</v>
      </c>
      <c r="O32">
        <v>0</v>
      </c>
      <c r="P32">
        <v>0</v>
      </c>
      <c r="Q32">
        <v>0</v>
      </c>
      <c r="R32">
        <v>0</v>
      </c>
      <c r="S32">
        <v>1</v>
      </c>
      <c r="T32">
        <v>0</v>
      </c>
      <c r="U32">
        <v>0</v>
      </c>
      <c r="V32">
        <v>0</v>
      </c>
      <c r="W32">
        <v>0</v>
      </c>
      <c r="X32">
        <v>0</v>
      </c>
      <c r="Y32">
        <v>0</v>
      </c>
      <c r="Z32">
        <v>1</v>
      </c>
    </row>
    <row r="33" spans="1:26" x14ac:dyDescent="0.25">
      <c r="A33">
        <v>66</v>
      </c>
      <c r="B33">
        <v>33</v>
      </c>
      <c r="C33">
        <v>1</v>
      </c>
      <c r="D33">
        <v>3025</v>
      </c>
      <c r="E33">
        <v>10</v>
      </c>
      <c r="F33">
        <v>0</v>
      </c>
      <c r="G33">
        <v>0</v>
      </c>
      <c r="H33">
        <v>1</v>
      </c>
      <c r="I33">
        <v>0</v>
      </c>
      <c r="J33">
        <v>0</v>
      </c>
      <c r="K33">
        <v>0</v>
      </c>
      <c r="L33">
        <v>1</v>
      </c>
      <c r="M33">
        <v>0</v>
      </c>
      <c r="N33">
        <v>0</v>
      </c>
      <c r="O33">
        <v>0</v>
      </c>
      <c r="P33">
        <v>1</v>
      </c>
      <c r="Q33">
        <v>0</v>
      </c>
      <c r="R33">
        <v>0</v>
      </c>
      <c r="S33">
        <v>1</v>
      </c>
      <c r="T33">
        <v>0</v>
      </c>
      <c r="U33">
        <v>0</v>
      </c>
      <c r="V33">
        <v>1</v>
      </c>
      <c r="W33">
        <v>0</v>
      </c>
      <c r="X33">
        <v>0</v>
      </c>
      <c r="Y33">
        <v>0</v>
      </c>
      <c r="Z33">
        <v>0</v>
      </c>
    </row>
    <row r="34" spans="1:26" x14ac:dyDescent="0.25">
      <c r="A34">
        <v>121</v>
      </c>
      <c r="B34">
        <v>13</v>
      </c>
      <c r="C34">
        <v>0</v>
      </c>
      <c r="D34">
        <v>2916</v>
      </c>
      <c r="E34">
        <v>9</v>
      </c>
      <c r="F34">
        <v>0</v>
      </c>
      <c r="G34">
        <v>0</v>
      </c>
      <c r="H34">
        <v>1</v>
      </c>
      <c r="I34">
        <v>0</v>
      </c>
      <c r="J34">
        <v>0</v>
      </c>
      <c r="K34">
        <v>0</v>
      </c>
      <c r="L34">
        <v>1</v>
      </c>
      <c r="M34">
        <v>0</v>
      </c>
      <c r="N34">
        <v>0</v>
      </c>
      <c r="O34">
        <v>1</v>
      </c>
      <c r="P34">
        <v>0</v>
      </c>
      <c r="Q34">
        <v>0</v>
      </c>
      <c r="R34">
        <v>0</v>
      </c>
      <c r="S34">
        <v>1</v>
      </c>
      <c r="T34">
        <v>0</v>
      </c>
      <c r="U34">
        <v>0</v>
      </c>
      <c r="V34">
        <v>0</v>
      </c>
      <c r="W34">
        <v>0</v>
      </c>
      <c r="X34">
        <v>0</v>
      </c>
      <c r="Y34">
        <v>1</v>
      </c>
      <c r="Z34">
        <v>0</v>
      </c>
    </row>
    <row r="35" spans="1:26" x14ac:dyDescent="0.25">
      <c r="A35">
        <v>20</v>
      </c>
      <c r="B35">
        <v>5</v>
      </c>
      <c r="C35">
        <v>0</v>
      </c>
      <c r="D35">
        <v>3981</v>
      </c>
      <c r="E35">
        <v>8</v>
      </c>
      <c r="F35">
        <v>0</v>
      </c>
      <c r="G35">
        <v>0</v>
      </c>
      <c r="H35">
        <v>0</v>
      </c>
      <c r="I35">
        <v>1</v>
      </c>
      <c r="J35">
        <v>0</v>
      </c>
      <c r="K35">
        <v>0</v>
      </c>
      <c r="L35">
        <v>1</v>
      </c>
      <c r="M35">
        <v>0</v>
      </c>
      <c r="N35">
        <v>1</v>
      </c>
      <c r="O35">
        <v>0</v>
      </c>
      <c r="P35">
        <v>0</v>
      </c>
      <c r="Q35">
        <v>0</v>
      </c>
      <c r="R35">
        <v>0</v>
      </c>
      <c r="S35">
        <v>1</v>
      </c>
      <c r="T35">
        <v>0</v>
      </c>
      <c r="U35">
        <v>0</v>
      </c>
      <c r="V35">
        <v>1</v>
      </c>
      <c r="W35">
        <v>0</v>
      </c>
      <c r="X35">
        <v>0</v>
      </c>
      <c r="Y35">
        <v>0</v>
      </c>
      <c r="Z35">
        <v>0</v>
      </c>
    </row>
    <row r="36" spans="1:26" x14ac:dyDescent="0.25">
      <c r="A36">
        <v>106</v>
      </c>
      <c r="B36">
        <v>37</v>
      </c>
      <c r="C36">
        <v>0</v>
      </c>
      <c r="D36">
        <v>1228</v>
      </c>
      <c r="E36">
        <v>3</v>
      </c>
      <c r="F36">
        <v>0</v>
      </c>
      <c r="G36">
        <v>0</v>
      </c>
      <c r="H36">
        <v>1</v>
      </c>
      <c r="I36">
        <v>0</v>
      </c>
      <c r="J36">
        <v>1</v>
      </c>
      <c r="K36">
        <v>0</v>
      </c>
      <c r="L36">
        <v>0</v>
      </c>
      <c r="M36">
        <v>0</v>
      </c>
      <c r="N36">
        <v>1</v>
      </c>
      <c r="O36">
        <v>0</v>
      </c>
      <c r="P36">
        <v>0</v>
      </c>
      <c r="Q36">
        <v>1</v>
      </c>
      <c r="R36">
        <v>0</v>
      </c>
      <c r="S36">
        <v>0</v>
      </c>
      <c r="T36">
        <v>0</v>
      </c>
      <c r="U36">
        <v>0</v>
      </c>
      <c r="V36">
        <v>0</v>
      </c>
      <c r="W36">
        <v>0</v>
      </c>
      <c r="X36">
        <v>0</v>
      </c>
      <c r="Y36">
        <v>0</v>
      </c>
      <c r="Z36">
        <v>1</v>
      </c>
    </row>
    <row r="37" spans="1:26" x14ac:dyDescent="0.25">
      <c r="A37">
        <v>102</v>
      </c>
      <c r="B37">
        <v>24</v>
      </c>
      <c r="C37">
        <v>0</v>
      </c>
      <c r="D37">
        <v>3773</v>
      </c>
      <c r="E37">
        <v>9</v>
      </c>
      <c r="F37">
        <v>0</v>
      </c>
      <c r="G37">
        <v>1</v>
      </c>
      <c r="H37">
        <v>0</v>
      </c>
      <c r="I37">
        <v>0</v>
      </c>
      <c r="J37">
        <v>0</v>
      </c>
      <c r="K37">
        <v>1</v>
      </c>
      <c r="L37">
        <v>0</v>
      </c>
      <c r="M37">
        <v>0</v>
      </c>
      <c r="N37">
        <v>1</v>
      </c>
      <c r="O37">
        <v>0</v>
      </c>
      <c r="P37">
        <v>0</v>
      </c>
      <c r="Q37">
        <v>0</v>
      </c>
      <c r="R37">
        <v>0</v>
      </c>
      <c r="S37">
        <v>1</v>
      </c>
      <c r="T37">
        <v>1</v>
      </c>
      <c r="U37">
        <v>0</v>
      </c>
      <c r="V37">
        <v>0</v>
      </c>
      <c r="W37">
        <v>0</v>
      </c>
      <c r="X37">
        <v>0</v>
      </c>
      <c r="Y37">
        <v>0</v>
      </c>
      <c r="Z37">
        <v>0</v>
      </c>
    </row>
    <row r="38" spans="1:26" x14ac:dyDescent="0.25">
      <c r="A38">
        <v>88</v>
      </c>
      <c r="B38">
        <v>19</v>
      </c>
      <c r="C38">
        <v>1</v>
      </c>
      <c r="D38">
        <v>732</v>
      </c>
      <c r="E38">
        <v>1</v>
      </c>
      <c r="F38">
        <v>0</v>
      </c>
      <c r="G38">
        <v>0</v>
      </c>
      <c r="H38">
        <v>0</v>
      </c>
      <c r="I38">
        <v>1</v>
      </c>
      <c r="J38">
        <v>1</v>
      </c>
      <c r="K38">
        <v>0</v>
      </c>
      <c r="L38">
        <v>0</v>
      </c>
      <c r="M38">
        <v>0</v>
      </c>
      <c r="N38">
        <v>1</v>
      </c>
      <c r="O38">
        <v>0</v>
      </c>
      <c r="P38">
        <v>0</v>
      </c>
      <c r="Q38">
        <v>0</v>
      </c>
      <c r="R38">
        <v>0</v>
      </c>
      <c r="S38">
        <v>1</v>
      </c>
      <c r="T38">
        <v>0</v>
      </c>
      <c r="U38">
        <v>0</v>
      </c>
      <c r="V38">
        <v>0</v>
      </c>
      <c r="W38">
        <v>0</v>
      </c>
      <c r="X38">
        <v>0</v>
      </c>
      <c r="Y38">
        <v>0</v>
      </c>
      <c r="Z38">
        <v>1</v>
      </c>
    </row>
    <row r="39" spans="1:26" x14ac:dyDescent="0.25">
      <c r="A39">
        <v>41</v>
      </c>
      <c r="B39">
        <v>10</v>
      </c>
      <c r="C39">
        <v>1</v>
      </c>
      <c r="D39">
        <v>2959</v>
      </c>
      <c r="E39">
        <v>4</v>
      </c>
      <c r="F39">
        <v>0</v>
      </c>
      <c r="G39">
        <v>1</v>
      </c>
      <c r="H39">
        <v>0</v>
      </c>
      <c r="I39">
        <v>0</v>
      </c>
      <c r="J39">
        <v>0</v>
      </c>
      <c r="K39">
        <v>1</v>
      </c>
      <c r="L39">
        <v>0</v>
      </c>
      <c r="M39">
        <v>0</v>
      </c>
      <c r="N39">
        <v>0</v>
      </c>
      <c r="O39">
        <v>0</v>
      </c>
      <c r="P39">
        <v>1</v>
      </c>
      <c r="Q39">
        <v>0</v>
      </c>
      <c r="R39">
        <v>0</v>
      </c>
      <c r="S39">
        <v>1</v>
      </c>
      <c r="T39">
        <v>0</v>
      </c>
      <c r="U39">
        <v>0</v>
      </c>
      <c r="V39">
        <v>1</v>
      </c>
      <c r="W39">
        <v>0</v>
      </c>
      <c r="X39">
        <v>0</v>
      </c>
      <c r="Y39">
        <v>0</v>
      </c>
      <c r="Z39">
        <v>0</v>
      </c>
    </row>
    <row r="40" spans="1:26" x14ac:dyDescent="0.25">
      <c r="A40">
        <v>19</v>
      </c>
      <c r="B40">
        <v>8</v>
      </c>
      <c r="C40">
        <v>0</v>
      </c>
      <c r="D40">
        <v>2959</v>
      </c>
      <c r="E40">
        <v>10</v>
      </c>
      <c r="F40">
        <v>0</v>
      </c>
      <c r="G40">
        <v>1</v>
      </c>
      <c r="H40">
        <v>0</v>
      </c>
      <c r="I40">
        <v>0</v>
      </c>
      <c r="J40">
        <v>0</v>
      </c>
      <c r="K40">
        <v>0</v>
      </c>
      <c r="L40">
        <v>1</v>
      </c>
      <c r="M40">
        <v>0</v>
      </c>
      <c r="N40">
        <v>0</v>
      </c>
      <c r="O40">
        <v>0</v>
      </c>
      <c r="P40">
        <v>1</v>
      </c>
      <c r="Q40">
        <v>0</v>
      </c>
      <c r="R40">
        <v>0</v>
      </c>
      <c r="S40">
        <v>1</v>
      </c>
      <c r="T40">
        <v>0</v>
      </c>
      <c r="U40">
        <v>0</v>
      </c>
      <c r="V40">
        <v>0</v>
      </c>
      <c r="W40">
        <v>1</v>
      </c>
      <c r="X40">
        <v>0</v>
      </c>
      <c r="Y40">
        <v>0</v>
      </c>
      <c r="Z40">
        <v>0</v>
      </c>
    </row>
    <row r="41" spans="1:26" x14ac:dyDescent="0.25">
      <c r="A41">
        <v>95</v>
      </c>
      <c r="B41">
        <v>37</v>
      </c>
      <c r="C41">
        <v>0</v>
      </c>
      <c r="D41">
        <v>732</v>
      </c>
      <c r="E41">
        <v>6</v>
      </c>
      <c r="F41">
        <v>0</v>
      </c>
      <c r="G41">
        <v>0</v>
      </c>
      <c r="H41">
        <v>1</v>
      </c>
      <c r="I41">
        <v>0</v>
      </c>
      <c r="J41">
        <v>1</v>
      </c>
      <c r="K41">
        <v>0</v>
      </c>
      <c r="L41">
        <v>0</v>
      </c>
      <c r="M41">
        <v>0</v>
      </c>
      <c r="N41">
        <v>1</v>
      </c>
      <c r="O41">
        <v>0</v>
      </c>
      <c r="P41">
        <v>0</v>
      </c>
      <c r="Q41">
        <v>0</v>
      </c>
      <c r="R41">
        <v>1</v>
      </c>
      <c r="S41">
        <v>0</v>
      </c>
      <c r="T41">
        <v>0</v>
      </c>
      <c r="U41">
        <v>0</v>
      </c>
      <c r="V41">
        <v>0</v>
      </c>
      <c r="W41">
        <v>0</v>
      </c>
      <c r="X41">
        <v>0</v>
      </c>
      <c r="Y41">
        <v>1</v>
      </c>
      <c r="Z41">
        <v>0</v>
      </c>
    </row>
    <row r="42" spans="1:26" x14ac:dyDescent="0.25">
      <c r="A42">
        <v>148</v>
      </c>
      <c r="B42">
        <v>33</v>
      </c>
      <c r="C42">
        <v>0</v>
      </c>
      <c r="D42">
        <v>188</v>
      </c>
      <c r="E42">
        <v>3</v>
      </c>
      <c r="F42">
        <v>0</v>
      </c>
      <c r="G42">
        <v>0</v>
      </c>
      <c r="H42">
        <v>0</v>
      </c>
      <c r="I42">
        <v>1</v>
      </c>
      <c r="J42">
        <v>1</v>
      </c>
      <c r="K42">
        <v>0</v>
      </c>
      <c r="L42">
        <v>0</v>
      </c>
      <c r="M42">
        <v>0</v>
      </c>
      <c r="N42">
        <v>0</v>
      </c>
      <c r="O42">
        <v>1</v>
      </c>
      <c r="P42">
        <v>0</v>
      </c>
      <c r="Q42">
        <v>0</v>
      </c>
      <c r="R42">
        <v>0</v>
      </c>
      <c r="S42">
        <v>1</v>
      </c>
      <c r="T42">
        <v>0</v>
      </c>
      <c r="U42">
        <v>0</v>
      </c>
      <c r="V42">
        <v>0</v>
      </c>
      <c r="W42">
        <v>0</v>
      </c>
      <c r="X42">
        <v>0</v>
      </c>
      <c r="Y42">
        <v>0</v>
      </c>
      <c r="Z42">
        <v>1</v>
      </c>
    </row>
    <row r="43" spans="1:26" x14ac:dyDescent="0.25">
      <c r="A43">
        <v>136</v>
      </c>
      <c r="B43">
        <v>20</v>
      </c>
      <c r="C43">
        <v>1</v>
      </c>
      <c r="D43">
        <v>1282</v>
      </c>
      <c r="E43">
        <v>3</v>
      </c>
      <c r="F43">
        <v>0</v>
      </c>
      <c r="G43">
        <v>1</v>
      </c>
      <c r="H43">
        <v>0</v>
      </c>
      <c r="I43">
        <v>0</v>
      </c>
      <c r="J43">
        <v>0</v>
      </c>
      <c r="K43">
        <v>1</v>
      </c>
      <c r="L43">
        <v>0</v>
      </c>
      <c r="M43">
        <v>0</v>
      </c>
      <c r="N43">
        <v>0</v>
      </c>
      <c r="O43">
        <v>0</v>
      </c>
      <c r="P43">
        <v>1</v>
      </c>
      <c r="Q43">
        <v>0</v>
      </c>
      <c r="R43">
        <v>0</v>
      </c>
      <c r="S43">
        <v>1</v>
      </c>
      <c r="T43">
        <v>0</v>
      </c>
      <c r="U43">
        <v>0</v>
      </c>
      <c r="V43">
        <v>0</v>
      </c>
      <c r="W43">
        <v>1</v>
      </c>
      <c r="X43">
        <v>0</v>
      </c>
      <c r="Y43">
        <v>0</v>
      </c>
      <c r="Z43">
        <v>0</v>
      </c>
    </row>
    <row r="44" spans="1:26" x14ac:dyDescent="0.25">
      <c r="A44">
        <v>113</v>
      </c>
      <c r="B44">
        <v>15</v>
      </c>
      <c r="C44">
        <v>1</v>
      </c>
      <c r="D44">
        <v>2959</v>
      </c>
      <c r="E44">
        <v>8</v>
      </c>
      <c r="F44">
        <v>0</v>
      </c>
      <c r="G44">
        <v>0</v>
      </c>
      <c r="H44">
        <v>1</v>
      </c>
      <c r="I44">
        <v>0</v>
      </c>
      <c r="J44">
        <v>0</v>
      </c>
      <c r="K44">
        <v>1</v>
      </c>
      <c r="L44">
        <v>0</v>
      </c>
      <c r="M44">
        <v>0</v>
      </c>
      <c r="N44">
        <v>0</v>
      </c>
      <c r="O44">
        <v>0</v>
      </c>
      <c r="P44">
        <v>1</v>
      </c>
      <c r="Q44">
        <v>0</v>
      </c>
      <c r="R44">
        <v>1</v>
      </c>
      <c r="S44">
        <v>0</v>
      </c>
      <c r="T44">
        <v>0</v>
      </c>
      <c r="U44">
        <v>0</v>
      </c>
      <c r="V44">
        <v>0</v>
      </c>
      <c r="W44">
        <v>0</v>
      </c>
      <c r="X44">
        <v>1</v>
      </c>
      <c r="Y44">
        <v>0</v>
      </c>
      <c r="Z44">
        <v>0</v>
      </c>
    </row>
    <row r="45" spans="1:26" x14ac:dyDescent="0.25">
      <c r="A45">
        <v>16</v>
      </c>
      <c r="B45">
        <v>13</v>
      </c>
      <c r="C45">
        <v>1</v>
      </c>
      <c r="D45">
        <v>2700</v>
      </c>
      <c r="E45">
        <v>9</v>
      </c>
      <c r="F45">
        <v>1</v>
      </c>
      <c r="G45">
        <v>0</v>
      </c>
      <c r="H45">
        <v>0</v>
      </c>
      <c r="I45">
        <v>0</v>
      </c>
      <c r="J45">
        <v>0</v>
      </c>
      <c r="K45">
        <v>0</v>
      </c>
      <c r="L45">
        <v>1</v>
      </c>
      <c r="M45">
        <v>1</v>
      </c>
      <c r="N45">
        <v>0</v>
      </c>
      <c r="O45">
        <v>0</v>
      </c>
      <c r="P45">
        <v>1</v>
      </c>
      <c r="Q45">
        <v>0</v>
      </c>
      <c r="R45">
        <v>0</v>
      </c>
      <c r="S45">
        <v>1</v>
      </c>
      <c r="T45">
        <v>0</v>
      </c>
      <c r="U45">
        <v>0</v>
      </c>
      <c r="V45">
        <v>0</v>
      </c>
      <c r="W45">
        <v>0</v>
      </c>
      <c r="X45">
        <v>0</v>
      </c>
      <c r="Y45">
        <v>1</v>
      </c>
      <c r="Z45">
        <v>0</v>
      </c>
    </row>
    <row r="46" spans="1:26" x14ac:dyDescent="0.25">
      <c r="A46">
        <v>74</v>
      </c>
      <c r="B46">
        <v>47</v>
      </c>
      <c r="C46">
        <v>0</v>
      </c>
      <c r="D46">
        <v>3981</v>
      </c>
      <c r="E46">
        <v>7</v>
      </c>
      <c r="F46">
        <v>1</v>
      </c>
      <c r="G46">
        <v>0</v>
      </c>
      <c r="H46">
        <v>0</v>
      </c>
      <c r="I46">
        <v>0</v>
      </c>
      <c r="J46">
        <v>0</v>
      </c>
      <c r="K46">
        <v>0</v>
      </c>
      <c r="L46">
        <v>1</v>
      </c>
      <c r="M46">
        <v>0</v>
      </c>
      <c r="N46">
        <v>1</v>
      </c>
      <c r="O46">
        <v>0</v>
      </c>
      <c r="P46">
        <v>0</v>
      </c>
      <c r="Q46">
        <v>0</v>
      </c>
      <c r="R46">
        <v>1</v>
      </c>
      <c r="S46">
        <v>0</v>
      </c>
      <c r="T46">
        <v>0</v>
      </c>
      <c r="U46">
        <v>0</v>
      </c>
      <c r="V46">
        <v>0</v>
      </c>
      <c r="W46">
        <v>0</v>
      </c>
      <c r="X46">
        <v>0</v>
      </c>
      <c r="Y46">
        <v>0</v>
      </c>
      <c r="Z46">
        <v>1</v>
      </c>
    </row>
    <row r="47" spans="1:26" x14ac:dyDescent="0.25">
      <c r="A47">
        <v>56</v>
      </c>
      <c r="B47">
        <v>16</v>
      </c>
      <c r="C47">
        <v>0</v>
      </c>
      <c r="D47">
        <v>2916</v>
      </c>
      <c r="E47">
        <v>9</v>
      </c>
      <c r="F47">
        <v>0</v>
      </c>
      <c r="G47">
        <v>0</v>
      </c>
      <c r="H47">
        <v>1</v>
      </c>
      <c r="I47">
        <v>0</v>
      </c>
      <c r="J47">
        <v>1</v>
      </c>
      <c r="K47">
        <v>0</v>
      </c>
      <c r="L47">
        <v>0</v>
      </c>
      <c r="M47">
        <v>0</v>
      </c>
      <c r="N47">
        <v>0</v>
      </c>
      <c r="O47">
        <v>1</v>
      </c>
      <c r="P47">
        <v>0</v>
      </c>
      <c r="Q47">
        <v>0</v>
      </c>
      <c r="R47">
        <v>0</v>
      </c>
      <c r="S47">
        <v>1</v>
      </c>
      <c r="T47">
        <v>0</v>
      </c>
      <c r="U47">
        <v>0</v>
      </c>
      <c r="V47">
        <v>0</v>
      </c>
      <c r="W47">
        <v>0</v>
      </c>
      <c r="X47">
        <v>0</v>
      </c>
      <c r="Y47">
        <v>1</v>
      </c>
      <c r="Z47">
        <v>0</v>
      </c>
    </row>
    <row r="48" spans="1:26" x14ac:dyDescent="0.25">
      <c r="A48">
        <v>116</v>
      </c>
      <c r="B48">
        <v>44</v>
      </c>
      <c r="C48">
        <v>0</v>
      </c>
      <c r="D48">
        <v>315</v>
      </c>
      <c r="E48">
        <v>5</v>
      </c>
      <c r="F48">
        <v>0</v>
      </c>
      <c r="G48">
        <v>0</v>
      </c>
      <c r="H48">
        <v>0</v>
      </c>
      <c r="I48">
        <v>1</v>
      </c>
      <c r="J48">
        <v>0</v>
      </c>
      <c r="K48">
        <v>0</v>
      </c>
      <c r="L48">
        <v>1</v>
      </c>
      <c r="M48">
        <v>0</v>
      </c>
      <c r="N48">
        <v>1</v>
      </c>
      <c r="O48">
        <v>0</v>
      </c>
      <c r="P48">
        <v>0</v>
      </c>
      <c r="Q48">
        <v>1</v>
      </c>
      <c r="R48">
        <v>0</v>
      </c>
      <c r="S48">
        <v>0</v>
      </c>
      <c r="T48">
        <v>0</v>
      </c>
      <c r="U48">
        <v>0</v>
      </c>
      <c r="V48">
        <v>1</v>
      </c>
      <c r="W48">
        <v>0</v>
      </c>
      <c r="X48">
        <v>0</v>
      </c>
      <c r="Y48">
        <v>0</v>
      </c>
      <c r="Z48">
        <v>0</v>
      </c>
    </row>
    <row r="49" spans="1:26" x14ac:dyDescent="0.25">
      <c r="A49">
        <v>44</v>
      </c>
      <c r="B49">
        <v>35</v>
      </c>
      <c r="C49">
        <v>1</v>
      </c>
      <c r="D49">
        <v>3933</v>
      </c>
      <c r="E49">
        <v>6</v>
      </c>
      <c r="F49">
        <v>0</v>
      </c>
      <c r="G49">
        <v>0</v>
      </c>
      <c r="H49">
        <v>1</v>
      </c>
      <c r="I49">
        <v>0</v>
      </c>
      <c r="J49">
        <v>0</v>
      </c>
      <c r="K49">
        <v>0</v>
      </c>
      <c r="L49">
        <v>1</v>
      </c>
      <c r="M49">
        <v>0</v>
      </c>
      <c r="N49">
        <v>0</v>
      </c>
      <c r="O49">
        <v>0</v>
      </c>
      <c r="P49">
        <v>1</v>
      </c>
      <c r="Q49">
        <v>1</v>
      </c>
      <c r="R49">
        <v>0</v>
      </c>
      <c r="S49">
        <v>0</v>
      </c>
      <c r="T49">
        <v>0</v>
      </c>
      <c r="U49">
        <v>0</v>
      </c>
      <c r="V49">
        <v>0</v>
      </c>
      <c r="W49">
        <v>0</v>
      </c>
      <c r="X49">
        <v>0</v>
      </c>
      <c r="Y49">
        <v>1</v>
      </c>
      <c r="Z49">
        <v>0</v>
      </c>
    </row>
    <row r="50" spans="1:26" x14ac:dyDescent="0.25">
      <c r="A50">
        <v>49</v>
      </c>
      <c r="B50">
        <v>22</v>
      </c>
      <c r="C50">
        <v>0</v>
      </c>
      <c r="D50">
        <v>188</v>
      </c>
      <c r="E50">
        <v>5</v>
      </c>
      <c r="F50">
        <v>0</v>
      </c>
      <c r="G50">
        <v>0</v>
      </c>
      <c r="H50">
        <v>0</v>
      </c>
      <c r="I50">
        <v>1</v>
      </c>
      <c r="J50">
        <v>0</v>
      </c>
      <c r="K50">
        <v>0</v>
      </c>
      <c r="L50">
        <v>1</v>
      </c>
      <c r="M50">
        <v>0</v>
      </c>
      <c r="N50">
        <v>0</v>
      </c>
      <c r="O50">
        <v>1</v>
      </c>
      <c r="P50">
        <v>0</v>
      </c>
      <c r="Q50">
        <v>0</v>
      </c>
      <c r="R50">
        <v>0</v>
      </c>
      <c r="S50">
        <v>1</v>
      </c>
      <c r="T50">
        <v>0</v>
      </c>
      <c r="U50">
        <v>0</v>
      </c>
      <c r="V50">
        <v>0</v>
      </c>
      <c r="W50">
        <v>1</v>
      </c>
      <c r="X50">
        <v>0</v>
      </c>
      <c r="Y50">
        <v>0</v>
      </c>
      <c r="Z50">
        <v>0</v>
      </c>
    </row>
    <row r="51" spans="1:26" x14ac:dyDescent="0.25">
      <c r="A51">
        <v>137</v>
      </c>
      <c r="B51">
        <v>42</v>
      </c>
      <c r="C51">
        <v>0</v>
      </c>
      <c r="D51">
        <v>2916</v>
      </c>
      <c r="E51">
        <v>5</v>
      </c>
      <c r="F51">
        <v>0</v>
      </c>
      <c r="G51">
        <v>0</v>
      </c>
      <c r="H51">
        <v>1</v>
      </c>
      <c r="I51">
        <v>0</v>
      </c>
      <c r="J51">
        <v>0</v>
      </c>
      <c r="K51">
        <v>0</v>
      </c>
      <c r="L51">
        <v>1</v>
      </c>
      <c r="M51">
        <v>0</v>
      </c>
      <c r="N51">
        <v>0</v>
      </c>
      <c r="O51">
        <v>1</v>
      </c>
      <c r="P51">
        <v>0</v>
      </c>
      <c r="Q51">
        <v>0</v>
      </c>
      <c r="R51">
        <v>0</v>
      </c>
      <c r="S51">
        <v>1</v>
      </c>
      <c r="T51">
        <v>0</v>
      </c>
      <c r="U51">
        <v>0</v>
      </c>
      <c r="V51">
        <v>0</v>
      </c>
      <c r="W51">
        <v>1</v>
      </c>
      <c r="X51">
        <v>0</v>
      </c>
      <c r="Y51">
        <v>0</v>
      </c>
      <c r="Z51">
        <v>0</v>
      </c>
    </row>
    <row r="52" spans="1:26" x14ac:dyDescent="0.25">
      <c r="A52">
        <v>79</v>
      </c>
      <c r="B52">
        <v>39</v>
      </c>
      <c r="C52">
        <v>0</v>
      </c>
      <c r="D52">
        <v>1467</v>
      </c>
      <c r="E52">
        <v>5</v>
      </c>
      <c r="F52">
        <v>1</v>
      </c>
      <c r="G52">
        <v>0</v>
      </c>
      <c r="H52">
        <v>0</v>
      </c>
      <c r="I52">
        <v>0</v>
      </c>
      <c r="J52">
        <v>0</v>
      </c>
      <c r="K52">
        <v>0</v>
      </c>
      <c r="L52">
        <v>1</v>
      </c>
      <c r="M52">
        <v>1</v>
      </c>
      <c r="N52">
        <v>0</v>
      </c>
      <c r="O52">
        <v>1</v>
      </c>
      <c r="P52">
        <v>0</v>
      </c>
      <c r="Q52">
        <v>1</v>
      </c>
      <c r="R52">
        <v>0</v>
      </c>
      <c r="S52">
        <v>0</v>
      </c>
      <c r="T52">
        <v>0</v>
      </c>
      <c r="U52">
        <v>0</v>
      </c>
      <c r="V52">
        <v>0</v>
      </c>
      <c r="W52">
        <v>0</v>
      </c>
      <c r="X52">
        <v>0</v>
      </c>
      <c r="Y52">
        <v>0</v>
      </c>
      <c r="Z52">
        <v>1</v>
      </c>
    </row>
    <row r="53" spans="1:26" x14ac:dyDescent="0.25">
      <c r="A53">
        <v>27</v>
      </c>
      <c r="B53">
        <v>12</v>
      </c>
      <c r="C53">
        <v>1</v>
      </c>
      <c r="D53">
        <v>787</v>
      </c>
      <c r="E53">
        <v>4</v>
      </c>
      <c r="F53">
        <v>0</v>
      </c>
      <c r="G53">
        <v>0</v>
      </c>
      <c r="H53">
        <v>1</v>
      </c>
      <c r="I53">
        <v>0</v>
      </c>
      <c r="J53">
        <v>1</v>
      </c>
      <c r="K53">
        <v>0</v>
      </c>
      <c r="L53">
        <v>0</v>
      </c>
      <c r="M53">
        <v>1</v>
      </c>
      <c r="N53">
        <v>1</v>
      </c>
      <c r="O53">
        <v>0</v>
      </c>
      <c r="P53">
        <v>0</v>
      </c>
      <c r="Q53">
        <v>0</v>
      </c>
      <c r="R53">
        <v>0</v>
      </c>
      <c r="S53">
        <v>1</v>
      </c>
      <c r="T53">
        <v>0</v>
      </c>
      <c r="U53">
        <v>0</v>
      </c>
      <c r="V53">
        <v>0</v>
      </c>
      <c r="W53">
        <v>0</v>
      </c>
      <c r="X53">
        <v>0</v>
      </c>
      <c r="Y53">
        <v>1</v>
      </c>
      <c r="Z53">
        <v>0</v>
      </c>
    </row>
    <row r="54" spans="1:26" x14ac:dyDescent="0.25">
      <c r="A54">
        <v>130</v>
      </c>
      <c r="B54">
        <v>19</v>
      </c>
      <c r="C54">
        <v>0</v>
      </c>
      <c r="D54">
        <v>2916</v>
      </c>
      <c r="E54">
        <v>6</v>
      </c>
      <c r="F54">
        <v>0</v>
      </c>
      <c r="G54">
        <v>1</v>
      </c>
      <c r="H54">
        <v>0</v>
      </c>
      <c r="I54">
        <v>0</v>
      </c>
      <c r="J54">
        <v>0</v>
      </c>
      <c r="K54">
        <v>0</v>
      </c>
      <c r="L54">
        <v>1</v>
      </c>
      <c r="M54">
        <v>0</v>
      </c>
      <c r="N54">
        <v>0</v>
      </c>
      <c r="O54">
        <v>1</v>
      </c>
      <c r="P54">
        <v>0</v>
      </c>
      <c r="Q54">
        <v>0</v>
      </c>
      <c r="R54">
        <v>0</v>
      </c>
      <c r="S54">
        <v>1</v>
      </c>
      <c r="T54">
        <v>0</v>
      </c>
      <c r="U54">
        <v>0</v>
      </c>
      <c r="V54">
        <v>0</v>
      </c>
      <c r="W54">
        <v>1</v>
      </c>
      <c r="X54">
        <v>0</v>
      </c>
      <c r="Y54">
        <v>0</v>
      </c>
      <c r="Z54">
        <v>0</v>
      </c>
    </row>
    <row r="55" spans="1:26" x14ac:dyDescent="0.25">
      <c r="A55">
        <v>50</v>
      </c>
      <c r="B55">
        <v>39</v>
      </c>
      <c r="C55">
        <v>0</v>
      </c>
      <c r="D55">
        <v>1228</v>
      </c>
      <c r="E55">
        <v>10</v>
      </c>
      <c r="F55">
        <v>1</v>
      </c>
      <c r="G55">
        <v>0</v>
      </c>
      <c r="H55">
        <v>0</v>
      </c>
      <c r="I55">
        <v>0</v>
      </c>
      <c r="J55">
        <v>0</v>
      </c>
      <c r="K55">
        <v>1</v>
      </c>
      <c r="L55">
        <v>0</v>
      </c>
      <c r="M55">
        <v>0</v>
      </c>
      <c r="N55">
        <v>1</v>
      </c>
      <c r="O55">
        <v>0</v>
      </c>
      <c r="P55">
        <v>0</v>
      </c>
      <c r="Q55">
        <v>0</v>
      </c>
      <c r="R55">
        <v>0</v>
      </c>
      <c r="S55">
        <v>1</v>
      </c>
      <c r="T55">
        <v>0</v>
      </c>
      <c r="U55">
        <v>0</v>
      </c>
      <c r="V55">
        <v>0</v>
      </c>
      <c r="W55">
        <v>0</v>
      </c>
      <c r="X55">
        <v>1</v>
      </c>
      <c r="Y55">
        <v>0</v>
      </c>
      <c r="Z55">
        <v>0</v>
      </c>
    </row>
    <row r="56" spans="1:26" x14ac:dyDescent="0.25">
      <c r="A56">
        <v>75</v>
      </c>
      <c r="B56">
        <v>37</v>
      </c>
      <c r="C56">
        <v>1</v>
      </c>
      <c r="D56">
        <v>732</v>
      </c>
      <c r="E56">
        <v>6</v>
      </c>
      <c r="F56">
        <v>0</v>
      </c>
      <c r="G56">
        <v>1</v>
      </c>
      <c r="H56">
        <v>0</v>
      </c>
      <c r="I56">
        <v>0</v>
      </c>
      <c r="J56">
        <v>0</v>
      </c>
      <c r="K56">
        <v>0</v>
      </c>
      <c r="L56">
        <v>1</v>
      </c>
      <c r="M56">
        <v>0</v>
      </c>
      <c r="N56">
        <v>1</v>
      </c>
      <c r="O56">
        <v>0</v>
      </c>
      <c r="P56">
        <v>0</v>
      </c>
      <c r="Q56">
        <v>0</v>
      </c>
      <c r="R56">
        <v>0</v>
      </c>
      <c r="S56">
        <v>1</v>
      </c>
      <c r="T56">
        <v>0</v>
      </c>
      <c r="U56">
        <v>0</v>
      </c>
      <c r="V56">
        <v>1</v>
      </c>
      <c r="W56">
        <v>0</v>
      </c>
      <c r="X56">
        <v>0</v>
      </c>
      <c r="Y56">
        <v>0</v>
      </c>
      <c r="Z56">
        <v>0</v>
      </c>
    </row>
    <row r="57" spans="1:26" x14ac:dyDescent="0.25">
      <c r="A57">
        <v>125</v>
      </c>
      <c r="B57">
        <v>35</v>
      </c>
      <c r="C57">
        <v>1</v>
      </c>
      <c r="D57">
        <v>2700</v>
      </c>
      <c r="E57">
        <v>4</v>
      </c>
      <c r="F57">
        <v>0</v>
      </c>
      <c r="G57">
        <v>0</v>
      </c>
      <c r="H57">
        <v>1</v>
      </c>
      <c r="I57">
        <v>0</v>
      </c>
      <c r="J57">
        <v>1</v>
      </c>
      <c r="K57">
        <v>0</v>
      </c>
      <c r="L57">
        <v>0</v>
      </c>
      <c r="M57">
        <v>1</v>
      </c>
      <c r="N57">
        <v>0</v>
      </c>
      <c r="O57">
        <v>0</v>
      </c>
      <c r="P57">
        <v>1</v>
      </c>
      <c r="Q57">
        <v>0</v>
      </c>
      <c r="R57">
        <v>0</v>
      </c>
      <c r="S57">
        <v>1</v>
      </c>
      <c r="T57">
        <v>0</v>
      </c>
      <c r="U57">
        <v>0</v>
      </c>
      <c r="V57">
        <v>0</v>
      </c>
      <c r="W57">
        <v>1</v>
      </c>
      <c r="X57">
        <v>0</v>
      </c>
      <c r="Y57">
        <v>0</v>
      </c>
      <c r="Z57">
        <v>0</v>
      </c>
    </row>
    <row r="58" spans="1:26" x14ac:dyDescent="0.25">
      <c r="A58">
        <v>77</v>
      </c>
      <c r="B58">
        <v>18</v>
      </c>
      <c r="C58">
        <v>0</v>
      </c>
      <c r="D58">
        <v>3933</v>
      </c>
      <c r="E58">
        <v>10</v>
      </c>
      <c r="F58">
        <v>0</v>
      </c>
      <c r="G58">
        <v>1</v>
      </c>
      <c r="H58">
        <v>0</v>
      </c>
      <c r="I58">
        <v>0</v>
      </c>
      <c r="J58">
        <v>0</v>
      </c>
      <c r="K58">
        <v>1</v>
      </c>
      <c r="L58">
        <v>0</v>
      </c>
      <c r="M58">
        <v>0</v>
      </c>
      <c r="N58">
        <v>0</v>
      </c>
      <c r="O58">
        <v>0</v>
      </c>
      <c r="P58">
        <v>1</v>
      </c>
      <c r="Q58">
        <v>1</v>
      </c>
      <c r="R58">
        <v>0</v>
      </c>
      <c r="S58">
        <v>0</v>
      </c>
      <c r="T58">
        <v>0</v>
      </c>
      <c r="U58">
        <v>0</v>
      </c>
      <c r="V58">
        <v>1</v>
      </c>
      <c r="W58">
        <v>0</v>
      </c>
      <c r="X58">
        <v>0</v>
      </c>
      <c r="Y58">
        <v>0</v>
      </c>
      <c r="Z58">
        <v>0</v>
      </c>
    </row>
    <row r="59" spans="1:26" x14ac:dyDescent="0.25">
      <c r="A59">
        <v>182</v>
      </c>
      <c r="B59">
        <v>24</v>
      </c>
      <c r="C59">
        <v>0</v>
      </c>
      <c r="D59">
        <v>787</v>
      </c>
      <c r="E59">
        <v>2</v>
      </c>
      <c r="F59">
        <v>0</v>
      </c>
      <c r="G59">
        <v>0</v>
      </c>
      <c r="H59">
        <v>0</v>
      </c>
      <c r="I59">
        <v>1</v>
      </c>
      <c r="J59">
        <v>0</v>
      </c>
      <c r="K59">
        <v>1</v>
      </c>
      <c r="L59">
        <v>0</v>
      </c>
      <c r="M59">
        <v>1</v>
      </c>
      <c r="N59">
        <v>1</v>
      </c>
      <c r="O59">
        <v>0</v>
      </c>
      <c r="P59">
        <v>0</v>
      </c>
      <c r="Q59">
        <v>0</v>
      </c>
      <c r="R59">
        <v>0</v>
      </c>
      <c r="S59">
        <v>1</v>
      </c>
      <c r="T59">
        <v>0</v>
      </c>
      <c r="U59">
        <v>0</v>
      </c>
      <c r="V59">
        <v>0</v>
      </c>
      <c r="W59">
        <v>1</v>
      </c>
      <c r="X59">
        <v>0</v>
      </c>
      <c r="Y59">
        <v>0</v>
      </c>
      <c r="Z59">
        <v>0</v>
      </c>
    </row>
    <row r="60" spans="1:26" x14ac:dyDescent="0.25">
      <c r="A60">
        <v>38</v>
      </c>
      <c r="B60">
        <v>22</v>
      </c>
      <c r="C60">
        <v>0</v>
      </c>
      <c r="D60">
        <v>826</v>
      </c>
      <c r="E60">
        <v>4</v>
      </c>
      <c r="F60">
        <v>0</v>
      </c>
      <c r="G60">
        <v>0</v>
      </c>
      <c r="H60">
        <v>1</v>
      </c>
      <c r="I60">
        <v>0</v>
      </c>
      <c r="J60">
        <v>1</v>
      </c>
      <c r="K60">
        <v>0</v>
      </c>
      <c r="L60">
        <v>0</v>
      </c>
      <c r="M60">
        <v>0</v>
      </c>
      <c r="N60">
        <v>0</v>
      </c>
      <c r="O60">
        <v>1</v>
      </c>
      <c r="P60">
        <v>0</v>
      </c>
      <c r="Q60">
        <v>0</v>
      </c>
      <c r="R60">
        <v>0</v>
      </c>
      <c r="S60">
        <v>1</v>
      </c>
      <c r="T60">
        <v>0</v>
      </c>
      <c r="U60">
        <v>1</v>
      </c>
      <c r="V60">
        <v>0</v>
      </c>
      <c r="W60">
        <v>0</v>
      </c>
      <c r="X60">
        <v>0</v>
      </c>
      <c r="Y60">
        <v>0</v>
      </c>
      <c r="Z60">
        <v>0</v>
      </c>
    </row>
    <row r="61" spans="1:26" x14ac:dyDescent="0.25">
      <c r="A61">
        <v>101</v>
      </c>
      <c r="B61">
        <v>35</v>
      </c>
      <c r="C61">
        <v>1</v>
      </c>
      <c r="D61">
        <v>787</v>
      </c>
      <c r="E61">
        <v>5</v>
      </c>
      <c r="F61">
        <v>1</v>
      </c>
      <c r="G61">
        <v>0</v>
      </c>
      <c r="H61">
        <v>0</v>
      </c>
      <c r="I61">
        <v>0</v>
      </c>
      <c r="J61">
        <v>1</v>
      </c>
      <c r="K61">
        <v>0</v>
      </c>
      <c r="L61">
        <v>0</v>
      </c>
      <c r="M61">
        <v>1</v>
      </c>
      <c r="N61">
        <v>1</v>
      </c>
      <c r="O61">
        <v>0</v>
      </c>
      <c r="P61">
        <v>0</v>
      </c>
      <c r="Q61">
        <v>0</v>
      </c>
      <c r="R61">
        <v>0</v>
      </c>
      <c r="S61">
        <v>1</v>
      </c>
      <c r="T61">
        <v>0</v>
      </c>
      <c r="U61">
        <v>0</v>
      </c>
      <c r="V61">
        <v>1</v>
      </c>
      <c r="W61">
        <v>0</v>
      </c>
      <c r="X61">
        <v>0</v>
      </c>
      <c r="Y61">
        <v>0</v>
      </c>
      <c r="Z61">
        <v>0</v>
      </c>
    </row>
    <row r="62" spans="1:26" x14ac:dyDescent="0.25">
      <c r="A62">
        <v>95</v>
      </c>
      <c r="B62">
        <v>34</v>
      </c>
      <c r="C62">
        <v>1</v>
      </c>
      <c r="D62">
        <v>4027</v>
      </c>
      <c r="E62">
        <v>6</v>
      </c>
      <c r="F62">
        <v>0</v>
      </c>
      <c r="G62">
        <v>1</v>
      </c>
      <c r="H62">
        <v>0</v>
      </c>
      <c r="I62">
        <v>0</v>
      </c>
      <c r="J62">
        <v>1</v>
      </c>
      <c r="K62">
        <v>0</v>
      </c>
      <c r="L62">
        <v>0</v>
      </c>
      <c r="M62">
        <v>0</v>
      </c>
      <c r="N62">
        <v>0</v>
      </c>
      <c r="O62">
        <v>0</v>
      </c>
      <c r="P62">
        <v>1</v>
      </c>
      <c r="Q62">
        <v>0</v>
      </c>
      <c r="R62">
        <v>0</v>
      </c>
      <c r="S62">
        <v>1</v>
      </c>
      <c r="T62">
        <v>0</v>
      </c>
      <c r="U62">
        <v>0</v>
      </c>
      <c r="V62">
        <v>0</v>
      </c>
      <c r="W62">
        <v>1</v>
      </c>
      <c r="X62">
        <v>0</v>
      </c>
      <c r="Y62">
        <v>0</v>
      </c>
      <c r="Z62">
        <v>0</v>
      </c>
    </row>
    <row r="63" spans="1:26" x14ac:dyDescent="0.25">
      <c r="A63">
        <v>119</v>
      </c>
      <c r="B63">
        <v>20</v>
      </c>
      <c r="C63">
        <v>1</v>
      </c>
      <c r="D63">
        <v>716</v>
      </c>
      <c r="E63">
        <v>1</v>
      </c>
      <c r="F63">
        <v>0</v>
      </c>
      <c r="G63">
        <v>1</v>
      </c>
      <c r="H63">
        <v>0</v>
      </c>
      <c r="I63">
        <v>0</v>
      </c>
      <c r="J63">
        <v>1</v>
      </c>
      <c r="K63">
        <v>0</v>
      </c>
      <c r="L63">
        <v>0</v>
      </c>
      <c r="M63">
        <v>1</v>
      </c>
      <c r="N63">
        <v>1</v>
      </c>
      <c r="O63">
        <v>0</v>
      </c>
      <c r="P63">
        <v>0</v>
      </c>
      <c r="Q63">
        <v>1</v>
      </c>
      <c r="R63">
        <v>0</v>
      </c>
      <c r="S63">
        <v>0</v>
      </c>
      <c r="T63">
        <v>0</v>
      </c>
      <c r="U63">
        <v>0</v>
      </c>
      <c r="V63">
        <v>0</v>
      </c>
      <c r="W63">
        <v>1</v>
      </c>
      <c r="X63">
        <v>0</v>
      </c>
      <c r="Y63">
        <v>0</v>
      </c>
      <c r="Z63">
        <v>0</v>
      </c>
    </row>
    <row r="64" spans="1:26" x14ac:dyDescent="0.25">
      <c r="A64">
        <v>86</v>
      </c>
      <c r="B64">
        <v>12</v>
      </c>
      <c r="C64">
        <v>0</v>
      </c>
      <c r="D64">
        <v>732</v>
      </c>
      <c r="E64">
        <v>5</v>
      </c>
      <c r="F64">
        <v>0</v>
      </c>
      <c r="G64">
        <v>0</v>
      </c>
      <c r="H64">
        <v>0</v>
      </c>
      <c r="I64">
        <v>1</v>
      </c>
      <c r="J64">
        <v>0</v>
      </c>
      <c r="K64">
        <v>0</v>
      </c>
      <c r="L64">
        <v>1</v>
      </c>
      <c r="M64">
        <v>0</v>
      </c>
      <c r="N64">
        <v>1</v>
      </c>
      <c r="O64">
        <v>0</v>
      </c>
      <c r="P64">
        <v>0</v>
      </c>
      <c r="Q64">
        <v>0</v>
      </c>
      <c r="R64">
        <v>1</v>
      </c>
      <c r="S64">
        <v>0</v>
      </c>
      <c r="T64">
        <v>0</v>
      </c>
      <c r="U64">
        <v>0</v>
      </c>
      <c r="V64">
        <v>0</v>
      </c>
      <c r="W64">
        <v>1</v>
      </c>
      <c r="X64">
        <v>0</v>
      </c>
      <c r="Y64">
        <v>0</v>
      </c>
      <c r="Z64">
        <v>0</v>
      </c>
    </row>
    <row r="65" spans="1:26" x14ac:dyDescent="0.25">
      <c r="A65">
        <v>45</v>
      </c>
      <c r="B65">
        <v>12</v>
      </c>
      <c r="C65">
        <v>0</v>
      </c>
      <c r="D65">
        <v>3773</v>
      </c>
      <c r="E65">
        <v>4</v>
      </c>
      <c r="F65">
        <v>0</v>
      </c>
      <c r="G65">
        <v>0</v>
      </c>
      <c r="H65">
        <v>1</v>
      </c>
      <c r="I65">
        <v>0</v>
      </c>
      <c r="J65">
        <v>0</v>
      </c>
      <c r="K65">
        <v>0</v>
      </c>
      <c r="L65">
        <v>1</v>
      </c>
      <c r="M65">
        <v>0</v>
      </c>
      <c r="N65">
        <v>1</v>
      </c>
      <c r="O65">
        <v>0</v>
      </c>
      <c r="P65">
        <v>0</v>
      </c>
      <c r="Q65">
        <v>0</v>
      </c>
      <c r="R65">
        <v>1</v>
      </c>
      <c r="S65">
        <v>0</v>
      </c>
      <c r="T65">
        <v>1</v>
      </c>
      <c r="U65">
        <v>0</v>
      </c>
      <c r="V65">
        <v>0</v>
      </c>
      <c r="W65">
        <v>0</v>
      </c>
      <c r="X65">
        <v>0</v>
      </c>
      <c r="Y65">
        <v>0</v>
      </c>
      <c r="Z65">
        <v>0</v>
      </c>
    </row>
    <row r="66" spans="1:26" x14ac:dyDescent="0.25">
      <c r="A66">
        <v>50</v>
      </c>
      <c r="B66">
        <v>19</v>
      </c>
      <c r="C66">
        <v>1</v>
      </c>
      <c r="D66">
        <v>2959</v>
      </c>
      <c r="E66">
        <v>0</v>
      </c>
      <c r="F66">
        <v>0</v>
      </c>
      <c r="G66">
        <v>0</v>
      </c>
      <c r="H66">
        <v>0</v>
      </c>
      <c r="I66">
        <v>1</v>
      </c>
      <c r="J66">
        <v>1</v>
      </c>
      <c r="K66">
        <v>0</v>
      </c>
      <c r="L66">
        <v>0</v>
      </c>
      <c r="M66">
        <v>0</v>
      </c>
      <c r="N66">
        <v>0</v>
      </c>
      <c r="O66">
        <v>0</v>
      </c>
      <c r="P66">
        <v>1</v>
      </c>
      <c r="Q66">
        <v>0</v>
      </c>
      <c r="R66">
        <v>0</v>
      </c>
      <c r="S66">
        <v>1</v>
      </c>
      <c r="T66">
        <v>1</v>
      </c>
      <c r="U66">
        <v>0</v>
      </c>
      <c r="V66">
        <v>0</v>
      </c>
      <c r="W66">
        <v>0</v>
      </c>
      <c r="X66">
        <v>0</v>
      </c>
      <c r="Y66">
        <v>0</v>
      </c>
      <c r="Z66">
        <v>0</v>
      </c>
    </row>
    <row r="67" spans="1:26" x14ac:dyDescent="0.25">
      <c r="A67">
        <v>102</v>
      </c>
      <c r="B67">
        <v>17</v>
      </c>
      <c r="C67">
        <v>1</v>
      </c>
      <c r="D67">
        <v>2959</v>
      </c>
      <c r="E67">
        <v>2</v>
      </c>
      <c r="F67">
        <v>0</v>
      </c>
      <c r="G67">
        <v>0</v>
      </c>
      <c r="H67">
        <v>1</v>
      </c>
      <c r="I67">
        <v>0</v>
      </c>
      <c r="J67">
        <v>1</v>
      </c>
      <c r="K67">
        <v>0</v>
      </c>
      <c r="L67">
        <v>0</v>
      </c>
      <c r="M67">
        <v>0</v>
      </c>
      <c r="N67">
        <v>0</v>
      </c>
      <c r="O67">
        <v>0</v>
      </c>
      <c r="P67">
        <v>1</v>
      </c>
      <c r="Q67">
        <v>0</v>
      </c>
      <c r="R67">
        <v>0</v>
      </c>
      <c r="S67">
        <v>1</v>
      </c>
      <c r="T67">
        <v>0</v>
      </c>
      <c r="U67">
        <v>1</v>
      </c>
      <c r="V67">
        <v>0</v>
      </c>
      <c r="W67">
        <v>0</v>
      </c>
      <c r="X67">
        <v>0</v>
      </c>
      <c r="Y67">
        <v>0</v>
      </c>
      <c r="Z67">
        <v>0</v>
      </c>
    </row>
    <row r="68" spans="1:26" x14ac:dyDescent="0.25">
      <c r="A68">
        <v>7</v>
      </c>
      <c r="B68">
        <v>5</v>
      </c>
      <c r="C68">
        <v>0</v>
      </c>
      <c r="D68">
        <v>1228</v>
      </c>
      <c r="E68">
        <v>10</v>
      </c>
      <c r="F68">
        <v>0</v>
      </c>
      <c r="G68">
        <v>0</v>
      </c>
      <c r="H68">
        <v>1</v>
      </c>
      <c r="I68">
        <v>0</v>
      </c>
      <c r="J68">
        <v>0</v>
      </c>
      <c r="K68">
        <v>1</v>
      </c>
      <c r="L68">
        <v>0</v>
      </c>
      <c r="M68">
        <v>0</v>
      </c>
      <c r="N68">
        <v>1</v>
      </c>
      <c r="O68">
        <v>0</v>
      </c>
      <c r="P68">
        <v>0</v>
      </c>
      <c r="Q68">
        <v>0</v>
      </c>
      <c r="R68">
        <v>0</v>
      </c>
      <c r="S68">
        <v>1</v>
      </c>
      <c r="T68">
        <v>0</v>
      </c>
      <c r="U68">
        <v>1</v>
      </c>
      <c r="V68">
        <v>0</v>
      </c>
      <c r="W68">
        <v>0</v>
      </c>
      <c r="X68">
        <v>0</v>
      </c>
      <c r="Y68">
        <v>0</v>
      </c>
      <c r="Z68">
        <v>0</v>
      </c>
    </row>
    <row r="69" spans="1:26" x14ac:dyDescent="0.25">
      <c r="A69">
        <v>35</v>
      </c>
      <c r="B69">
        <v>24</v>
      </c>
      <c r="C69">
        <v>1</v>
      </c>
      <c r="D69">
        <v>3348</v>
      </c>
      <c r="E69">
        <v>4</v>
      </c>
      <c r="F69">
        <v>0</v>
      </c>
      <c r="G69">
        <v>0</v>
      </c>
      <c r="H69">
        <v>0</v>
      </c>
      <c r="I69">
        <v>1</v>
      </c>
      <c r="J69">
        <v>0</v>
      </c>
      <c r="K69">
        <v>0</v>
      </c>
      <c r="L69">
        <v>1</v>
      </c>
      <c r="M69">
        <v>0</v>
      </c>
      <c r="N69">
        <v>0</v>
      </c>
      <c r="O69">
        <v>0</v>
      </c>
      <c r="P69">
        <v>1</v>
      </c>
      <c r="Q69">
        <v>1</v>
      </c>
      <c r="R69">
        <v>0</v>
      </c>
      <c r="S69">
        <v>0</v>
      </c>
      <c r="T69">
        <v>0</v>
      </c>
      <c r="U69">
        <v>0</v>
      </c>
      <c r="V69">
        <v>0</v>
      </c>
      <c r="W69">
        <v>1</v>
      </c>
      <c r="X69">
        <v>0</v>
      </c>
      <c r="Y69">
        <v>0</v>
      </c>
      <c r="Z69">
        <v>0</v>
      </c>
    </row>
    <row r="70" spans="1:26" x14ac:dyDescent="0.25">
      <c r="A70">
        <v>26</v>
      </c>
      <c r="B70">
        <v>18</v>
      </c>
      <c r="C70">
        <v>1</v>
      </c>
      <c r="D70">
        <v>3933</v>
      </c>
      <c r="E70">
        <v>4</v>
      </c>
      <c r="F70">
        <v>0</v>
      </c>
      <c r="G70">
        <v>0</v>
      </c>
      <c r="H70">
        <v>0</v>
      </c>
      <c r="I70">
        <v>1</v>
      </c>
      <c r="J70">
        <v>1</v>
      </c>
      <c r="K70">
        <v>0</v>
      </c>
      <c r="L70">
        <v>0</v>
      </c>
      <c r="M70">
        <v>0</v>
      </c>
      <c r="N70">
        <v>0</v>
      </c>
      <c r="O70">
        <v>0</v>
      </c>
      <c r="P70">
        <v>1</v>
      </c>
      <c r="Q70">
        <v>0</v>
      </c>
      <c r="R70">
        <v>1</v>
      </c>
      <c r="S70">
        <v>0</v>
      </c>
      <c r="T70">
        <v>0</v>
      </c>
      <c r="U70">
        <v>1</v>
      </c>
      <c r="V70">
        <v>0</v>
      </c>
      <c r="W70">
        <v>0</v>
      </c>
      <c r="X70">
        <v>0</v>
      </c>
      <c r="Y70">
        <v>0</v>
      </c>
      <c r="Z70">
        <v>0</v>
      </c>
    </row>
    <row r="71" spans="1:26" x14ac:dyDescent="0.25">
      <c r="A71">
        <v>116</v>
      </c>
      <c r="B71">
        <v>12</v>
      </c>
      <c r="C71">
        <v>0</v>
      </c>
      <c r="D71">
        <v>2916</v>
      </c>
      <c r="E71">
        <v>4</v>
      </c>
      <c r="F71">
        <v>1</v>
      </c>
      <c r="G71">
        <v>0</v>
      </c>
      <c r="H71">
        <v>0</v>
      </c>
      <c r="I71">
        <v>0</v>
      </c>
      <c r="J71">
        <v>1</v>
      </c>
      <c r="K71">
        <v>0</v>
      </c>
      <c r="L71">
        <v>0</v>
      </c>
      <c r="M71">
        <v>0</v>
      </c>
      <c r="N71">
        <v>0</v>
      </c>
      <c r="O71">
        <v>1</v>
      </c>
      <c r="P71">
        <v>0</v>
      </c>
      <c r="Q71">
        <v>0</v>
      </c>
      <c r="R71">
        <v>0</v>
      </c>
      <c r="S71">
        <v>1</v>
      </c>
      <c r="T71">
        <v>0</v>
      </c>
      <c r="U71">
        <v>0</v>
      </c>
      <c r="V71">
        <v>0</v>
      </c>
      <c r="W71">
        <v>0</v>
      </c>
      <c r="X71">
        <v>0</v>
      </c>
      <c r="Y71">
        <v>1</v>
      </c>
      <c r="Z71">
        <v>0</v>
      </c>
    </row>
    <row r="72" spans="1:26" x14ac:dyDescent="0.25">
      <c r="A72">
        <v>46</v>
      </c>
      <c r="B72">
        <v>39</v>
      </c>
      <c r="C72">
        <v>0</v>
      </c>
      <c r="D72">
        <v>732</v>
      </c>
      <c r="E72">
        <v>6</v>
      </c>
      <c r="F72">
        <v>0</v>
      </c>
      <c r="G72">
        <v>0</v>
      </c>
      <c r="H72">
        <v>1</v>
      </c>
      <c r="I72">
        <v>0</v>
      </c>
      <c r="J72">
        <v>1</v>
      </c>
      <c r="K72">
        <v>0</v>
      </c>
      <c r="L72">
        <v>0</v>
      </c>
      <c r="M72">
        <v>0</v>
      </c>
      <c r="N72">
        <v>1</v>
      </c>
      <c r="O72">
        <v>0</v>
      </c>
      <c r="P72">
        <v>0</v>
      </c>
      <c r="Q72">
        <v>0</v>
      </c>
      <c r="R72">
        <v>0</v>
      </c>
      <c r="S72">
        <v>1</v>
      </c>
      <c r="T72">
        <v>0</v>
      </c>
      <c r="U72">
        <v>0</v>
      </c>
      <c r="V72">
        <v>0</v>
      </c>
      <c r="W72">
        <v>0</v>
      </c>
      <c r="X72">
        <v>0</v>
      </c>
      <c r="Y72">
        <v>0</v>
      </c>
      <c r="Z72">
        <v>1</v>
      </c>
    </row>
    <row r="73" spans="1:26" x14ac:dyDescent="0.25">
      <c r="A73">
        <v>26</v>
      </c>
      <c r="B73">
        <v>22</v>
      </c>
      <c r="C73">
        <v>1</v>
      </c>
      <c r="D73">
        <v>3933</v>
      </c>
      <c r="E73">
        <v>5</v>
      </c>
      <c r="F73">
        <v>0</v>
      </c>
      <c r="G73">
        <v>0</v>
      </c>
      <c r="H73">
        <v>0</v>
      </c>
      <c r="I73">
        <v>1</v>
      </c>
      <c r="J73">
        <v>0</v>
      </c>
      <c r="K73">
        <v>0</v>
      </c>
      <c r="L73">
        <v>1</v>
      </c>
      <c r="M73">
        <v>0</v>
      </c>
      <c r="N73">
        <v>0</v>
      </c>
      <c r="O73">
        <v>0</v>
      </c>
      <c r="P73">
        <v>1</v>
      </c>
      <c r="Q73">
        <v>0</v>
      </c>
      <c r="R73">
        <v>1</v>
      </c>
      <c r="S73">
        <v>0</v>
      </c>
      <c r="T73">
        <v>0</v>
      </c>
      <c r="U73">
        <v>0</v>
      </c>
      <c r="V73">
        <v>0</v>
      </c>
      <c r="W73">
        <v>1</v>
      </c>
      <c r="X73">
        <v>0</v>
      </c>
      <c r="Y73">
        <v>0</v>
      </c>
      <c r="Z73">
        <v>0</v>
      </c>
    </row>
    <row r="74" spans="1:26" x14ac:dyDescent="0.25">
      <c r="A74">
        <v>60</v>
      </c>
      <c r="B74">
        <v>7</v>
      </c>
      <c r="C74">
        <v>1</v>
      </c>
      <c r="D74">
        <v>1228</v>
      </c>
      <c r="E74">
        <v>8</v>
      </c>
      <c r="F74">
        <v>0</v>
      </c>
      <c r="G74">
        <v>0</v>
      </c>
      <c r="H74">
        <v>1</v>
      </c>
      <c r="I74">
        <v>0</v>
      </c>
      <c r="J74">
        <v>0</v>
      </c>
      <c r="K74">
        <v>0</v>
      </c>
      <c r="L74">
        <v>1</v>
      </c>
      <c r="M74">
        <v>0</v>
      </c>
      <c r="N74">
        <v>1</v>
      </c>
      <c r="O74">
        <v>0</v>
      </c>
      <c r="P74">
        <v>0</v>
      </c>
      <c r="Q74">
        <v>0</v>
      </c>
      <c r="R74">
        <v>1</v>
      </c>
      <c r="S74">
        <v>0</v>
      </c>
      <c r="T74">
        <v>0</v>
      </c>
      <c r="U74">
        <v>0</v>
      </c>
      <c r="V74">
        <v>0</v>
      </c>
      <c r="W74">
        <v>0</v>
      </c>
      <c r="X74">
        <v>0</v>
      </c>
      <c r="Y74">
        <v>1</v>
      </c>
      <c r="Z74">
        <v>0</v>
      </c>
    </row>
    <row r="75" spans="1:26" x14ac:dyDescent="0.25">
      <c r="A75">
        <v>69</v>
      </c>
      <c r="B75">
        <v>58</v>
      </c>
      <c r="C75">
        <v>1</v>
      </c>
      <c r="D75">
        <v>1282</v>
      </c>
      <c r="E75">
        <v>5</v>
      </c>
      <c r="F75">
        <v>1</v>
      </c>
      <c r="G75">
        <v>0</v>
      </c>
      <c r="H75">
        <v>0</v>
      </c>
      <c r="I75">
        <v>0</v>
      </c>
      <c r="J75">
        <v>1</v>
      </c>
      <c r="K75">
        <v>0</v>
      </c>
      <c r="L75">
        <v>0</v>
      </c>
      <c r="M75">
        <v>0</v>
      </c>
      <c r="N75">
        <v>0</v>
      </c>
      <c r="O75">
        <v>0</v>
      </c>
      <c r="P75">
        <v>1</v>
      </c>
      <c r="Q75">
        <v>1</v>
      </c>
      <c r="R75">
        <v>0</v>
      </c>
      <c r="S75">
        <v>0</v>
      </c>
      <c r="T75">
        <v>0</v>
      </c>
      <c r="U75">
        <v>0</v>
      </c>
      <c r="V75">
        <v>1</v>
      </c>
      <c r="W75">
        <v>0</v>
      </c>
      <c r="X75">
        <v>0</v>
      </c>
      <c r="Y75">
        <v>0</v>
      </c>
      <c r="Z75">
        <v>0</v>
      </c>
    </row>
    <row r="76" spans="1:26" x14ac:dyDescent="0.25">
      <c r="A76">
        <v>112</v>
      </c>
      <c r="B76">
        <v>34</v>
      </c>
      <c r="C76">
        <v>1</v>
      </c>
      <c r="D76">
        <v>1228</v>
      </c>
      <c r="E76">
        <v>7</v>
      </c>
      <c r="F76">
        <v>0</v>
      </c>
      <c r="G76">
        <v>0</v>
      </c>
      <c r="H76">
        <v>0</v>
      </c>
      <c r="I76">
        <v>1</v>
      </c>
      <c r="J76">
        <v>0</v>
      </c>
      <c r="K76">
        <v>1</v>
      </c>
      <c r="L76">
        <v>0</v>
      </c>
      <c r="M76">
        <v>0</v>
      </c>
      <c r="N76">
        <v>1</v>
      </c>
      <c r="O76">
        <v>0</v>
      </c>
      <c r="P76">
        <v>0</v>
      </c>
      <c r="Q76">
        <v>0</v>
      </c>
      <c r="R76">
        <v>0</v>
      </c>
      <c r="S76">
        <v>1</v>
      </c>
      <c r="T76">
        <v>0</v>
      </c>
      <c r="U76">
        <v>0</v>
      </c>
      <c r="V76">
        <v>0</v>
      </c>
      <c r="W76">
        <v>1</v>
      </c>
      <c r="X76">
        <v>0</v>
      </c>
      <c r="Y76">
        <v>0</v>
      </c>
      <c r="Z76">
        <v>0</v>
      </c>
    </row>
    <row r="77" spans="1:26" x14ac:dyDescent="0.25">
      <c r="A77">
        <v>169</v>
      </c>
      <c r="B77">
        <v>25</v>
      </c>
      <c r="C77">
        <v>1</v>
      </c>
      <c r="D77">
        <v>2034</v>
      </c>
      <c r="E77">
        <v>8</v>
      </c>
      <c r="F77">
        <v>1</v>
      </c>
      <c r="G77">
        <v>0</v>
      </c>
      <c r="H77">
        <v>0</v>
      </c>
      <c r="I77">
        <v>0</v>
      </c>
      <c r="J77">
        <v>1</v>
      </c>
      <c r="K77">
        <v>0</v>
      </c>
      <c r="L77">
        <v>0</v>
      </c>
      <c r="M77">
        <v>0</v>
      </c>
      <c r="N77">
        <v>0</v>
      </c>
      <c r="O77">
        <v>0</v>
      </c>
      <c r="P77">
        <v>1</v>
      </c>
      <c r="Q77">
        <v>0</v>
      </c>
      <c r="R77">
        <v>0</v>
      </c>
      <c r="S77">
        <v>1</v>
      </c>
      <c r="T77">
        <v>0</v>
      </c>
      <c r="U77">
        <v>0</v>
      </c>
      <c r="V77">
        <v>0</v>
      </c>
      <c r="W77">
        <v>0</v>
      </c>
      <c r="X77">
        <v>0</v>
      </c>
      <c r="Y77">
        <v>1</v>
      </c>
      <c r="Z77">
        <v>0</v>
      </c>
    </row>
    <row r="78" spans="1:26" x14ac:dyDescent="0.25">
      <c r="A78">
        <v>17</v>
      </c>
      <c r="B78">
        <v>10</v>
      </c>
      <c r="C78">
        <v>1</v>
      </c>
      <c r="D78">
        <v>3933</v>
      </c>
      <c r="E78">
        <v>3</v>
      </c>
      <c r="F78">
        <v>0</v>
      </c>
      <c r="G78">
        <v>0</v>
      </c>
      <c r="H78">
        <v>0</v>
      </c>
      <c r="I78">
        <v>1</v>
      </c>
      <c r="J78">
        <v>1</v>
      </c>
      <c r="K78">
        <v>0</v>
      </c>
      <c r="L78">
        <v>0</v>
      </c>
      <c r="M78">
        <v>0</v>
      </c>
      <c r="N78">
        <v>0</v>
      </c>
      <c r="O78">
        <v>0</v>
      </c>
      <c r="P78">
        <v>1</v>
      </c>
      <c r="Q78">
        <v>0</v>
      </c>
      <c r="R78">
        <v>0</v>
      </c>
      <c r="S78">
        <v>1</v>
      </c>
      <c r="T78">
        <v>0</v>
      </c>
      <c r="U78">
        <v>0</v>
      </c>
      <c r="V78">
        <v>1</v>
      </c>
      <c r="W78">
        <v>0</v>
      </c>
      <c r="X78">
        <v>0</v>
      </c>
      <c r="Y78">
        <v>0</v>
      </c>
      <c r="Z78">
        <v>0</v>
      </c>
    </row>
    <row r="79" spans="1:26" x14ac:dyDescent="0.25">
      <c r="A79">
        <v>15</v>
      </c>
      <c r="B79">
        <v>6</v>
      </c>
      <c r="C79">
        <v>0</v>
      </c>
      <c r="D79">
        <v>3348</v>
      </c>
      <c r="E79">
        <v>4</v>
      </c>
      <c r="F79">
        <v>0</v>
      </c>
      <c r="G79">
        <v>0</v>
      </c>
      <c r="H79">
        <v>1</v>
      </c>
      <c r="I79">
        <v>0</v>
      </c>
      <c r="J79">
        <v>0</v>
      </c>
      <c r="K79">
        <v>0</v>
      </c>
      <c r="L79">
        <v>1</v>
      </c>
      <c r="M79">
        <v>0</v>
      </c>
      <c r="N79">
        <v>0</v>
      </c>
      <c r="O79">
        <v>0</v>
      </c>
      <c r="P79">
        <v>1</v>
      </c>
      <c r="Q79">
        <v>0</v>
      </c>
      <c r="R79">
        <v>1</v>
      </c>
      <c r="S79">
        <v>0</v>
      </c>
      <c r="T79">
        <v>0</v>
      </c>
      <c r="U79">
        <v>0</v>
      </c>
      <c r="V79">
        <v>0</v>
      </c>
      <c r="W79">
        <v>1</v>
      </c>
      <c r="X79">
        <v>0</v>
      </c>
      <c r="Y79">
        <v>0</v>
      </c>
      <c r="Z79">
        <v>0</v>
      </c>
    </row>
    <row r="80" spans="1:26" x14ac:dyDescent="0.25">
      <c r="A80">
        <v>73</v>
      </c>
      <c r="B80">
        <v>4</v>
      </c>
      <c r="C80">
        <v>0</v>
      </c>
      <c r="D80">
        <v>2916</v>
      </c>
      <c r="E80">
        <v>3</v>
      </c>
      <c r="F80">
        <v>0</v>
      </c>
      <c r="G80">
        <v>0</v>
      </c>
      <c r="H80">
        <v>1</v>
      </c>
      <c r="I80">
        <v>0</v>
      </c>
      <c r="J80">
        <v>1</v>
      </c>
      <c r="K80">
        <v>0</v>
      </c>
      <c r="L80">
        <v>0</v>
      </c>
      <c r="M80">
        <v>0</v>
      </c>
      <c r="N80">
        <v>0</v>
      </c>
      <c r="O80">
        <v>1</v>
      </c>
      <c r="P80">
        <v>0</v>
      </c>
      <c r="Q80">
        <v>0</v>
      </c>
      <c r="R80">
        <v>0</v>
      </c>
      <c r="S80">
        <v>1</v>
      </c>
      <c r="T80">
        <v>0</v>
      </c>
      <c r="U80">
        <v>1</v>
      </c>
      <c r="V80">
        <v>0</v>
      </c>
      <c r="W80">
        <v>0</v>
      </c>
      <c r="X80">
        <v>0</v>
      </c>
      <c r="Y80">
        <v>0</v>
      </c>
      <c r="Z80">
        <v>0</v>
      </c>
    </row>
    <row r="81" spans="1:26" x14ac:dyDescent="0.25">
      <c r="A81">
        <v>37</v>
      </c>
      <c r="B81">
        <v>31</v>
      </c>
      <c r="C81">
        <v>1</v>
      </c>
      <c r="D81">
        <v>1228</v>
      </c>
      <c r="E81">
        <v>9</v>
      </c>
      <c r="F81">
        <v>0</v>
      </c>
      <c r="G81">
        <v>0</v>
      </c>
      <c r="H81">
        <v>1</v>
      </c>
      <c r="I81">
        <v>0</v>
      </c>
      <c r="J81">
        <v>0</v>
      </c>
      <c r="K81">
        <v>1</v>
      </c>
      <c r="L81">
        <v>0</v>
      </c>
      <c r="M81">
        <v>0</v>
      </c>
      <c r="N81">
        <v>1</v>
      </c>
      <c r="O81">
        <v>0</v>
      </c>
      <c r="P81">
        <v>0</v>
      </c>
      <c r="Q81">
        <v>1</v>
      </c>
      <c r="R81">
        <v>0</v>
      </c>
      <c r="S81">
        <v>0</v>
      </c>
      <c r="T81">
        <v>1</v>
      </c>
      <c r="U81">
        <v>0</v>
      </c>
      <c r="V81">
        <v>0</v>
      </c>
      <c r="W81">
        <v>0</v>
      </c>
      <c r="X81">
        <v>0</v>
      </c>
      <c r="Y81">
        <v>0</v>
      </c>
      <c r="Z81">
        <v>0</v>
      </c>
    </row>
    <row r="82" spans="1:26" x14ac:dyDescent="0.25">
      <c r="A82">
        <v>69</v>
      </c>
      <c r="B82">
        <v>22</v>
      </c>
      <c r="C82">
        <v>1</v>
      </c>
      <c r="D82">
        <v>787</v>
      </c>
      <c r="E82">
        <v>6</v>
      </c>
      <c r="F82">
        <v>0</v>
      </c>
      <c r="G82">
        <v>0</v>
      </c>
      <c r="H82">
        <v>1</v>
      </c>
      <c r="I82">
        <v>0</v>
      </c>
      <c r="J82">
        <v>0</v>
      </c>
      <c r="K82">
        <v>1</v>
      </c>
      <c r="L82">
        <v>0</v>
      </c>
      <c r="M82">
        <v>1</v>
      </c>
      <c r="N82">
        <v>1</v>
      </c>
      <c r="O82">
        <v>0</v>
      </c>
      <c r="P82">
        <v>0</v>
      </c>
      <c r="Q82">
        <v>0</v>
      </c>
      <c r="R82">
        <v>0</v>
      </c>
      <c r="S82">
        <v>1</v>
      </c>
      <c r="T82">
        <v>0</v>
      </c>
      <c r="U82">
        <v>0</v>
      </c>
      <c r="V82">
        <v>0</v>
      </c>
      <c r="W82">
        <v>0</v>
      </c>
      <c r="X82">
        <v>1</v>
      </c>
      <c r="Y82">
        <v>0</v>
      </c>
      <c r="Z82">
        <v>0</v>
      </c>
    </row>
    <row r="83" spans="1:26" x14ac:dyDescent="0.25">
      <c r="A83">
        <v>30</v>
      </c>
      <c r="B83">
        <v>12</v>
      </c>
      <c r="C83">
        <v>1</v>
      </c>
      <c r="D83">
        <v>2916</v>
      </c>
      <c r="E83">
        <v>4</v>
      </c>
      <c r="F83">
        <v>0</v>
      </c>
      <c r="G83">
        <v>1</v>
      </c>
      <c r="H83">
        <v>0</v>
      </c>
      <c r="I83">
        <v>0</v>
      </c>
      <c r="J83">
        <v>0</v>
      </c>
      <c r="K83">
        <v>0</v>
      </c>
      <c r="L83">
        <v>1</v>
      </c>
      <c r="M83">
        <v>0</v>
      </c>
      <c r="N83">
        <v>0</v>
      </c>
      <c r="O83">
        <v>1</v>
      </c>
      <c r="P83">
        <v>0</v>
      </c>
      <c r="Q83">
        <v>1</v>
      </c>
      <c r="R83">
        <v>0</v>
      </c>
      <c r="S83">
        <v>0</v>
      </c>
      <c r="T83">
        <v>0</v>
      </c>
      <c r="U83">
        <v>0</v>
      </c>
      <c r="V83">
        <v>1</v>
      </c>
      <c r="W83">
        <v>0</v>
      </c>
      <c r="X83">
        <v>0</v>
      </c>
      <c r="Y83">
        <v>0</v>
      </c>
      <c r="Z83">
        <v>0</v>
      </c>
    </row>
    <row r="84" spans="1:26" x14ac:dyDescent="0.25">
      <c r="A84">
        <v>59</v>
      </c>
      <c r="B84">
        <v>56</v>
      </c>
      <c r="C84">
        <v>0</v>
      </c>
      <c r="D84">
        <v>3348</v>
      </c>
      <c r="E84">
        <v>6</v>
      </c>
      <c r="F84">
        <v>0</v>
      </c>
      <c r="G84">
        <v>1</v>
      </c>
      <c r="H84">
        <v>0</v>
      </c>
      <c r="I84">
        <v>0</v>
      </c>
      <c r="J84">
        <v>0</v>
      </c>
      <c r="K84">
        <v>1</v>
      </c>
      <c r="L84">
        <v>0</v>
      </c>
      <c r="M84">
        <v>0</v>
      </c>
      <c r="N84">
        <v>0</v>
      </c>
      <c r="O84">
        <v>0</v>
      </c>
      <c r="P84">
        <v>1</v>
      </c>
      <c r="Q84">
        <v>0</v>
      </c>
      <c r="R84">
        <v>1</v>
      </c>
      <c r="S84">
        <v>0</v>
      </c>
      <c r="T84">
        <v>0</v>
      </c>
      <c r="U84">
        <v>0</v>
      </c>
      <c r="V84">
        <v>0</v>
      </c>
      <c r="W84">
        <v>0</v>
      </c>
      <c r="X84">
        <v>0</v>
      </c>
      <c r="Y84">
        <v>1</v>
      </c>
      <c r="Z84">
        <v>0</v>
      </c>
    </row>
    <row r="85" spans="1:26" x14ac:dyDescent="0.25">
      <c r="A85">
        <v>97</v>
      </c>
      <c r="B85">
        <v>31</v>
      </c>
      <c r="C85">
        <v>0</v>
      </c>
      <c r="D85">
        <v>2884</v>
      </c>
      <c r="E85">
        <v>8</v>
      </c>
      <c r="F85">
        <v>0</v>
      </c>
      <c r="G85">
        <v>1</v>
      </c>
      <c r="H85">
        <v>0</v>
      </c>
      <c r="I85">
        <v>0</v>
      </c>
      <c r="J85">
        <v>0</v>
      </c>
      <c r="K85">
        <v>0</v>
      </c>
      <c r="L85">
        <v>1</v>
      </c>
      <c r="M85">
        <v>1</v>
      </c>
      <c r="N85">
        <v>0</v>
      </c>
      <c r="O85">
        <v>1</v>
      </c>
      <c r="P85">
        <v>0</v>
      </c>
      <c r="Q85">
        <v>1</v>
      </c>
      <c r="R85">
        <v>0</v>
      </c>
      <c r="S85">
        <v>0</v>
      </c>
      <c r="T85">
        <v>0</v>
      </c>
      <c r="U85">
        <v>0</v>
      </c>
      <c r="V85">
        <v>1</v>
      </c>
      <c r="W85">
        <v>0</v>
      </c>
      <c r="X85">
        <v>0</v>
      </c>
      <c r="Y85">
        <v>0</v>
      </c>
      <c r="Z85">
        <v>0</v>
      </c>
    </row>
    <row r="86" spans="1:26" x14ac:dyDescent="0.25">
      <c r="A86">
        <v>102</v>
      </c>
      <c r="B86">
        <v>25</v>
      </c>
      <c r="C86">
        <v>1</v>
      </c>
      <c r="D86">
        <v>3933</v>
      </c>
      <c r="E86">
        <v>6</v>
      </c>
      <c r="F86">
        <v>0</v>
      </c>
      <c r="G86">
        <v>1</v>
      </c>
      <c r="H86">
        <v>0</v>
      </c>
      <c r="I86">
        <v>0</v>
      </c>
      <c r="J86">
        <v>0</v>
      </c>
      <c r="K86">
        <v>1</v>
      </c>
      <c r="L86">
        <v>0</v>
      </c>
      <c r="M86">
        <v>0</v>
      </c>
      <c r="N86">
        <v>0</v>
      </c>
      <c r="O86">
        <v>0</v>
      </c>
      <c r="P86">
        <v>1</v>
      </c>
      <c r="Q86">
        <v>0</v>
      </c>
      <c r="R86">
        <v>1</v>
      </c>
      <c r="S86">
        <v>0</v>
      </c>
      <c r="T86">
        <v>0</v>
      </c>
      <c r="U86">
        <v>0</v>
      </c>
      <c r="V86">
        <v>0</v>
      </c>
      <c r="W86">
        <v>1</v>
      </c>
      <c r="X86">
        <v>0</v>
      </c>
      <c r="Y86">
        <v>0</v>
      </c>
      <c r="Z86">
        <v>0</v>
      </c>
    </row>
    <row r="87" spans="1:26" x14ac:dyDescent="0.25">
      <c r="A87">
        <v>25</v>
      </c>
      <c r="B87">
        <v>22</v>
      </c>
      <c r="C87">
        <v>0</v>
      </c>
      <c r="D87">
        <v>3348</v>
      </c>
      <c r="E87">
        <v>9</v>
      </c>
      <c r="F87">
        <v>0</v>
      </c>
      <c r="G87">
        <v>1</v>
      </c>
      <c r="H87">
        <v>0</v>
      </c>
      <c r="I87">
        <v>0</v>
      </c>
      <c r="J87">
        <v>1</v>
      </c>
      <c r="K87">
        <v>0</v>
      </c>
      <c r="L87">
        <v>0</v>
      </c>
      <c r="M87">
        <v>0</v>
      </c>
      <c r="N87">
        <v>0</v>
      </c>
      <c r="O87">
        <v>0</v>
      </c>
      <c r="P87">
        <v>1</v>
      </c>
      <c r="Q87">
        <v>0</v>
      </c>
      <c r="R87">
        <v>0</v>
      </c>
      <c r="S87">
        <v>1</v>
      </c>
      <c r="T87">
        <v>0</v>
      </c>
      <c r="U87">
        <v>0</v>
      </c>
      <c r="V87">
        <v>0</v>
      </c>
      <c r="W87">
        <v>0</v>
      </c>
      <c r="X87">
        <v>0</v>
      </c>
      <c r="Y87">
        <v>1</v>
      </c>
      <c r="Z87">
        <v>0</v>
      </c>
    </row>
    <row r="88" spans="1:26" x14ac:dyDescent="0.25">
      <c r="A88">
        <v>36</v>
      </c>
      <c r="B88">
        <v>19</v>
      </c>
      <c r="C88">
        <v>0</v>
      </c>
      <c r="D88">
        <v>3003</v>
      </c>
      <c r="E88">
        <v>5</v>
      </c>
      <c r="F88">
        <v>0</v>
      </c>
      <c r="G88">
        <v>1</v>
      </c>
      <c r="H88">
        <v>0</v>
      </c>
      <c r="I88">
        <v>0</v>
      </c>
      <c r="J88">
        <v>1</v>
      </c>
      <c r="K88">
        <v>0</v>
      </c>
      <c r="L88">
        <v>0</v>
      </c>
      <c r="M88">
        <v>0</v>
      </c>
      <c r="N88">
        <v>0</v>
      </c>
      <c r="O88">
        <v>1</v>
      </c>
      <c r="P88">
        <v>0</v>
      </c>
      <c r="Q88">
        <v>0</v>
      </c>
      <c r="R88">
        <v>1</v>
      </c>
      <c r="S88">
        <v>0</v>
      </c>
      <c r="T88">
        <v>0</v>
      </c>
      <c r="U88">
        <v>0</v>
      </c>
      <c r="V88">
        <v>0</v>
      </c>
      <c r="W88">
        <v>0</v>
      </c>
      <c r="X88">
        <v>1</v>
      </c>
      <c r="Y88">
        <v>0</v>
      </c>
      <c r="Z88">
        <v>0</v>
      </c>
    </row>
    <row r="89" spans="1:26" x14ac:dyDescent="0.25">
      <c r="A89">
        <v>87</v>
      </c>
      <c r="B89">
        <v>18</v>
      </c>
      <c r="C89">
        <v>0</v>
      </c>
      <c r="D89">
        <v>3981</v>
      </c>
      <c r="E89">
        <v>3</v>
      </c>
      <c r="F89">
        <v>1</v>
      </c>
      <c r="G89">
        <v>0</v>
      </c>
      <c r="H89">
        <v>0</v>
      </c>
      <c r="I89">
        <v>0</v>
      </c>
      <c r="J89">
        <v>1</v>
      </c>
      <c r="K89">
        <v>0</v>
      </c>
      <c r="L89">
        <v>0</v>
      </c>
      <c r="M89">
        <v>0</v>
      </c>
      <c r="N89">
        <v>1</v>
      </c>
      <c r="O89">
        <v>0</v>
      </c>
      <c r="P89">
        <v>0</v>
      </c>
      <c r="Q89">
        <v>0</v>
      </c>
      <c r="R89">
        <v>1</v>
      </c>
      <c r="S89">
        <v>0</v>
      </c>
      <c r="T89">
        <v>0</v>
      </c>
      <c r="U89">
        <v>0</v>
      </c>
      <c r="V89">
        <v>0</v>
      </c>
      <c r="W89">
        <v>0</v>
      </c>
      <c r="X89">
        <v>1</v>
      </c>
      <c r="Y89">
        <v>0</v>
      </c>
      <c r="Z89">
        <v>0</v>
      </c>
    </row>
    <row r="90" spans="1:26" x14ac:dyDescent="0.25">
      <c r="A90">
        <v>84</v>
      </c>
      <c r="B90">
        <v>18</v>
      </c>
      <c r="C90">
        <v>1</v>
      </c>
      <c r="D90">
        <v>732</v>
      </c>
      <c r="E90">
        <v>4</v>
      </c>
      <c r="F90">
        <v>1</v>
      </c>
      <c r="G90">
        <v>0</v>
      </c>
      <c r="H90">
        <v>0</v>
      </c>
      <c r="I90">
        <v>0</v>
      </c>
      <c r="J90">
        <v>0</v>
      </c>
      <c r="K90">
        <v>1</v>
      </c>
      <c r="L90">
        <v>0</v>
      </c>
      <c r="M90">
        <v>0</v>
      </c>
      <c r="N90">
        <v>1</v>
      </c>
      <c r="O90">
        <v>0</v>
      </c>
      <c r="P90">
        <v>0</v>
      </c>
      <c r="Q90">
        <v>0</v>
      </c>
      <c r="R90">
        <v>0</v>
      </c>
      <c r="S90">
        <v>1</v>
      </c>
      <c r="T90">
        <v>0</v>
      </c>
      <c r="U90">
        <v>0</v>
      </c>
      <c r="V90">
        <v>0</v>
      </c>
      <c r="W90">
        <v>0</v>
      </c>
      <c r="X90">
        <v>0</v>
      </c>
      <c r="Y90">
        <v>0</v>
      </c>
      <c r="Z90">
        <v>1</v>
      </c>
    </row>
    <row r="91" spans="1:26" x14ac:dyDescent="0.25">
      <c r="A91">
        <v>56</v>
      </c>
      <c r="B91">
        <v>14</v>
      </c>
      <c r="C91">
        <v>1</v>
      </c>
      <c r="D91">
        <v>3003</v>
      </c>
      <c r="E91">
        <v>3</v>
      </c>
      <c r="F91">
        <v>1</v>
      </c>
      <c r="G91">
        <v>0</v>
      </c>
      <c r="H91">
        <v>0</v>
      </c>
      <c r="I91">
        <v>0</v>
      </c>
      <c r="J91">
        <v>0</v>
      </c>
      <c r="K91">
        <v>0</v>
      </c>
      <c r="L91">
        <v>1</v>
      </c>
      <c r="M91">
        <v>0</v>
      </c>
      <c r="N91">
        <v>0</v>
      </c>
      <c r="O91">
        <v>1</v>
      </c>
      <c r="P91">
        <v>0</v>
      </c>
      <c r="Q91">
        <v>0</v>
      </c>
      <c r="R91">
        <v>0</v>
      </c>
      <c r="S91">
        <v>1</v>
      </c>
      <c r="T91">
        <v>0</v>
      </c>
      <c r="U91">
        <v>1</v>
      </c>
      <c r="V91">
        <v>0</v>
      </c>
      <c r="W91">
        <v>0</v>
      </c>
      <c r="X91">
        <v>0</v>
      </c>
      <c r="Y91">
        <v>0</v>
      </c>
      <c r="Z91">
        <v>0</v>
      </c>
    </row>
    <row r="92" spans="1:26" x14ac:dyDescent="0.25">
      <c r="A92">
        <v>42</v>
      </c>
      <c r="B92">
        <v>11</v>
      </c>
      <c r="C92">
        <v>1</v>
      </c>
      <c r="D92">
        <v>1228</v>
      </c>
      <c r="E92">
        <v>7</v>
      </c>
      <c r="F92">
        <v>1</v>
      </c>
      <c r="G92">
        <v>0</v>
      </c>
      <c r="H92">
        <v>0</v>
      </c>
      <c r="I92">
        <v>0</v>
      </c>
      <c r="J92">
        <v>0</v>
      </c>
      <c r="K92">
        <v>0</v>
      </c>
      <c r="L92">
        <v>1</v>
      </c>
      <c r="M92">
        <v>0</v>
      </c>
      <c r="N92">
        <v>1</v>
      </c>
      <c r="O92">
        <v>0</v>
      </c>
      <c r="P92">
        <v>0</v>
      </c>
      <c r="Q92">
        <v>0</v>
      </c>
      <c r="R92">
        <v>0</v>
      </c>
      <c r="S92">
        <v>1</v>
      </c>
      <c r="T92">
        <v>0</v>
      </c>
      <c r="U92">
        <v>1</v>
      </c>
      <c r="V92">
        <v>0</v>
      </c>
      <c r="W92">
        <v>0</v>
      </c>
      <c r="X92">
        <v>0</v>
      </c>
      <c r="Y92">
        <v>0</v>
      </c>
      <c r="Z92">
        <v>0</v>
      </c>
    </row>
    <row r="93" spans="1:26" x14ac:dyDescent="0.25">
      <c r="A93">
        <v>63</v>
      </c>
      <c r="B93">
        <v>27</v>
      </c>
      <c r="C93">
        <v>0</v>
      </c>
      <c r="D93">
        <v>3348</v>
      </c>
      <c r="E93">
        <v>5</v>
      </c>
      <c r="F93">
        <v>0</v>
      </c>
      <c r="G93">
        <v>0</v>
      </c>
      <c r="H93">
        <v>1</v>
      </c>
      <c r="I93">
        <v>0</v>
      </c>
      <c r="J93">
        <v>0</v>
      </c>
      <c r="K93">
        <v>0</v>
      </c>
      <c r="L93">
        <v>1</v>
      </c>
      <c r="M93">
        <v>0</v>
      </c>
      <c r="N93">
        <v>0</v>
      </c>
      <c r="O93">
        <v>0</v>
      </c>
      <c r="P93">
        <v>1</v>
      </c>
      <c r="Q93">
        <v>0</v>
      </c>
      <c r="R93">
        <v>1</v>
      </c>
      <c r="S93">
        <v>0</v>
      </c>
      <c r="T93">
        <v>0</v>
      </c>
      <c r="U93">
        <v>0</v>
      </c>
      <c r="V93">
        <v>0</v>
      </c>
      <c r="W93">
        <v>0</v>
      </c>
      <c r="X93">
        <v>0</v>
      </c>
      <c r="Y93">
        <v>0</v>
      </c>
      <c r="Z93">
        <v>1</v>
      </c>
    </row>
    <row r="94" spans="1:26" x14ac:dyDescent="0.25">
      <c r="A94">
        <v>31</v>
      </c>
      <c r="B94">
        <v>25</v>
      </c>
      <c r="C94">
        <v>0</v>
      </c>
      <c r="D94">
        <v>3025</v>
      </c>
      <c r="E94">
        <v>7</v>
      </c>
      <c r="F94">
        <v>0</v>
      </c>
      <c r="G94">
        <v>0</v>
      </c>
      <c r="H94">
        <v>0</v>
      </c>
      <c r="I94">
        <v>1</v>
      </c>
      <c r="J94">
        <v>0</v>
      </c>
      <c r="K94">
        <v>1</v>
      </c>
      <c r="L94">
        <v>0</v>
      </c>
      <c r="M94">
        <v>0</v>
      </c>
      <c r="N94">
        <v>0</v>
      </c>
      <c r="O94">
        <v>0</v>
      </c>
      <c r="P94">
        <v>1</v>
      </c>
      <c r="Q94">
        <v>1</v>
      </c>
      <c r="R94">
        <v>0</v>
      </c>
      <c r="S94">
        <v>0</v>
      </c>
      <c r="T94">
        <v>0</v>
      </c>
      <c r="U94">
        <v>0</v>
      </c>
      <c r="V94">
        <v>0</v>
      </c>
      <c r="W94">
        <v>1</v>
      </c>
      <c r="X94">
        <v>0</v>
      </c>
      <c r="Y94">
        <v>0</v>
      </c>
      <c r="Z94">
        <v>0</v>
      </c>
    </row>
    <row r="95" spans="1:26" x14ac:dyDescent="0.25">
      <c r="A95">
        <v>34</v>
      </c>
      <c r="B95">
        <v>12</v>
      </c>
      <c r="C95">
        <v>0</v>
      </c>
      <c r="D95">
        <v>787</v>
      </c>
      <c r="E95">
        <v>3</v>
      </c>
      <c r="F95">
        <v>0</v>
      </c>
      <c r="G95">
        <v>0</v>
      </c>
      <c r="H95">
        <v>1</v>
      </c>
      <c r="I95">
        <v>0</v>
      </c>
      <c r="J95">
        <v>0</v>
      </c>
      <c r="K95">
        <v>0</v>
      </c>
      <c r="L95">
        <v>1</v>
      </c>
      <c r="M95">
        <v>1</v>
      </c>
      <c r="N95">
        <v>1</v>
      </c>
      <c r="O95">
        <v>0</v>
      </c>
      <c r="P95">
        <v>0</v>
      </c>
      <c r="Q95">
        <v>0</v>
      </c>
      <c r="R95">
        <v>0</v>
      </c>
      <c r="S95">
        <v>1</v>
      </c>
      <c r="T95">
        <v>0</v>
      </c>
      <c r="U95">
        <v>0</v>
      </c>
      <c r="V95">
        <v>0</v>
      </c>
      <c r="W95">
        <v>0</v>
      </c>
      <c r="X95">
        <v>0</v>
      </c>
      <c r="Y95">
        <v>1</v>
      </c>
      <c r="Z95">
        <v>0</v>
      </c>
    </row>
    <row r="96" spans="1:26" x14ac:dyDescent="0.25">
      <c r="A96">
        <v>26</v>
      </c>
      <c r="B96">
        <v>17</v>
      </c>
      <c r="C96">
        <v>1</v>
      </c>
      <c r="D96">
        <v>716</v>
      </c>
      <c r="E96">
        <v>7</v>
      </c>
      <c r="F96">
        <v>0</v>
      </c>
      <c r="G96">
        <v>0</v>
      </c>
      <c r="H96">
        <v>1</v>
      </c>
      <c r="I96">
        <v>0</v>
      </c>
      <c r="J96">
        <v>0</v>
      </c>
      <c r="K96">
        <v>0</v>
      </c>
      <c r="L96">
        <v>1</v>
      </c>
      <c r="M96">
        <v>1</v>
      </c>
      <c r="N96">
        <v>1</v>
      </c>
      <c r="O96">
        <v>0</v>
      </c>
      <c r="P96">
        <v>0</v>
      </c>
      <c r="Q96">
        <v>0</v>
      </c>
      <c r="R96">
        <v>0</v>
      </c>
      <c r="S96">
        <v>1</v>
      </c>
      <c r="T96">
        <v>0</v>
      </c>
      <c r="U96">
        <v>0</v>
      </c>
      <c r="V96">
        <v>0</v>
      </c>
      <c r="W96">
        <v>0</v>
      </c>
      <c r="X96">
        <v>1</v>
      </c>
      <c r="Y96">
        <v>0</v>
      </c>
      <c r="Z96">
        <v>0</v>
      </c>
    </row>
    <row r="97" spans="1:26" x14ac:dyDescent="0.25">
      <c r="A97">
        <v>113</v>
      </c>
      <c r="B97">
        <v>48</v>
      </c>
      <c r="C97">
        <v>0</v>
      </c>
      <c r="D97">
        <v>315</v>
      </c>
      <c r="E97">
        <v>4</v>
      </c>
      <c r="F97">
        <v>0</v>
      </c>
      <c r="G97">
        <v>0</v>
      </c>
      <c r="H97">
        <v>1</v>
      </c>
      <c r="I97">
        <v>0</v>
      </c>
      <c r="J97">
        <v>0</v>
      </c>
      <c r="K97">
        <v>1</v>
      </c>
      <c r="L97">
        <v>0</v>
      </c>
      <c r="M97">
        <v>0</v>
      </c>
      <c r="N97">
        <v>1</v>
      </c>
      <c r="O97">
        <v>0</v>
      </c>
      <c r="P97">
        <v>0</v>
      </c>
      <c r="Q97">
        <v>0</v>
      </c>
      <c r="R97">
        <v>0</v>
      </c>
      <c r="S97">
        <v>1</v>
      </c>
      <c r="T97">
        <v>0</v>
      </c>
      <c r="U97">
        <v>0</v>
      </c>
      <c r="V97">
        <v>0</v>
      </c>
      <c r="W97">
        <v>1</v>
      </c>
      <c r="X97">
        <v>0</v>
      </c>
      <c r="Y97">
        <v>0</v>
      </c>
      <c r="Z97">
        <v>0</v>
      </c>
    </row>
    <row r="98" spans="1:26" x14ac:dyDescent="0.25">
      <c r="A98">
        <v>146</v>
      </c>
      <c r="B98">
        <v>17</v>
      </c>
      <c r="C98">
        <v>0</v>
      </c>
      <c r="D98">
        <v>3773</v>
      </c>
      <c r="E98">
        <v>2</v>
      </c>
      <c r="F98">
        <v>0</v>
      </c>
      <c r="G98">
        <v>1</v>
      </c>
      <c r="H98">
        <v>0</v>
      </c>
      <c r="I98">
        <v>0</v>
      </c>
      <c r="J98">
        <v>0</v>
      </c>
      <c r="K98">
        <v>1</v>
      </c>
      <c r="L98">
        <v>0</v>
      </c>
      <c r="M98">
        <v>0</v>
      </c>
      <c r="N98">
        <v>1</v>
      </c>
      <c r="O98">
        <v>0</v>
      </c>
      <c r="P98">
        <v>0</v>
      </c>
      <c r="Q98">
        <v>1</v>
      </c>
      <c r="R98">
        <v>0</v>
      </c>
      <c r="S98">
        <v>0</v>
      </c>
      <c r="T98">
        <v>0</v>
      </c>
      <c r="U98">
        <v>0</v>
      </c>
      <c r="V98">
        <v>1</v>
      </c>
      <c r="W98">
        <v>0</v>
      </c>
      <c r="X98">
        <v>0</v>
      </c>
      <c r="Y98">
        <v>0</v>
      </c>
      <c r="Z98">
        <v>0</v>
      </c>
    </row>
    <row r="99" spans="1:26" x14ac:dyDescent="0.25">
      <c r="A99">
        <v>60</v>
      </c>
      <c r="B99">
        <v>11</v>
      </c>
      <c r="C99">
        <v>1</v>
      </c>
      <c r="D99">
        <v>787</v>
      </c>
      <c r="E99">
        <v>3</v>
      </c>
      <c r="F99">
        <v>1</v>
      </c>
      <c r="G99">
        <v>0</v>
      </c>
      <c r="H99">
        <v>0</v>
      </c>
      <c r="I99">
        <v>0</v>
      </c>
      <c r="J99">
        <v>0</v>
      </c>
      <c r="K99">
        <v>0</v>
      </c>
      <c r="L99">
        <v>1</v>
      </c>
      <c r="M99">
        <v>1</v>
      </c>
      <c r="N99">
        <v>1</v>
      </c>
      <c r="O99">
        <v>0</v>
      </c>
      <c r="P99">
        <v>0</v>
      </c>
      <c r="Q99">
        <v>0</v>
      </c>
      <c r="R99">
        <v>0</v>
      </c>
      <c r="S99">
        <v>1</v>
      </c>
      <c r="T99">
        <v>0</v>
      </c>
      <c r="U99">
        <v>0</v>
      </c>
      <c r="V99">
        <v>0</v>
      </c>
      <c r="W99">
        <v>0</v>
      </c>
      <c r="X99">
        <v>1</v>
      </c>
      <c r="Y99">
        <v>0</v>
      </c>
      <c r="Z99">
        <v>0</v>
      </c>
    </row>
    <row r="100" spans="1:26" x14ac:dyDescent="0.25">
      <c r="A100">
        <v>76</v>
      </c>
      <c r="B100">
        <v>27</v>
      </c>
      <c r="C100">
        <v>0</v>
      </c>
      <c r="D100">
        <v>787</v>
      </c>
      <c r="E100">
        <v>6</v>
      </c>
      <c r="F100">
        <v>0</v>
      </c>
      <c r="G100">
        <v>0</v>
      </c>
      <c r="H100">
        <v>0</v>
      </c>
      <c r="I100">
        <v>1</v>
      </c>
      <c r="J100">
        <v>0</v>
      </c>
      <c r="K100">
        <v>0</v>
      </c>
      <c r="L100">
        <v>1</v>
      </c>
      <c r="M100">
        <v>1</v>
      </c>
      <c r="N100">
        <v>1</v>
      </c>
      <c r="O100">
        <v>0</v>
      </c>
      <c r="P100">
        <v>0</v>
      </c>
      <c r="Q100">
        <v>0</v>
      </c>
      <c r="R100">
        <v>1</v>
      </c>
      <c r="S100">
        <v>0</v>
      </c>
      <c r="T100">
        <v>0</v>
      </c>
      <c r="U100">
        <v>0</v>
      </c>
      <c r="V100">
        <v>0</v>
      </c>
      <c r="W100">
        <v>0</v>
      </c>
      <c r="X100">
        <v>1</v>
      </c>
      <c r="Y100">
        <v>0</v>
      </c>
      <c r="Z100">
        <v>0</v>
      </c>
    </row>
    <row r="101" spans="1:26" x14ac:dyDescent="0.25">
      <c r="A101">
        <v>30</v>
      </c>
      <c r="B101">
        <v>10</v>
      </c>
      <c r="C101">
        <v>0</v>
      </c>
      <c r="D101">
        <v>3003</v>
      </c>
      <c r="E101">
        <v>2</v>
      </c>
      <c r="F101">
        <v>0</v>
      </c>
      <c r="G101">
        <v>0</v>
      </c>
      <c r="H101">
        <v>1</v>
      </c>
      <c r="I101">
        <v>0</v>
      </c>
      <c r="J101">
        <v>0</v>
      </c>
      <c r="K101">
        <v>0</v>
      </c>
      <c r="L101">
        <v>1</v>
      </c>
      <c r="M101">
        <v>0</v>
      </c>
      <c r="N101">
        <v>0</v>
      </c>
      <c r="O101">
        <v>1</v>
      </c>
      <c r="P101">
        <v>0</v>
      </c>
      <c r="Q101">
        <v>0</v>
      </c>
      <c r="R101">
        <v>0</v>
      </c>
      <c r="S101">
        <v>1</v>
      </c>
      <c r="T101">
        <v>0</v>
      </c>
      <c r="U101">
        <v>0</v>
      </c>
      <c r="V101">
        <v>0</v>
      </c>
      <c r="W101">
        <v>0</v>
      </c>
      <c r="X101">
        <v>0</v>
      </c>
      <c r="Y101">
        <v>0</v>
      </c>
      <c r="Z101">
        <v>1</v>
      </c>
    </row>
    <row r="102" spans="1:26" x14ac:dyDescent="0.25">
      <c r="A102">
        <v>154</v>
      </c>
      <c r="B102">
        <v>23</v>
      </c>
      <c r="C102">
        <v>0</v>
      </c>
      <c r="D102">
        <v>826</v>
      </c>
      <c r="E102">
        <v>4</v>
      </c>
      <c r="F102">
        <v>0</v>
      </c>
      <c r="G102">
        <v>0</v>
      </c>
      <c r="H102">
        <v>0</v>
      </c>
      <c r="I102">
        <v>1</v>
      </c>
      <c r="J102">
        <v>1</v>
      </c>
      <c r="K102">
        <v>0</v>
      </c>
      <c r="L102">
        <v>0</v>
      </c>
      <c r="M102">
        <v>0</v>
      </c>
      <c r="N102">
        <v>0</v>
      </c>
      <c r="O102">
        <v>1</v>
      </c>
      <c r="P102">
        <v>0</v>
      </c>
      <c r="Q102">
        <v>0</v>
      </c>
      <c r="R102">
        <v>0</v>
      </c>
      <c r="S102">
        <v>1</v>
      </c>
      <c r="T102">
        <v>0</v>
      </c>
      <c r="U102">
        <v>0</v>
      </c>
      <c r="V102">
        <v>0</v>
      </c>
      <c r="W102">
        <v>0</v>
      </c>
      <c r="X102">
        <v>1</v>
      </c>
      <c r="Y102">
        <v>0</v>
      </c>
      <c r="Z102">
        <v>0</v>
      </c>
    </row>
    <row r="103" spans="1:26" x14ac:dyDescent="0.25">
      <c r="A103">
        <v>28</v>
      </c>
      <c r="B103">
        <v>23</v>
      </c>
      <c r="C103">
        <v>0</v>
      </c>
      <c r="D103">
        <v>3025</v>
      </c>
      <c r="E103">
        <v>4</v>
      </c>
      <c r="F103">
        <v>1</v>
      </c>
      <c r="G103">
        <v>0</v>
      </c>
      <c r="H103">
        <v>0</v>
      </c>
      <c r="I103">
        <v>0</v>
      </c>
      <c r="J103">
        <v>0</v>
      </c>
      <c r="K103">
        <v>0</v>
      </c>
      <c r="L103">
        <v>1</v>
      </c>
      <c r="M103">
        <v>0</v>
      </c>
      <c r="N103">
        <v>0</v>
      </c>
      <c r="O103">
        <v>0</v>
      </c>
      <c r="P103">
        <v>1</v>
      </c>
      <c r="Q103">
        <v>0</v>
      </c>
      <c r="R103">
        <v>0</v>
      </c>
      <c r="S103">
        <v>1</v>
      </c>
      <c r="T103">
        <v>1</v>
      </c>
      <c r="U103">
        <v>0</v>
      </c>
      <c r="V103">
        <v>0</v>
      </c>
      <c r="W103">
        <v>0</v>
      </c>
      <c r="X103">
        <v>0</v>
      </c>
      <c r="Y103">
        <v>0</v>
      </c>
      <c r="Z103">
        <v>0</v>
      </c>
    </row>
    <row r="104" spans="1:26" x14ac:dyDescent="0.25">
      <c r="A104">
        <v>39</v>
      </c>
      <c r="B104">
        <v>20</v>
      </c>
      <c r="C104">
        <v>0</v>
      </c>
      <c r="D104">
        <v>4027</v>
      </c>
      <c r="E104">
        <v>8</v>
      </c>
      <c r="F104">
        <v>0</v>
      </c>
      <c r="G104">
        <v>0</v>
      </c>
      <c r="H104">
        <v>0</v>
      </c>
      <c r="I104">
        <v>1</v>
      </c>
      <c r="J104">
        <v>0</v>
      </c>
      <c r="K104">
        <v>0</v>
      </c>
      <c r="L104">
        <v>1</v>
      </c>
      <c r="M104">
        <v>0</v>
      </c>
      <c r="N104">
        <v>0</v>
      </c>
      <c r="O104">
        <v>0</v>
      </c>
      <c r="P104">
        <v>1</v>
      </c>
      <c r="Q104">
        <v>0</v>
      </c>
      <c r="R104">
        <v>1</v>
      </c>
      <c r="S104">
        <v>0</v>
      </c>
      <c r="T104">
        <v>0</v>
      </c>
      <c r="U104">
        <v>0</v>
      </c>
      <c r="V104">
        <v>0</v>
      </c>
      <c r="W104">
        <v>0</v>
      </c>
      <c r="X104">
        <v>1</v>
      </c>
      <c r="Y104">
        <v>0</v>
      </c>
      <c r="Z104">
        <v>0</v>
      </c>
    </row>
    <row r="105" spans="1:26" x14ac:dyDescent="0.25">
      <c r="A105">
        <v>54</v>
      </c>
      <c r="B105">
        <v>18</v>
      </c>
      <c r="C105">
        <v>0</v>
      </c>
      <c r="D105">
        <v>3348</v>
      </c>
      <c r="E105">
        <v>5</v>
      </c>
      <c r="F105">
        <v>0</v>
      </c>
      <c r="G105">
        <v>1</v>
      </c>
      <c r="H105">
        <v>0</v>
      </c>
      <c r="I105">
        <v>0</v>
      </c>
      <c r="J105">
        <v>1</v>
      </c>
      <c r="K105">
        <v>0</v>
      </c>
      <c r="L105">
        <v>0</v>
      </c>
      <c r="M105">
        <v>0</v>
      </c>
      <c r="N105">
        <v>0</v>
      </c>
      <c r="O105">
        <v>0</v>
      </c>
      <c r="P105">
        <v>1</v>
      </c>
      <c r="Q105">
        <v>0</v>
      </c>
      <c r="R105">
        <v>0</v>
      </c>
      <c r="S105">
        <v>1</v>
      </c>
      <c r="T105">
        <v>0</v>
      </c>
      <c r="U105">
        <v>0</v>
      </c>
      <c r="V105">
        <v>0</v>
      </c>
      <c r="W105">
        <v>0</v>
      </c>
      <c r="X105">
        <v>0</v>
      </c>
      <c r="Y105">
        <v>0</v>
      </c>
      <c r="Z105">
        <v>1</v>
      </c>
    </row>
    <row r="106" spans="1:26" x14ac:dyDescent="0.25">
      <c r="A106">
        <v>142</v>
      </c>
      <c r="B106">
        <v>17</v>
      </c>
      <c r="C106">
        <v>0</v>
      </c>
      <c r="D106">
        <v>2700</v>
      </c>
      <c r="E106">
        <v>3</v>
      </c>
      <c r="F106">
        <v>0</v>
      </c>
      <c r="G106">
        <v>0</v>
      </c>
      <c r="H106">
        <v>0</v>
      </c>
      <c r="I106">
        <v>1</v>
      </c>
      <c r="J106">
        <v>0</v>
      </c>
      <c r="K106">
        <v>0</v>
      </c>
      <c r="L106">
        <v>1</v>
      </c>
      <c r="M106">
        <v>1</v>
      </c>
      <c r="N106">
        <v>0</v>
      </c>
      <c r="O106">
        <v>0</v>
      </c>
      <c r="P106">
        <v>1</v>
      </c>
      <c r="Q106">
        <v>0</v>
      </c>
      <c r="R106">
        <v>0</v>
      </c>
      <c r="S106">
        <v>1</v>
      </c>
      <c r="T106">
        <v>0</v>
      </c>
      <c r="U106">
        <v>1</v>
      </c>
      <c r="V106">
        <v>0</v>
      </c>
      <c r="W106">
        <v>0</v>
      </c>
      <c r="X106">
        <v>0</v>
      </c>
      <c r="Y106">
        <v>0</v>
      </c>
      <c r="Z106">
        <v>0</v>
      </c>
    </row>
    <row r="107" spans="1:26" x14ac:dyDescent="0.25">
      <c r="A107">
        <v>39</v>
      </c>
      <c r="B107">
        <v>15</v>
      </c>
      <c r="C107">
        <v>0</v>
      </c>
      <c r="D107">
        <v>1467</v>
      </c>
      <c r="E107">
        <v>1</v>
      </c>
      <c r="F107">
        <v>0</v>
      </c>
      <c r="G107">
        <v>0</v>
      </c>
      <c r="H107">
        <v>1</v>
      </c>
      <c r="I107">
        <v>0</v>
      </c>
      <c r="J107">
        <v>1</v>
      </c>
      <c r="K107">
        <v>0</v>
      </c>
      <c r="L107">
        <v>0</v>
      </c>
      <c r="M107">
        <v>1</v>
      </c>
      <c r="N107">
        <v>0</v>
      </c>
      <c r="O107">
        <v>1</v>
      </c>
      <c r="P107">
        <v>0</v>
      </c>
      <c r="Q107">
        <v>0</v>
      </c>
      <c r="R107">
        <v>1</v>
      </c>
      <c r="S107">
        <v>0</v>
      </c>
      <c r="T107">
        <v>0</v>
      </c>
      <c r="U107">
        <v>0</v>
      </c>
      <c r="V107">
        <v>0</v>
      </c>
      <c r="W107">
        <v>1</v>
      </c>
      <c r="X107">
        <v>0</v>
      </c>
      <c r="Y107">
        <v>0</v>
      </c>
      <c r="Z107">
        <v>0</v>
      </c>
    </row>
    <row r="108" spans="1:26" x14ac:dyDescent="0.25">
      <c r="A108">
        <v>62</v>
      </c>
      <c r="B108">
        <v>13</v>
      </c>
      <c r="C108">
        <v>0</v>
      </c>
      <c r="D108">
        <v>3933</v>
      </c>
      <c r="E108">
        <v>2</v>
      </c>
      <c r="F108">
        <v>0</v>
      </c>
      <c r="G108">
        <v>0</v>
      </c>
      <c r="H108">
        <v>0</v>
      </c>
      <c r="I108">
        <v>1</v>
      </c>
      <c r="J108">
        <v>1</v>
      </c>
      <c r="K108">
        <v>0</v>
      </c>
      <c r="L108">
        <v>0</v>
      </c>
      <c r="M108">
        <v>0</v>
      </c>
      <c r="N108">
        <v>0</v>
      </c>
      <c r="O108">
        <v>0</v>
      </c>
      <c r="P108">
        <v>1</v>
      </c>
      <c r="Q108">
        <v>0</v>
      </c>
      <c r="R108">
        <v>0</v>
      </c>
      <c r="S108">
        <v>1</v>
      </c>
      <c r="T108">
        <v>0</v>
      </c>
      <c r="U108">
        <v>0</v>
      </c>
      <c r="V108">
        <v>0</v>
      </c>
      <c r="W108">
        <v>0</v>
      </c>
      <c r="X108">
        <v>0</v>
      </c>
      <c r="Y108">
        <v>1</v>
      </c>
      <c r="Z108">
        <v>0</v>
      </c>
    </row>
    <row r="109" spans="1:26" x14ac:dyDescent="0.25">
      <c r="A109">
        <v>60</v>
      </c>
      <c r="B109">
        <v>4</v>
      </c>
      <c r="C109">
        <v>0</v>
      </c>
      <c r="D109">
        <v>732</v>
      </c>
      <c r="E109">
        <v>2</v>
      </c>
      <c r="F109">
        <v>0</v>
      </c>
      <c r="G109">
        <v>0</v>
      </c>
      <c r="H109">
        <v>1</v>
      </c>
      <c r="I109">
        <v>0</v>
      </c>
      <c r="J109">
        <v>0</v>
      </c>
      <c r="K109">
        <v>0</v>
      </c>
      <c r="L109">
        <v>1</v>
      </c>
      <c r="M109">
        <v>0</v>
      </c>
      <c r="N109">
        <v>1</v>
      </c>
      <c r="O109">
        <v>0</v>
      </c>
      <c r="P109">
        <v>0</v>
      </c>
      <c r="Q109">
        <v>0</v>
      </c>
      <c r="R109">
        <v>0</v>
      </c>
      <c r="S109">
        <v>1</v>
      </c>
      <c r="T109">
        <v>0</v>
      </c>
      <c r="U109">
        <v>0</v>
      </c>
      <c r="V109">
        <v>0</v>
      </c>
      <c r="W109">
        <v>0</v>
      </c>
      <c r="X109">
        <v>0</v>
      </c>
      <c r="Y109">
        <v>1</v>
      </c>
      <c r="Z109">
        <v>0</v>
      </c>
    </row>
    <row r="110" spans="1:26" x14ac:dyDescent="0.25">
      <c r="A110">
        <v>34</v>
      </c>
      <c r="B110">
        <v>17</v>
      </c>
      <c r="C110">
        <v>0</v>
      </c>
      <c r="D110">
        <v>1467</v>
      </c>
      <c r="E110">
        <v>8</v>
      </c>
      <c r="F110">
        <v>1</v>
      </c>
      <c r="G110">
        <v>0</v>
      </c>
      <c r="H110">
        <v>0</v>
      </c>
      <c r="I110">
        <v>0</v>
      </c>
      <c r="J110">
        <v>0</v>
      </c>
      <c r="K110">
        <v>1</v>
      </c>
      <c r="L110">
        <v>0</v>
      </c>
      <c r="M110">
        <v>1</v>
      </c>
      <c r="N110">
        <v>0</v>
      </c>
      <c r="O110">
        <v>1</v>
      </c>
      <c r="P110">
        <v>0</v>
      </c>
      <c r="Q110">
        <v>0</v>
      </c>
      <c r="R110">
        <v>1</v>
      </c>
      <c r="S110">
        <v>0</v>
      </c>
      <c r="T110">
        <v>0</v>
      </c>
      <c r="U110">
        <v>0</v>
      </c>
      <c r="V110">
        <v>0</v>
      </c>
      <c r="W110">
        <v>1</v>
      </c>
      <c r="X110">
        <v>0</v>
      </c>
      <c r="Y110">
        <v>0</v>
      </c>
      <c r="Z110">
        <v>0</v>
      </c>
    </row>
    <row r="111" spans="1:26" x14ac:dyDescent="0.25">
      <c r="A111">
        <v>48</v>
      </c>
      <c r="B111">
        <v>14</v>
      </c>
      <c r="C111">
        <v>1</v>
      </c>
      <c r="D111">
        <v>1282</v>
      </c>
      <c r="E111">
        <v>9</v>
      </c>
      <c r="F111">
        <v>0</v>
      </c>
      <c r="G111">
        <v>1</v>
      </c>
      <c r="H111">
        <v>0</v>
      </c>
      <c r="I111">
        <v>0</v>
      </c>
      <c r="J111">
        <v>1</v>
      </c>
      <c r="K111">
        <v>0</v>
      </c>
      <c r="L111">
        <v>0</v>
      </c>
      <c r="M111">
        <v>0</v>
      </c>
      <c r="N111">
        <v>0</v>
      </c>
      <c r="O111">
        <v>0</v>
      </c>
      <c r="P111">
        <v>1</v>
      </c>
      <c r="Q111">
        <v>0</v>
      </c>
      <c r="R111">
        <v>0</v>
      </c>
      <c r="S111">
        <v>1</v>
      </c>
      <c r="T111">
        <v>0</v>
      </c>
      <c r="U111">
        <v>0</v>
      </c>
      <c r="V111">
        <v>0</v>
      </c>
      <c r="W111">
        <v>0</v>
      </c>
      <c r="X111">
        <v>0</v>
      </c>
      <c r="Y111">
        <v>0</v>
      </c>
      <c r="Z111">
        <v>1</v>
      </c>
    </row>
    <row r="112" spans="1:26" x14ac:dyDescent="0.25">
      <c r="A112">
        <v>28</v>
      </c>
      <c r="B112">
        <v>12</v>
      </c>
      <c r="C112">
        <v>1</v>
      </c>
      <c r="D112">
        <v>2034</v>
      </c>
      <c r="E112">
        <v>2</v>
      </c>
      <c r="F112">
        <v>0</v>
      </c>
      <c r="G112">
        <v>1</v>
      </c>
      <c r="H112">
        <v>0</v>
      </c>
      <c r="I112">
        <v>0</v>
      </c>
      <c r="J112">
        <v>0</v>
      </c>
      <c r="K112">
        <v>0</v>
      </c>
      <c r="L112">
        <v>1</v>
      </c>
      <c r="M112">
        <v>0</v>
      </c>
      <c r="N112">
        <v>0</v>
      </c>
      <c r="O112">
        <v>0</v>
      </c>
      <c r="P112">
        <v>1</v>
      </c>
      <c r="Q112">
        <v>0</v>
      </c>
      <c r="R112">
        <v>1</v>
      </c>
      <c r="S112">
        <v>0</v>
      </c>
      <c r="T112">
        <v>0</v>
      </c>
      <c r="U112">
        <v>0</v>
      </c>
      <c r="V112">
        <v>1</v>
      </c>
      <c r="W112">
        <v>0</v>
      </c>
      <c r="X112">
        <v>0</v>
      </c>
      <c r="Y112">
        <v>0</v>
      </c>
      <c r="Z112">
        <v>0</v>
      </c>
    </row>
    <row r="113" spans="1:26" x14ac:dyDescent="0.25">
      <c r="A113">
        <v>24</v>
      </c>
      <c r="B113">
        <v>12</v>
      </c>
      <c r="C113">
        <v>0</v>
      </c>
      <c r="D113">
        <v>787</v>
      </c>
      <c r="E113">
        <v>4</v>
      </c>
      <c r="F113">
        <v>0</v>
      </c>
      <c r="G113">
        <v>0</v>
      </c>
      <c r="H113">
        <v>0</v>
      </c>
      <c r="I113">
        <v>1</v>
      </c>
      <c r="J113">
        <v>0</v>
      </c>
      <c r="K113">
        <v>0</v>
      </c>
      <c r="L113">
        <v>1</v>
      </c>
      <c r="M113">
        <v>1</v>
      </c>
      <c r="N113">
        <v>1</v>
      </c>
      <c r="O113">
        <v>0</v>
      </c>
      <c r="P113">
        <v>0</v>
      </c>
      <c r="Q113">
        <v>0</v>
      </c>
      <c r="R113">
        <v>1</v>
      </c>
      <c r="S113">
        <v>0</v>
      </c>
      <c r="T113">
        <v>0</v>
      </c>
      <c r="U113">
        <v>1</v>
      </c>
      <c r="V113">
        <v>0</v>
      </c>
      <c r="W113">
        <v>0</v>
      </c>
      <c r="X113">
        <v>0</v>
      </c>
      <c r="Y113">
        <v>0</v>
      </c>
      <c r="Z113">
        <v>0</v>
      </c>
    </row>
    <row r="114" spans="1:26" x14ac:dyDescent="0.25">
      <c r="A114">
        <v>78</v>
      </c>
      <c r="B114">
        <v>11</v>
      </c>
      <c r="C114">
        <v>0</v>
      </c>
      <c r="D114">
        <v>2884</v>
      </c>
      <c r="E114">
        <v>2</v>
      </c>
      <c r="F114">
        <v>0</v>
      </c>
      <c r="G114">
        <v>0</v>
      </c>
      <c r="H114">
        <v>0</v>
      </c>
      <c r="I114">
        <v>1</v>
      </c>
      <c r="J114">
        <v>1</v>
      </c>
      <c r="K114">
        <v>0</v>
      </c>
      <c r="L114">
        <v>0</v>
      </c>
      <c r="M114">
        <v>1</v>
      </c>
      <c r="N114">
        <v>0</v>
      </c>
      <c r="O114">
        <v>1</v>
      </c>
      <c r="P114">
        <v>0</v>
      </c>
      <c r="Q114">
        <v>0</v>
      </c>
      <c r="R114">
        <v>0</v>
      </c>
      <c r="S114">
        <v>1</v>
      </c>
      <c r="T114">
        <v>0</v>
      </c>
      <c r="U114">
        <v>0</v>
      </c>
      <c r="V114">
        <v>0</v>
      </c>
      <c r="W114">
        <v>0</v>
      </c>
      <c r="X114">
        <v>0</v>
      </c>
      <c r="Y114">
        <v>1</v>
      </c>
      <c r="Z114">
        <v>0</v>
      </c>
    </row>
    <row r="115" spans="1:26" x14ac:dyDescent="0.25">
      <c r="A115">
        <v>34</v>
      </c>
      <c r="B115">
        <v>8</v>
      </c>
      <c r="C115">
        <v>0</v>
      </c>
      <c r="D115">
        <v>3981</v>
      </c>
      <c r="E115">
        <v>4</v>
      </c>
      <c r="F115">
        <v>1</v>
      </c>
      <c r="G115">
        <v>0</v>
      </c>
      <c r="H115">
        <v>0</v>
      </c>
      <c r="I115">
        <v>0</v>
      </c>
      <c r="J115">
        <v>1</v>
      </c>
      <c r="K115">
        <v>0</v>
      </c>
      <c r="L115">
        <v>0</v>
      </c>
      <c r="M115">
        <v>0</v>
      </c>
      <c r="N115">
        <v>1</v>
      </c>
      <c r="O115">
        <v>0</v>
      </c>
      <c r="P115">
        <v>0</v>
      </c>
      <c r="Q115">
        <v>1</v>
      </c>
      <c r="R115">
        <v>0</v>
      </c>
      <c r="S115">
        <v>0</v>
      </c>
      <c r="T115">
        <v>0</v>
      </c>
      <c r="U115">
        <v>0</v>
      </c>
      <c r="V115">
        <v>0</v>
      </c>
      <c r="W115">
        <v>0</v>
      </c>
      <c r="X115">
        <v>0</v>
      </c>
      <c r="Y115">
        <v>1</v>
      </c>
      <c r="Z115">
        <v>0</v>
      </c>
    </row>
    <row r="116" spans="1:26" x14ac:dyDescent="0.25">
      <c r="A116">
        <v>43</v>
      </c>
      <c r="B116">
        <v>38</v>
      </c>
      <c r="C116">
        <v>1</v>
      </c>
      <c r="D116">
        <v>4027</v>
      </c>
      <c r="E116">
        <v>4</v>
      </c>
      <c r="F116">
        <v>0</v>
      </c>
      <c r="G116">
        <v>0</v>
      </c>
      <c r="H116">
        <v>0</v>
      </c>
      <c r="I116">
        <v>1</v>
      </c>
      <c r="J116">
        <v>0</v>
      </c>
      <c r="K116">
        <v>0</v>
      </c>
      <c r="L116">
        <v>1</v>
      </c>
      <c r="M116">
        <v>0</v>
      </c>
      <c r="N116">
        <v>0</v>
      </c>
      <c r="O116">
        <v>0</v>
      </c>
      <c r="P116">
        <v>1</v>
      </c>
      <c r="Q116">
        <v>1</v>
      </c>
      <c r="R116">
        <v>0</v>
      </c>
      <c r="S116">
        <v>0</v>
      </c>
      <c r="T116">
        <v>0</v>
      </c>
      <c r="U116">
        <v>0</v>
      </c>
      <c r="V116">
        <v>1</v>
      </c>
      <c r="W116">
        <v>0</v>
      </c>
      <c r="X116">
        <v>0</v>
      </c>
      <c r="Y116">
        <v>0</v>
      </c>
      <c r="Z116">
        <v>0</v>
      </c>
    </row>
    <row r="117" spans="1:26" x14ac:dyDescent="0.25">
      <c r="A117">
        <v>50</v>
      </c>
      <c r="B117">
        <v>13</v>
      </c>
      <c r="C117">
        <v>0</v>
      </c>
      <c r="D117">
        <v>826</v>
      </c>
      <c r="E117">
        <v>8</v>
      </c>
      <c r="F117">
        <v>0</v>
      </c>
      <c r="G117">
        <v>0</v>
      </c>
      <c r="H117">
        <v>0</v>
      </c>
      <c r="I117">
        <v>1</v>
      </c>
      <c r="J117">
        <v>0</v>
      </c>
      <c r="K117">
        <v>0</v>
      </c>
      <c r="L117">
        <v>1</v>
      </c>
      <c r="M117">
        <v>0</v>
      </c>
      <c r="N117">
        <v>0</v>
      </c>
      <c r="O117">
        <v>1</v>
      </c>
      <c r="P117">
        <v>0</v>
      </c>
      <c r="Q117">
        <v>0</v>
      </c>
      <c r="R117">
        <v>0</v>
      </c>
      <c r="S117">
        <v>1</v>
      </c>
      <c r="T117">
        <v>0</v>
      </c>
      <c r="U117">
        <v>0</v>
      </c>
      <c r="V117">
        <v>0</v>
      </c>
      <c r="W117">
        <v>0</v>
      </c>
      <c r="X117">
        <v>1</v>
      </c>
      <c r="Y117">
        <v>0</v>
      </c>
      <c r="Z117">
        <v>0</v>
      </c>
    </row>
    <row r="118" spans="1:26" x14ac:dyDescent="0.25">
      <c r="A118">
        <v>15</v>
      </c>
      <c r="B118">
        <v>10</v>
      </c>
      <c r="C118">
        <v>0</v>
      </c>
      <c r="D118">
        <v>3348</v>
      </c>
      <c r="E118">
        <v>9</v>
      </c>
      <c r="F118">
        <v>0</v>
      </c>
      <c r="G118">
        <v>0</v>
      </c>
      <c r="H118">
        <v>1</v>
      </c>
      <c r="I118">
        <v>0</v>
      </c>
      <c r="J118">
        <v>0</v>
      </c>
      <c r="K118">
        <v>1</v>
      </c>
      <c r="L118">
        <v>0</v>
      </c>
      <c r="M118">
        <v>0</v>
      </c>
      <c r="N118">
        <v>0</v>
      </c>
      <c r="O118">
        <v>0</v>
      </c>
      <c r="P118">
        <v>1</v>
      </c>
      <c r="Q118">
        <v>0</v>
      </c>
      <c r="R118">
        <v>0</v>
      </c>
      <c r="S118">
        <v>1</v>
      </c>
      <c r="T118">
        <v>1</v>
      </c>
      <c r="U118">
        <v>0</v>
      </c>
      <c r="V118">
        <v>0</v>
      </c>
      <c r="W118">
        <v>0</v>
      </c>
      <c r="X118">
        <v>0</v>
      </c>
      <c r="Y118">
        <v>0</v>
      </c>
      <c r="Z118">
        <v>0</v>
      </c>
    </row>
    <row r="119" spans="1:26" x14ac:dyDescent="0.25">
      <c r="A119">
        <v>26</v>
      </c>
      <c r="B119">
        <v>10</v>
      </c>
      <c r="C119">
        <v>1</v>
      </c>
      <c r="D119">
        <v>3981</v>
      </c>
      <c r="E119">
        <v>1</v>
      </c>
      <c r="F119">
        <v>0</v>
      </c>
      <c r="G119">
        <v>0</v>
      </c>
      <c r="H119">
        <v>1</v>
      </c>
      <c r="I119">
        <v>0</v>
      </c>
      <c r="J119">
        <v>1</v>
      </c>
      <c r="K119">
        <v>0</v>
      </c>
      <c r="L119">
        <v>0</v>
      </c>
      <c r="M119">
        <v>0</v>
      </c>
      <c r="N119">
        <v>1</v>
      </c>
      <c r="O119">
        <v>0</v>
      </c>
      <c r="P119">
        <v>0</v>
      </c>
      <c r="Q119">
        <v>0</v>
      </c>
      <c r="R119">
        <v>0</v>
      </c>
      <c r="S119">
        <v>1</v>
      </c>
      <c r="T119">
        <v>0</v>
      </c>
      <c r="U119">
        <v>0</v>
      </c>
      <c r="V119">
        <v>0</v>
      </c>
      <c r="W119">
        <v>0</v>
      </c>
      <c r="X119">
        <v>0</v>
      </c>
      <c r="Y119">
        <v>0</v>
      </c>
      <c r="Z119">
        <v>1</v>
      </c>
    </row>
    <row r="120" spans="1:26" x14ac:dyDescent="0.25">
      <c r="A120">
        <v>19</v>
      </c>
      <c r="B120">
        <v>9</v>
      </c>
      <c r="C120">
        <v>1</v>
      </c>
      <c r="D120">
        <v>1467</v>
      </c>
      <c r="E120">
        <v>3</v>
      </c>
      <c r="F120">
        <v>0</v>
      </c>
      <c r="G120">
        <v>0</v>
      </c>
      <c r="H120">
        <v>1</v>
      </c>
      <c r="I120">
        <v>0</v>
      </c>
      <c r="J120">
        <v>0</v>
      </c>
      <c r="K120">
        <v>0</v>
      </c>
      <c r="L120">
        <v>1</v>
      </c>
      <c r="M120">
        <v>1</v>
      </c>
      <c r="N120">
        <v>0</v>
      </c>
      <c r="O120">
        <v>1</v>
      </c>
      <c r="P120">
        <v>0</v>
      </c>
      <c r="Q120">
        <v>0</v>
      </c>
      <c r="R120">
        <v>1</v>
      </c>
      <c r="S120">
        <v>0</v>
      </c>
      <c r="T120">
        <v>1</v>
      </c>
      <c r="U120">
        <v>0</v>
      </c>
      <c r="V120">
        <v>0</v>
      </c>
      <c r="W120">
        <v>0</v>
      </c>
      <c r="X120">
        <v>0</v>
      </c>
      <c r="Y120">
        <v>0</v>
      </c>
      <c r="Z120">
        <v>0</v>
      </c>
    </row>
    <row r="121" spans="1:26" x14ac:dyDescent="0.25">
      <c r="A121">
        <v>113</v>
      </c>
      <c r="B121">
        <v>38</v>
      </c>
      <c r="C121">
        <v>0</v>
      </c>
      <c r="D121">
        <v>2034</v>
      </c>
      <c r="E121">
        <v>1</v>
      </c>
      <c r="F121">
        <v>0</v>
      </c>
      <c r="G121">
        <v>0</v>
      </c>
      <c r="H121">
        <v>1</v>
      </c>
      <c r="I121">
        <v>0</v>
      </c>
      <c r="J121">
        <v>1</v>
      </c>
      <c r="K121">
        <v>0</v>
      </c>
      <c r="L121">
        <v>0</v>
      </c>
      <c r="M121">
        <v>0</v>
      </c>
      <c r="N121">
        <v>0</v>
      </c>
      <c r="O121">
        <v>0</v>
      </c>
      <c r="P121">
        <v>1</v>
      </c>
      <c r="Q121">
        <v>0</v>
      </c>
      <c r="R121">
        <v>0</v>
      </c>
      <c r="S121">
        <v>1</v>
      </c>
      <c r="T121">
        <v>0</v>
      </c>
      <c r="U121">
        <v>0</v>
      </c>
      <c r="V121">
        <v>0</v>
      </c>
      <c r="W121">
        <v>0</v>
      </c>
      <c r="X121">
        <v>0</v>
      </c>
      <c r="Y121">
        <v>1</v>
      </c>
      <c r="Z121">
        <v>0</v>
      </c>
    </row>
    <row r="122" spans="1:26" x14ac:dyDescent="0.25">
      <c r="A122">
        <v>25</v>
      </c>
      <c r="B122">
        <v>19</v>
      </c>
      <c r="C122">
        <v>0</v>
      </c>
      <c r="D122">
        <v>826</v>
      </c>
      <c r="E122">
        <v>8</v>
      </c>
      <c r="F122">
        <v>1</v>
      </c>
      <c r="G122">
        <v>0</v>
      </c>
      <c r="H122">
        <v>0</v>
      </c>
      <c r="I122">
        <v>0</v>
      </c>
      <c r="J122">
        <v>0</v>
      </c>
      <c r="K122">
        <v>0</v>
      </c>
      <c r="L122">
        <v>1</v>
      </c>
      <c r="M122">
        <v>0</v>
      </c>
      <c r="N122">
        <v>0</v>
      </c>
      <c r="O122">
        <v>1</v>
      </c>
      <c r="P122">
        <v>0</v>
      </c>
      <c r="Q122">
        <v>0</v>
      </c>
      <c r="R122">
        <v>0</v>
      </c>
      <c r="S122">
        <v>1</v>
      </c>
      <c r="T122">
        <v>0</v>
      </c>
      <c r="U122">
        <v>1</v>
      </c>
      <c r="V122">
        <v>0</v>
      </c>
      <c r="W122">
        <v>0</v>
      </c>
      <c r="X122">
        <v>0</v>
      </c>
      <c r="Y122">
        <v>0</v>
      </c>
      <c r="Z122">
        <v>0</v>
      </c>
    </row>
    <row r="123" spans="1:26" x14ac:dyDescent="0.25">
      <c r="A123">
        <v>35</v>
      </c>
      <c r="B123">
        <v>17</v>
      </c>
      <c r="C123">
        <v>1</v>
      </c>
      <c r="D123">
        <v>787</v>
      </c>
      <c r="E123">
        <v>6</v>
      </c>
      <c r="F123">
        <v>0</v>
      </c>
      <c r="G123">
        <v>1</v>
      </c>
      <c r="H123">
        <v>0</v>
      </c>
      <c r="I123">
        <v>0</v>
      </c>
      <c r="J123">
        <v>0</v>
      </c>
      <c r="K123">
        <v>0</v>
      </c>
      <c r="L123">
        <v>1</v>
      </c>
      <c r="M123">
        <v>1</v>
      </c>
      <c r="N123">
        <v>1</v>
      </c>
      <c r="O123">
        <v>0</v>
      </c>
      <c r="P123">
        <v>0</v>
      </c>
      <c r="Q123">
        <v>0</v>
      </c>
      <c r="R123">
        <v>1</v>
      </c>
      <c r="S123">
        <v>0</v>
      </c>
      <c r="T123">
        <v>0</v>
      </c>
      <c r="U123">
        <v>0</v>
      </c>
      <c r="V123">
        <v>0</v>
      </c>
      <c r="W123">
        <v>0</v>
      </c>
      <c r="X123">
        <v>0</v>
      </c>
      <c r="Y123">
        <v>1</v>
      </c>
      <c r="Z123">
        <v>0</v>
      </c>
    </row>
    <row r="124" spans="1:26" x14ac:dyDescent="0.25">
      <c r="A124">
        <v>43</v>
      </c>
      <c r="B124">
        <v>14</v>
      </c>
      <c r="C124">
        <v>0</v>
      </c>
      <c r="D124">
        <v>2884</v>
      </c>
      <c r="E124">
        <v>5</v>
      </c>
      <c r="F124">
        <v>0</v>
      </c>
      <c r="G124">
        <v>1</v>
      </c>
      <c r="H124">
        <v>0</v>
      </c>
      <c r="I124">
        <v>0</v>
      </c>
      <c r="J124">
        <v>1</v>
      </c>
      <c r="K124">
        <v>0</v>
      </c>
      <c r="L124">
        <v>0</v>
      </c>
      <c r="M124">
        <v>1</v>
      </c>
      <c r="N124">
        <v>0</v>
      </c>
      <c r="O124">
        <v>1</v>
      </c>
      <c r="P124">
        <v>0</v>
      </c>
      <c r="Q124">
        <v>1</v>
      </c>
      <c r="R124">
        <v>0</v>
      </c>
      <c r="S124">
        <v>0</v>
      </c>
      <c r="T124">
        <v>0</v>
      </c>
      <c r="U124">
        <v>0</v>
      </c>
      <c r="V124">
        <v>0</v>
      </c>
      <c r="W124">
        <v>0</v>
      </c>
      <c r="X124">
        <v>1</v>
      </c>
      <c r="Y124">
        <v>0</v>
      </c>
      <c r="Z124">
        <v>0</v>
      </c>
    </row>
    <row r="125" spans="1:26" x14ac:dyDescent="0.25">
      <c r="A125">
        <v>92</v>
      </c>
      <c r="B125">
        <v>12</v>
      </c>
      <c r="C125">
        <v>0</v>
      </c>
      <c r="D125">
        <v>188</v>
      </c>
      <c r="E125">
        <v>2</v>
      </c>
      <c r="F125">
        <v>0</v>
      </c>
      <c r="G125">
        <v>0</v>
      </c>
      <c r="H125">
        <v>0</v>
      </c>
      <c r="I125">
        <v>1</v>
      </c>
      <c r="J125">
        <v>1</v>
      </c>
      <c r="K125">
        <v>0</v>
      </c>
      <c r="L125">
        <v>0</v>
      </c>
      <c r="M125">
        <v>0</v>
      </c>
      <c r="N125">
        <v>0</v>
      </c>
      <c r="O125">
        <v>1</v>
      </c>
      <c r="P125">
        <v>0</v>
      </c>
      <c r="Q125">
        <v>1</v>
      </c>
      <c r="R125">
        <v>0</v>
      </c>
      <c r="S125">
        <v>0</v>
      </c>
      <c r="T125">
        <v>0</v>
      </c>
      <c r="U125">
        <v>0</v>
      </c>
      <c r="V125">
        <v>1</v>
      </c>
      <c r="W125">
        <v>0</v>
      </c>
      <c r="X125">
        <v>0</v>
      </c>
      <c r="Y125">
        <v>0</v>
      </c>
      <c r="Z125">
        <v>0</v>
      </c>
    </row>
    <row r="126" spans="1:26" x14ac:dyDescent="0.25">
      <c r="A126">
        <v>20</v>
      </c>
      <c r="B126">
        <v>10</v>
      </c>
      <c r="C126">
        <v>0</v>
      </c>
      <c r="D126">
        <v>2916</v>
      </c>
      <c r="E126">
        <v>2</v>
      </c>
      <c r="F126">
        <v>0</v>
      </c>
      <c r="G126">
        <v>0</v>
      </c>
      <c r="H126">
        <v>0</v>
      </c>
      <c r="I126">
        <v>1</v>
      </c>
      <c r="J126">
        <v>0</v>
      </c>
      <c r="K126">
        <v>0</v>
      </c>
      <c r="L126">
        <v>1</v>
      </c>
      <c r="M126">
        <v>0</v>
      </c>
      <c r="N126">
        <v>0</v>
      </c>
      <c r="O126">
        <v>1</v>
      </c>
      <c r="P126">
        <v>0</v>
      </c>
      <c r="Q126">
        <v>0</v>
      </c>
      <c r="R126">
        <v>0</v>
      </c>
      <c r="S126">
        <v>1</v>
      </c>
      <c r="T126">
        <v>0</v>
      </c>
      <c r="U126">
        <v>0</v>
      </c>
      <c r="V126">
        <v>0</v>
      </c>
      <c r="W126">
        <v>0</v>
      </c>
      <c r="X126">
        <v>1</v>
      </c>
      <c r="Y126">
        <v>0</v>
      </c>
      <c r="Z126">
        <v>0</v>
      </c>
    </row>
    <row r="127" spans="1:26" x14ac:dyDescent="0.25">
      <c r="A127">
        <v>31</v>
      </c>
      <c r="B127">
        <v>8</v>
      </c>
      <c r="C127">
        <v>0</v>
      </c>
      <c r="D127">
        <v>3773</v>
      </c>
      <c r="E127">
        <v>2</v>
      </c>
      <c r="F127">
        <v>0</v>
      </c>
      <c r="G127">
        <v>0</v>
      </c>
      <c r="H127">
        <v>1</v>
      </c>
      <c r="I127">
        <v>0</v>
      </c>
      <c r="J127">
        <v>0</v>
      </c>
      <c r="K127">
        <v>0</v>
      </c>
      <c r="L127">
        <v>1</v>
      </c>
      <c r="M127">
        <v>0</v>
      </c>
      <c r="N127">
        <v>1</v>
      </c>
      <c r="O127">
        <v>0</v>
      </c>
      <c r="P127">
        <v>0</v>
      </c>
      <c r="Q127">
        <v>0</v>
      </c>
      <c r="R127">
        <v>0</v>
      </c>
      <c r="S127">
        <v>1</v>
      </c>
      <c r="T127">
        <v>0</v>
      </c>
      <c r="U127">
        <v>0</v>
      </c>
      <c r="V127">
        <v>0</v>
      </c>
      <c r="W127">
        <v>0</v>
      </c>
      <c r="X127">
        <v>0</v>
      </c>
      <c r="Y127">
        <v>1</v>
      </c>
      <c r="Z127">
        <v>0</v>
      </c>
    </row>
    <row r="128" spans="1:26" x14ac:dyDescent="0.25">
      <c r="A128">
        <v>47</v>
      </c>
      <c r="B128">
        <v>6</v>
      </c>
      <c r="C128">
        <v>0</v>
      </c>
      <c r="D128">
        <v>3981</v>
      </c>
      <c r="E128">
        <v>5</v>
      </c>
      <c r="F128">
        <v>0</v>
      </c>
      <c r="G128">
        <v>0</v>
      </c>
      <c r="H128">
        <v>0</v>
      </c>
      <c r="I128">
        <v>1</v>
      </c>
      <c r="J128">
        <v>1</v>
      </c>
      <c r="K128">
        <v>0</v>
      </c>
      <c r="L128">
        <v>0</v>
      </c>
      <c r="M128">
        <v>0</v>
      </c>
      <c r="N128">
        <v>1</v>
      </c>
      <c r="O128">
        <v>0</v>
      </c>
      <c r="P128">
        <v>0</v>
      </c>
      <c r="Q128">
        <v>0</v>
      </c>
      <c r="R128">
        <v>1</v>
      </c>
      <c r="S128">
        <v>0</v>
      </c>
      <c r="T128">
        <v>0</v>
      </c>
      <c r="U128">
        <v>1</v>
      </c>
      <c r="V128">
        <v>0</v>
      </c>
      <c r="W128">
        <v>0</v>
      </c>
      <c r="X128">
        <v>0</v>
      </c>
      <c r="Y128">
        <v>0</v>
      </c>
      <c r="Z128">
        <v>0</v>
      </c>
    </row>
    <row r="129" spans="1:26" x14ac:dyDescent="0.25">
      <c r="A129">
        <v>91</v>
      </c>
      <c r="B129">
        <v>16</v>
      </c>
      <c r="C129">
        <v>0</v>
      </c>
      <c r="D129">
        <v>3025</v>
      </c>
      <c r="E129">
        <v>3</v>
      </c>
      <c r="F129">
        <v>0</v>
      </c>
      <c r="G129">
        <v>1</v>
      </c>
      <c r="H129">
        <v>0</v>
      </c>
      <c r="I129">
        <v>0</v>
      </c>
      <c r="J129">
        <v>1</v>
      </c>
      <c r="K129">
        <v>0</v>
      </c>
      <c r="L129">
        <v>0</v>
      </c>
      <c r="M129">
        <v>0</v>
      </c>
      <c r="N129">
        <v>0</v>
      </c>
      <c r="O129">
        <v>0</v>
      </c>
      <c r="P129">
        <v>1</v>
      </c>
      <c r="Q129">
        <v>0</v>
      </c>
      <c r="R129">
        <v>0</v>
      </c>
      <c r="S129">
        <v>1</v>
      </c>
      <c r="T129">
        <v>0</v>
      </c>
      <c r="U129">
        <v>0</v>
      </c>
      <c r="V129">
        <v>0</v>
      </c>
      <c r="W129">
        <v>0</v>
      </c>
      <c r="X129">
        <v>0</v>
      </c>
      <c r="Y129">
        <v>0</v>
      </c>
      <c r="Z129">
        <v>1</v>
      </c>
    </row>
    <row r="130" spans="1:26" x14ac:dyDescent="0.25">
      <c r="A130">
        <v>61</v>
      </c>
      <c r="B130">
        <v>13</v>
      </c>
      <c r="C130">
        <v>0</v>
      </c>
      <c r="D130">
        <v>315</v>
      </c>
      <c r="E130">
        <v>4</v>
      </c>
      <c r="F130">
        <v>1</v>
      </c>
      <c r="G130">
        <v>0</v>
      </c>
      <c r="H130">
        <v>0</v>
      </c>
      <c r="I130">
        <v>0</v>
      </c>
      <c r="J130">
        <v>0</v>
      </c>
      <c r="K130">
        <v>0</v>
      </c>
      <c r="L130">
        <v>1</v>
      </c>
      <c r="M130">
        <v>0</v>
      </c>
      <c r="N130">
        <v>1</v>
      </c>
      <c r="O130">
        <v>0</v>
      </c>
      <c r="P130">
        <v>0</v>
      </c>
      <c r="Q130">
        <v>0</v>
      </c>
      <c r="R130">
        <v>1</v>
      </c>
      <c r="S130">
        <v>0</v>
      </c>
      <c r="T130">
        <v>0</v>
      </c>
      <c r="U130">
        <v>0</v>
      </c>
      <c r="V130">
        <v>0</v>
      </c>
      <c r="W130">
        <v>1</v>
      </c>
      <c r="X130">
        <v>0</v>
      </c>
      <c r="Y130">
        <v>0</v>
      </c>
      <c r="Z130">
        <v>0</v>
      </c>
    </row>
    <row r="131" spans="1:26" x14ac:dyDescent="0.25">
      <c r="A131">
        <v>22</v>
      </c>
      <c r="B131">
        <v>13</v>
      </c>
      <c r="C131">
        <v>0</v>
      </c>
      <c r="D131">
        <v>4027</v>
      </c>
      <c r="E131">
        <v>2</v>
      </c>
      <c r="F131">
        <v>0</v>
      </c>
      <c r="G131">
        <v>0</v>
      </c>
      <c r="H131">
        <v>1</v>
      </c>
      <c r="I131">
        <v>0</v>
      </c>
      <c r="J131">
        <v>0</v>
      </c>
      <c r="K131">
        <v>0</v>
      </c>
      <c r="L131">
        <v>1</v>
      </c>
      <c r="M131">
        <v>0</v>
      </c>
      <c r="N131">
        <v>0</v>
      </c>
      <c r="O131">
        <v>0</v>
      </c>
      <c r="P131">
        <v>1</v>
      </c>
      <c r="Q131">
        <v>1</v>
      </c>
      <c r="R131">
        <v>0</v>
      </c>
      <c r="S131">
        <v>0</v>
      </c>
      <c r="T131">
        <v>1</v>
      </c>
      <c r="U131">
        <v>0</v>
      </c>
      <c r="V131">
        <v>0</v>
      </c>
      <c r="W131">
        <v>0</v>
      </c>
      <c r="X131">
        <v>0</v>
      </c>
      <c r="Y131">
        <v>0</v>
      </c>
      <c r="Z131">
        <v>0</v>
      </c>
    </row>
    <row r="132" spans="1:26" x14ac:dyDescent="0.25">
      <c r="A132">
        <v>40</v>
      </c>
      <c r="B132">
        <v>12</v>
      </c>
      <c r="C132">
        <v>1</v>
      </c>
      <c r="D132">
        <v>2700</v>
      </c>
      <c r="E132">
        <v>7</v>
      </c>
      <c r="F132">
        <v>0</v>
      </c>
      <c r="G132">
        <v>0</v>
      </c>
      <c r="H132">
        <v>0</v>
      </c>
      <c r="I132">
        <v>1</v>
      </c>
      <c r="J132">
        <v>1</v>
      </c>
      <c r="K132">
        <v>0</v>
      </c>
      <c r="L132">
        <v>0</v>
      </c>
      <c r="M132">
        <v>1</v>
      </c>
      <c r="N132">
        <v>0</v>
      </c>
      <c r="O132">
        <v>0</v>
      </c>
      <c r="P132">
        <v>1</v>
      </c>
      <c r="Q132">
        <v>0</v>
      </c>
      <c r="R132">
        <v>0</v>
      </c>
      <c r="S132">
        <v>1</v>
      </c>
      <c r="T132">
        <v>0</v>
      </c>
      <c r="U132">
        <v>0</v>
      </c>
      <c r="V132">
        <v>1</v>
      </c>
      <c r="W132">
        <v>0</v>
      </c>
      <c r="X132">
        <v>0</v>
      </c>
      <c r="Y132">
        <v>0</v>
      </c>
      <c r="Z132">
        <v>0</v>
      </c>
    </row>
    <row r="133" spans="1:26" x14ac:dyDescent="0.25">
      <c r="A133">
        <v>83</v>
      </c>
      <c r="B133">
        <v>10</v>
      </c>
      <c r="C133">
        <v>0</v>
      </c>
      <c r="D133">
        <v>4027</v>
      </c>
      <c r="E133">
        <v>1</v>
      </c>
      <c r="F133">
        <v>0</v>
      </c>
      <c r="G133">
        <v>0</v>
      </c>
      <c r="H133">
        <v>1</v>
      </c>
      <c r="I133">
        <v>0</v>
      </c>
      <c r="J133">
        <v>0</v>
      </c>
      <c r="K133">
        <v>1</v>
      </c>
      <c r="L133">
        <v>0</v>
      </c>
      <c r="M133">
        <v>0</v>
      </c>
      <c r="N133">
        <v>0</v>
      </c>
      <c r="O133">
        <v>0</v>
      </c>
      <c r="P133">
        <v>1</v>
      </c>
      <c r="Q133">
        <v>1</v>
      </c>
      <c r="R133">
        <v>0</v>
      </c>
      <c r="S133">
        <v>0</v>
      </c>
      <c r="T133">
        <v>0</v>
      </c>
      <c r="U133">
        <v>0</v>
      </c>
      <c r="V133">
        <v>0</v>
      </c>
      <c r="W133">
        <v>0</v>
      </c>
      <c r="X133">
        <v>0</v>
      </c>
      <c r="Y133">
        <v>1</v>
      </c>
      <c r="Z133">
        <v>0</v>
      </c>
    </row>
    <row r="134" spans="1:26" x14ac:dyDescent="0.25">
      <c r="A134">
        <v>34</v>
      </c>
      <c r="B134">
        <v>8</v>
      </c>
      <c r="C134">
        <v>0</v>
      </c>
      <c r="D134">
        <v>2034</v>
      </c>
      <c r="E134">
        <v>4</v>
      </c>
      <c r="F134">
        <v>0</v>
      </c>
      <c r="G134">
        <v>1</v>
      </c>
      <c r="H134">
        <v>0</v>
      </c>
      <c r="I134">
        <v>0</v>
      </c>
      <c r="J134">
        <v>1</v>
      </c>
      <c r="K134">
        <v>0</v>
      </c>
      <c r="L134">
        <v>0</v>
      </c>
      <c r="M134">
        <v>0</v>
      </c>
      <c r="N134">
        <v>0</v>
      </c>
      <c r="O134">
        <v>0</v>
      </c>
      <c r="P134">
        <v>1</v>
      </c>
      <c r="Q134">
        <v>0</v>
      </c>
      <c r="R134">
        <v>0</v>
      </c>
      <c r="S134">
        <v>1</v>
      </c>
      <c r="T134">
        <v>0</v>
      </c>
      <c r="U134">
        <v>0</v>
      </c>
      <c r="V134">
        <v>0</v>
      </c>
      <c r="W134">
        <v>0</v>
      </c>
      <c r="X134">
        <v>0</v>
      </c>
      <c r="Y134">
        <v>1</v>
      </c>
      <c r="Z134">
        <v>0</v>
      </c>
    </row>
    <row r="135" spans="1:26" x14ac:dyDescent="0.25">
      <c r="A135">
        <v>73</v>
      </c>
      <c r="B135">
        <v>7</v>
      </c>
      <c r="C135">
        <v>1</v>
      </c>
      <c r="D135">
        <v>2916</v>
      </c>
      <c r="E135">
        <v>3</v>
      </c>
      <c r="F135">
        <v>0</v>
      </c>
      <c r="G135">
        <v>1</v>
      </c>
      <c r="H135">
        <v>0</v>
      </c>
      <c r="I135">
        <v>0</v>
      </c>
      <c r="J135">
        <v>0</v>
      </c>
      <c r="K135">
        <v>0</v>
      </c>
      <c r="L135">
        <v>1</v>
      </c>
      <c r="M135">
        <v>0</v>
      </c>
      <c r="N135">
        <v>0</v>
      </c>
      <c r="O135">
        <v>1</v>
      </c>
      <c r="P135">
        <v>0</v>
      </c>
      <c r="Q135">
        <v>0</v>
      </c>
      <c r="R135">
        <v>0</v>
      </c>
      <c r="S135">
        <v>1</v>
      </c>
      <c r="T135">
        <v>0</v>
      </c>
      <c r="U135">
        <v>0</v>
      </c>
      <c r="V135">
        <v>0</v>
      </c>
      <c r="W135">
        <v>0</v>
      </c>
      <c r="X135">
        <v>1</v>
      </c>
      <c r="Y135">
        <v>0</v>
      </c>
      <c r="Z135">
        <v>0</v>
      </c>
    </row>
    <row r="136" spans="1:26" x14ac:dyDescent="0.25">
      <c r="A136">
        <v>8</v>
      </c>
      <c r="B136">
        <v>7</v>
      </c>
      <c r="C136">
        <v>0</v>
      </c>
      <c r="D136">
        <v>3773</v>
      </c>
      <c r="E136">
        <v>10</v>
      </c>
      <c r="F136">
        <v>0</v>
      </c>
      <c r="G136">
        <v>0</v>
      </c>
      <c r="H136">
        <v>0</v>
      </c>
      <c r="I136">
        <v>1</v>
      </c>
      <c r="J136">
        <v>0</v>
      </c>
      <c r="K136">
        <v>0</v>
      </c>
      <c r="L136">
        <v>1</v>
      </c>
      <c r="M136">
        <v>0</v>
      </c>
      <c r="N136">
        <v>1</v>
      </c>
      <c r="O136">
        <v>0</v>
      </c>
      <c r="P136">
        <v>0</v>
      </c>
      <c r="Q136">
        <v>0</v>
      </c>
      <c r="R136">
        <v>0</v>
      </c>
      <c r="S136">
        <v>1</v>
      </c>
      <c r="T136">
        <v>0</v>
      </c>
      <c r="U136">
        <v>1</v>
      </c>
      <c r="V136">
        <v>0</v>
      </c>
      <c r="W136">
        <v>0</v>
      </c>
      <c r="X136">
        <v>0</v>
      </c>
      <c r="Y136">
        <v>0</v>
      </c>
      <c r="Z136">
        <v>0</v>
      </c>
    </row>
    <row r="137" spans="1:26" x14ac:dyDescent="0.25">
      <c r="A137">
        <v>30</v>
      </c>
      <c r="B137">
        <v>6</v>
      </c>
      <c r="C137">
        <v>0</v>
      </c>
      <c r="D137">
        <v>3933</v>
      </c>
      <c r="E137">
        <v>3</v>
      </c>
      <c r="F137">
        <v>1</v>
      </c>
      <c r="G137">
        <v>0</v>
      </c>
      <c r="H137">
        <v>0</v>
      </c>
      <c r="I137">
        <v>0</v>
      </c>
      <c r="J137">
        <v>0</v>
      </c>
      <c r="K137">
        <v>0</v>
      </c>
      <c r="L137">
        <v>1</v>
      </c>
      <c r="M137">
        <v>0</v>
      </c>
      <c r="N137">
        <v>0</v>
      </c>
      <c r="O137">
        <v>0</v>
      </c>
      <c r="P137">
        <v>1</v>
      </c>
      <c r="Q137">
        <v>0</v>
      </c>
      <c r="R137">
        <v>0</v>
      </c>
      <c r="S137">
        <v>1</v>
      </c>
      <c r="T137">
        <v>0</v>
      </c>
      <c r="U137">
        <v>0</v>
      </c>
      <c r="V137">
        <v>0</v>
      </c>
      <c r="W137">
        <v>0</v>
      </c>
      <c r="X137">
        <v>0</v>
      </c>
      <c r="Y137">
        <v>1</v>
      </c>
      <c r="Z137">
        <v>0</v>
      </c>
    </row>
    <row r="138" spans="1:26" x14ac:dyDescent="0.25">
      <c r="A138">
        <v>62</v>
      </c>
      <c r="B138">
        <v>40</v>
      </c>
      <c r="C138">
        <v>1</v>
      </c>
      <c r="D138">
        <v>732</v>
      </c>
      <c r="E138">
        <v>5</v>
      </c>
      <c r="F138">
        <v>0</v>
      </c>
      <c r="G138">
        <v>1</v>
      </c>
      <c r="H138">
        <v>0</v>
      </c>
      <c r="I138">
        <v>0</v>
      </c>
      <c r="J138">
        <v>0</v>
      </c>
      <c r="K138">
        <v>1</v>
      </c>
      <c r="L138">
        <v>0</v>
      </c>
      <c r="M138">
        <v>0</v>
      </c>
      <c r="N138">
        <v>1</v>
      </c>
      <c r="O138">
        <v>0</v>
      </c>
      <c r="P138">
        <v>0</v>
      </c>
      <c r="Q138">
        <v>1</v>
      </c>
      <c r="R138">
        <v>0</v>
      </c>
      <c r="S138">
        <v>0</v>
      </c>
      <c r="T138">
        <v>0</v>
      </c>
      <c r="U138">
        <v>0</v>
      </c>
      <c r="V138">
        <v>0</v>
      </c>
      <c r="W138">
        <v>1</v>
      </c>
      <c r="X138">
        <v>0</v>
      </c>
      <c r="Y138">
        <v>0</v>
      </c>
      <c r="Z138">
        <v>0</v>
      </c>
    </row>
    <row r="139" spans="1:26" x14ac:dyDescent="0.25">
      <c r="A139">
        <v>22</v>
      </c>
      <c r="B139">
        <v>15</v>
      </c>
      <c r="C139">
        <v>0</v>
      </c>
      <c r="D139">
        <v>1228</v>
      </c>
      <c r="E139">
        <v>6</v>
      </c>
      <c r="F139">
        <v>0</v>
      </c>
      <c r="G139">
        <v>0</v>
      </c>
      <c r="H139">
        <v>0</v>
      </c>
      <c r="I139">
        <v>1</v>
      </c>
      <c r="J139">
        <v>0</v>
      </c>
      <c r="K139">
        <v>1</v>
      </c>
      <c r="L139">
        <v>0</v>
      </c>
      <c r="M139">
        <v>0</v>
      </c>
      <c r="N139">
        <v>1</v>
      </c>
      <c r="O139">
        <v>0</v>
      </c>
      <c r="P139">
        <v>0</v>
      </c>
      <c r="Q139">
        <v>0</v>
      </c>
      <c r="R139">
        <v>0</v>
      </c>
      <c r="S139">
        <v>1</v>
      </c>
      <c r="T139">
        <v>0</v>
      </c>
      <c r="U139">
        <v>1</v>
      </c>
      <c r="V139">
        <v>0</v>
      </c>
      <c r="W139">
        <v>0</v>
      </c>
      <c r="X139">
        <v>0</v>
      </c>
      <c r="Y139">
        <v>0</v>
      </c>
      <c r="Z139">
        <v>0</v>
      </c>
    </row>
    <row r="140" spans="1:26" x14ac:dyDescent="0.25">
      <c r="A140">
        <v>18</v>
      </c>
      <c r="B140">
        <v>13</v>
      </c>
      <c r="C140">
        <v>1</v>
      </c>
      <c r="D140">
        <v>2700</v>
      </c>
      <c r="E140">
        <v>9</v>
      </c>
      <c r="F140">
        <v>0</v>
      </c>
      <c r="G140">
        <v>1</v>
      </c>
      <c r="H140">
        <v>0</v>
      </c>
      <c r="I140">
        <v>0</v>
      </c>
      <c r="J140">
        <v>1</v>
      </c>
      <c r="K140">
        <v>0</v>
      </c>
      <c r="L140">
        <v>0</v>
      </c>
      <c r="M140">
        <v>1</v>
      </c>
      <c r="N140">
        <v>0</v>
      </c>
      <c r="O140">
        <v>0</v>
      </c>
      <c r="P140">
        <v>1</v>
      </c>
      <c r="Q140">
        <v>0</v>
      </c>
      <c r="R140">
        <v>1</v>
      </c>
      <c r="S140">
        <v>0</v>
      </c>
      <c r="T140">
        <v>0</v>
      </c>
      <c r="U140">
        <v>0</v>
      </c>
      <c r="V140">
        <v>1</v>
      </c>
      <c r="W140">
        <v>0</v>
      </c>
      <c r="X140">
        <v>0</v>
      </c>
      <c r="Y140">
        <v>0</v>
      </c>
      <c r="Z140">
        <v>0</v>
      </c>
    </row>
    <row r="141" spans="1:26" x14ac:dyDescent="0.25">
      <c r="A141">
        <v>36</v>
      </c>
      <c r="B141">
        <v>9</v>
      </c>
      <c r="C141">
        <v>1</v>
      </c>
      <c r="D141">
        <v>3773</v>
      </c>
      <c r="E141">
        <v>2</v>
      </c>
      <c r="F141">
        <v>0</v>
      </c>
      <c r="G141">
        <v>0</v>
      </c>
      <c r="H141">
        <v>1</v>
      </c>
      <c r="I141">
        <v>0</v>
      </c>
      <c r="J141">
        <v>0</v>
      </c>
      <c r="K141">
        <v>1</v>
      </c>
      <c r="L141">
        <v>0</v>
      </c>
      <c r="M141">
        <v>0</v>
      </c>
      <c r="N141">
        <v>1</v>
      </c>
      <c r="O141">
        <v>0</v>
      </c>
      <c r="P141">
        <v>0</v>
      </c>
      <c r="Q141">
        <v>0</v>
      </c>
      <c r="R141">
        <v>0</v>
      </c>
      <c r="S141">
        <v>1</v>
      </c>
      <c r="T141">
        <v>0</v>
      </c>
      <c r="U141">
        <v>0</v>
      </c>
      <c r="V141">
        <v>1</v>
      </c>
      <c r="W141">
        <v>0</v>
      </c>
      <c r="X141">
        <v>0</v>
      </c>
      <c r="Y141">
        <v>0</v>
      </c>
      <c r="Z141">
        <v>0</v>
      </c>
    </row>
    <row r="142" spans="1:26" x14ac:dyDescent="0.25">
      <c r="A142">
        <v>20</v>
      </c>
      <c r="B142">
        <v>9</v>
      </c>
      <c r="C142">
        <v>0</v>
      </c>
      <c r="D142">
        <v>315</v>
      </c>
      <c r="E142">
        <v>8</v>
      </c>
      <c r="F142">
        <v>1</v>
      </c>
      <c r="G142">
        <v>0</v>
      </c>
      <c r="H142">
        <v>0</v>
      </c>
      <c r="I142">
        <v>0</v>
      </c>
      <c r="J142">
        <v>0</v>
      </c>
      <c r="K142">
        <v>0</v>
      </c>
      <c r="L142">
        <v>1</v>
      </c>
      <c r="M142">
        <v>0</v>
      </c>
      <c r="N142">
        <v>1</v>
      </c>
      <c r="O142">
        <v>0</v>
      </c>
      <c r="P142">
        <v>0</v>
      </c>
      <c r="Q142">
        <v>0</v>
      </c>
      <c r="R142">
        <v>0</v>
      </c>
      <c r="S142">
        <v>1</v>
      </c>
      <c r="T142">
        <v>0</v>
      </c>
      <c r="U142">
        <v>0</v>
      </c>
      <c r="V142">
        <v>0</v>
      </c>
      <c r="W142">
        <v>0</v>
      </c>
      <c r="X142">
        <v>0</v>
      </c>
      <c r="Y142">
        <v>1</v>
      </c>
      <c r="Z142">
        <v>0</v>
      </c>
    </row>
    <row r="143" spans="1:26" x14ac:dyDescent="0.25">
      <c r="A143">
        <v>48</v>
      </c>
      <c r="B143">
        <v>8</v>
      </c>
      <c r="C143">
        <v>0</v>
      </c>
      <c r="D143">
        <v>2916</v>
      </c>
      <c r="E143">
        <v>6</v>
      </c>
      <c r="F143">
        <v>0</v>
      </c>
      <c r="G143">
        <v>0</v>
      </c>
      <c r="H143">
        <v>0</v>
      </c>
      <c r="I143">
        <v>1</v>
      </c>
      <c r="J143">
        <v>0</v>
      </c>
      <c r="K143">
        <v>0</v>
      </c>
      <c r="L143">
        <v>1</v>
      </c>
      <c r="M143">
        <v>0</v>
      </c>
      <c r="N143">
        <v>0</v>
      </c>
      <c r="O143">
        <v>1</v>
      </c>
      <c r="P143">
        <v>0</v>
      </c>
      <c r="Q143">
        <v>0</v>
      </c>
      <c r="R143">
        <v>0</v>
      </c>
      <c r="S143">
        <v>1</v>
      </c>
      <c r="T143">
        <v>0</v>
      </c>
      <c r="U143">
        <v>1</v>
      </c>
      <c r="V143">
        <v>0</v>
      </c>
      <c r="W143">
        <v>0</v>
      </c>
      <c r="X143">
        <v>0</v>
      </c>
      <c r="Y143">
        <v>0</v>
      </c>
      <c r="Z143">
        <v>0</v>
      </c>
    </row>
    <row r="144" spans="1:26" x14ac:dyDescent="0.25">
      <c r="A144">
        <v>56</v>
      </c>
      <c r="B144">
        <v>7</v>
      </c>
      <c r="C144">
        <v>0</v>
      </c>
      <c r="D144">
        <v>315</v>
      </c>
      <c r="E144">
        <v>7</v>
      </c>
      <c r="F144">
        <v>0</v>
      </c>
      <c r="G144">
        <v>1</v>
      </c>
      <c r="H144">
        <v>0</v>
      </c>
      <c r="I144">
        <v>0</v>
      </c>
      <c r="J144">
        <v>0</v>
      </c>
      <c r="K144">
        <v>1</v>
      </c>
      <c r="L144">
        <v>0</v>
      </c>
      <c r="M144">
        <v>0</v>
      </c>
      <c r="N144">
        <v>1</v>
      </c>
      <c r="O144">
        <v>0</v>
      </c>
      <c r="P144">
        <v>0</v>
      </c>
      <c r="Q144">
        <v>0</v>
      </c>
      <c r="R144">
        <v>0</v>
      </c>
      <c r="S144">
        <v>1</v>
      </c>
      <c r="T144">
        <v>0</v>
      </c>
      <c r="U144">
        <v>0</v>
      </c>
      <c r="V144">
        <v>0</v>
      </c>
      <c r="W144">
        <v>1</v>
      </c>
      <c r="X144">
        <v>0</v>
      </c>
      <c r="Y144">
        <v>0</v>
      </c>
      <c r="Z144">
        <v>0</v>
      </c>
    </row>
    <row r="145" spans="1:26" x14ac:dyDescent="0.25">
      <c r="A145">
        <v>12</v>
      </c>
      <c r="B145">
        <v>4</v>
      </c>
      <c r="C145">
        <v>0</v>
      </c>
      <c r="D145">
        <v>2884</v>
      </c>
      <c r="E145">
        <v>1</v>
      </c>
      <c r="F145">
        <v>0</v>
      </c>
      <c r="G145">
        <v>0</v>
      </c>
      <c r="H145">
        <v>1</v>
      </c>
      <c r="I145">
        <v>0</v>
      </c>
      <c r="J145">
        <v>0</v>
      </c>
      <c r="K145">
        <v>1</v>
      </c>
      <c r="L145">
        <v>0</v>
      </c>
      <c r="M145">
        <v>1</v>
      </c>
      <c r="N145">
        <v>0</v>
      </c>
      <c r="O145">
        <v>1</v>
      </c>
      <c r="P145">
        <v>0</v>
      </c>
      <c r="Q145">
        <v>1</v>
      </c>
      <c r="R145">
        <v>0</v>
      </c>
      <c r="S145">
        <v>0</v>
      </c>
      <c r="T145">
        <v>1</v>
      </c>
      <c r="U145">
        <v>0</v>
      </c>
      <c r="V145">
        <v>0</v>
      </c>
      <c r="W145">
        <v>0</v>
      </c>
      <c r="X145">
        <v>0</v>
      </c>
      <c r="Y145">
        <v>0</v>
      </c>
      <c r="Z145">
        <v>0</v>
      </c>
    </row>
    <row r="146" spans="1:26" x14ac:dyDescent="0.25">
      <c r="A146">
        <v>35</v>
      </c>
      <c r="B146">
        <v>3</v>
      </c>
      <c r="C146">
        <v>1</v>
      </c>
      <c r="D146">
        <v>826</v>
      </c>
      <c r="E146">
        <v>1</v>
      </c>
      <c r="F146">
        <v>0</v>
      </c>
      <c r="G146">
        <v>0</v>
      </c>
      <c r="H146">
        <v>0</v>
      </c>
      <c r="I146">
        <v>1</v>
      </c>
      <c r="J146">
        <v>0</v>
      </c>
      <c r="K146">
        <v>0</v>
      </c>
      <c r="L146">
        <v>1</v>
      </c>
      <c r="M146">
        <v>0</v>
      </c>
      <c r="N146">
        <v>0</v>
      </c>
      <c r="O146">
        <v>1</v>
      </c>
      <c r="P146">
        <v>0</v>
      </c>
      <c r="Q146">
        <v>0</v>
      </c>
      <c r="R146">
        <v>1</v>
      </c>
      <c r="S146">
        <v>0</v>
      </c>
      <c r="T146">
        <v>0</v>
      </c>
      <c r="U146">
        <v>1</v>
      </c>
      <c r="V146">
        <v>0</v>
      </c>
      <c r="W146">
        <v>0</v>
      </c>
      <c r="X146">
        <v>0</v>
      </c>
      <c r="Y146">
        <v>0</v>
      </c>
      <c r="Z146">
        <v>0</v>
      </c>
    </row>
    <row r="147" spans="1:26" x14ac:dyDescent="0.25">
      <c r="A147">
        <v>70</v>
      </c>
      <c r="B147">
        <v>27</v>
      </c>
      <c r="C147">
        <v>0</v>
      </c>
      <c r="D147">
        <v>3981</v>
      </c>
      <c r="E147">
        <v>6</v>
      </c>
      <c r="F147">
        <v>0</v>
      </c>
      <c r="G147">
        <v>1</v>
      </c>
      <c r="H147">
        <v>0</v>
      </c>
      <c r="I147">
        <v>0</v>
      </c>
      <c r="J147">
        <v>1</v>
      </c>
      <c r="K147">
        <v>0</v>
      </c>
      <c r="L147">
        <v>0</v>
      </c>
      <c r="M147">
        <v>0</v>
      </c>
      <c r="N147">
        <v>1</v>
      </c>
      <c r="O147">
        <v>0</v>
      </c>
      <c r="P147">
        <v>0</v>
      </c>
      <c r="Q147">
        <v>0</v>
      </c>
      <c r="R147">
        <v>0</v>
      </c>
      <c r="S147">
        <v>1</v>
      </c>
      <c r="T147">
        <v>1</v>
      </c>
      <c r="U147">
        <v>0</v>
      </c>
      <c r="V147">
        <v>0</v>
      </c>
      <c r="W147">
        <v>0</v>
      </c>
      <c r="X147">
        <v>0</v>
      </c>
      <c r="Y147">
        <v>0</v>
      </c>
      <c r="Z147">
        <v>0</v>
      </c>
    </row>
    <row r="148" spans="1:26" x14ac:dyDescent="0.25">
      <c r="A148">
        <v>53</v>
      </c>
      <c r="B148">
        <v>25</v>
      </c>
      <c r="C148">
        <v>1</v>
      </c>
      <c r="D148">
        <v>1282</v>
      </c>
      <c r="E148">
        <v>3</v>
      </c>
      <c r="F148">
        <v>1</v>
      </c>
      <c r="G148">
        <v>0</v>
      </c>
      <c r="H148">
        <v>0</v>
      </c>
      <c r="I148">
        <v>0</v>
      </c>
      <c r="J148">
        <v>0</v>
      </c>
      <c r="K148">
        <v>0</v>
      </c>
      <c r="L148">
        <v>1</v>
      </c>
      <c r="M148">
        <v>0</v>
      </c>
      <c r="N148">
        <v>0</v>
      </c>
      <c r="O148">
        <v>0</v>
      </c>
      <c r="P148">
        <v>1</v>
      </c>
      <c r="Q148">
        <v>0</v>
      </c>
      <c r="R148">
        <v>0</v>
      </c>
      <c r="S148">
        <v>1</v>
      </c>
      <c r="T148">
        <v>0</v>
      </c>
      <c r="U148">
        <v>0</v>
      </c>
      <c r="V148">
        <v>0</v>
      </c>
      <c r="W148">
        <v>1</v>
      </c>
      <c r="X148">
        <v>0</v>
      </c>
      <c r="Y148">
        <v>0</v>
      </c>
      <c r="Z148">
        <v>0</v>
      </c>
    </row>
    <row r="149" spans="1:26" x14ac:dyDescent="0.25">
      <c r="A149">
        <v>24</v>
      </c>
      <c r="B149">
        <v>24</v>
      </c>
      <c r="C149">
        <v>0</v>
      </c>
      <c r="D149">
        <v>2959</v>
      </c>
      <c r="E149">
        <v>7</v>
      </c>
      <c r="F149">
        <v>0</v>
      </c>
      <c r="G149">
        <v>1</v>
      </c>
      <c r="H149">
        <v>0</v>
      </c>
      <c r="I149">
        <v>0</v>
      </c>
      <c r="J149">
        <v>0</v>
      </c>
      <c r="K149">
        <v>0</v>
      </c>
      <c r="L149">
        <v>1</v>
      </c>
      <c r="M149">
        <v>0</v>
      </c>
      <c r="N149">
        <v>0</v>
      </c>
      <c r="O149">
        <v>0</v>
      </c>
      <c r="P149">
        <v>1</v>
      </c>
      <c r="Q149">
        <v>0</v>
      </c>
      <c r="R149">
        <v>1</v>
      </c>
      <c r="S149">
        <v>0</v>
      </c>
      <c r="T149">
        <v>0</v>
      </c>
      <c r="U149">
        <v>0</v>
      </c>
      <c r="V149">
        <v>0</v>
      </c>
      <c r="W149">
        <v>0</v>
      </c>
      <c r="X149">
        <v>0</v>
      </c>
      <c r="Y149">
        <v>0</v>
      </c>
      <c r="Z149">
        <v>1</v>
      </c>
    </row>
    <row r="150" spans="1:26" x14ac:dyDescent="0.25">
      <c r="A150">
        <v>56</v>
      </c>
      <c r="B150">
        <v>18</v>
      </c>
      <c r="C150">
        <v>1</v>
      </c>
      <c r="D150">
        <v>315</v>
      </c>
      <c r="E150">
        <v>4</v>
      </c>
      <c r="F150">
        <v>0</v>
      </c>
      <c r="G150">
        <v>0</v>
      </c>
      <c r="H150">
        <v>0</v>
      </c>
      <c r="I150">
        <v>1</v>
      </c>
      <c r="J150">
        <v>1</v>
      </c>
      <c r="K150">
        <v>0</v>
      </c>
      <c r="L150">
        <v>0</v>
      </c>
      <c r="M150">
        <v>0</v>
      </c>
      <c r="N150">
        <v>1</v>
      </c>
      <c r="O150">
        <v>0</v>
      </c>
      <c r="P150">
        <v>0</v>
      </c>
      <c r="Q150">
        <v>0</v>
      </c>
      <c r="R150">
        <v>0</v>
      </c>
      <c r="S150">
        <v>1</v>
      </c>
      <c r="T150">
        <v>0</v>
      </c>
      <c r="U150">
        <v>0</v>
      </c>
      <c r="V150">
        <v>1</v>
      </c>
      <c r="W150">
        <v>0</v>
      </c>
      <c r="X150">
        <v>0</v>
      </c>
      <c r="Y150">
        <v>0</v>
      </c>
      <c r="Z150">
        <v>0</v>
      </c>
    </row>
    <row r="151" spans="1:26" x14ac:dyDescent="0.25">
      <c r="A151">
        <v>78</v>
      </c>
      <c r="B151">
        <v>17</v>
      </c>
      <c r="C151">
        <v>0</v>
      </c>
      <c r="D151">
        <v>1228</v>
      </c>
      <c r="E151">
        <v>5</v>
      </c>
      <c r="F151">
        <v>0</v>
      </c>
      <c r="G151">
        <v>1</v>
      </c>
      <c r="H151">
        <v>0</v>
      </c>
      <c r="I151">
        <v>0</v>
      </c>
      <c r="J151">
        <v>0</v>
      </c>
      <c r="K151">
        <v>0</v>
      </c>
      <c r="L151">
        <v>1</v>
      </c>
      <c r="M151">
        <v>0</v>
      </c>
      <c r="N151">
        <v>1</v>
      </c>
      <c r="O151">
        <v>0</v>
      </c>
      <c r="P151">
        <v>0</v>
      </c>
      <c r="Q151">
        <v>0</v>
      </c>
      <c r="R151">
        <v>0</v>
      </c>
      <c r="S151">
        <v>1</v>
      </c>
      <c r="T151">
        <v>0</v>
      </c>
      <c r="U151">
        <v>1</v>
      </c>
      <c r="V151">
        <v>0</v>
      </c>
      <c r="W151">
        <v>0</v>
      </c>
      <c r="X151">
        <v>0</v>
      </c>
      <c r="Y151">
        <v>0</v>
      </c>
      <c r="Z151">
        <v>0</v>
      </c>
    </row>
    <row r="152" spans="1:26" x14ac:dyDescent="0.25">
      <c r="A152">
        <v>78</v>
      </c>
      <c r="B152">
        <v>17</v>
      </c>
      <c r="C152">
        <v>1</v>
      </c>
      <c r="D152">
        <v>1282</v>
      </c>
      <c r="E152">
        <v>5</v>
      </c>
      <c r="F152">
        <v>0</v>
      </c>
      <c r="G152">
        <v>1</v>
      </c>
      <c r="H152">
        <v>0</v>
      </c>
      <c r="I152">
        <v>0</v>
      </c>
      <c r="J152">
        <v>0</v>
      </c>
      <c r="K152">
        <v>0</v>
      </c>
      <c r="L152">
        <v>1</v>
      </c>
      <c r="M152">
        <v>0</v>
      </c>
      <c r="N152">
        <v>0</v>
      </c>
      <c r="O152">
        <v>0</v>
      </c>
      <c r="P152">
        <v>1</v>
      </c>
      <c r="Q152">
        <v>0</v>
      </c>
      <c r="R152">
        <v>0</v>
      </c>
      <c r="S152">
        <v>1</v>
      </c>
      <c r="T152">
        <v>0</v>
      </c>
      <c r="U152">
        <v>1</v>
      </c>
      <c r="V152">
        <v>0</v>
      </c>
      <c r="W152">
        <v>0</v>
      </c>
      <c r="X152">
        <v>0</v>
      </c>
      <c r="Y152">
        <v>0</v>
      </c>
      <c r="Z152">
        <v>0</v>
      </c>
    </row>
    <row r="153" spans="1:26" x14ac:dyDescent="0.25">
      <c r="A153">
        <v>50</v>
      </c>
      <c r="B153">
        <v>14</v>
      </c>
      <c r="C153">
        <v>1</v>
      </c>
      <c r="D153">
        <v>3348</v>
      </c>
      <c r="E153">
        <v>7</v>
      </c>
      <c r="F153">
        <v>1</v>
      </c>
      <c r="G153">
        <v>0</v>
      </c>
      <c r="H153">
        <v>0</v>
      </c>
      <c r="I153">
        <v>0</v>
      </c>
      <c r="J153">
        <v>1</v>
      </c>
      <c r="K153">
        <v>0</v>
      </c>
      <c r="L153">
        <v>0</v>
      </c>
      <c r="M153">
        <v>0</v>
      </c>
      <c r="N153">
        <v>0</v>
      </c>
      <c r="O153">
        <v>0</v>
      </c>
      <c r="P153">
        <v>1</v>
      </c>
      <c r="Q153">
        <v>0</v>
      </c>
      <c r="R153">
        <v>0</v>
      </c>
      <c r="S153">
        <v>1</v>
      </c>
      <c r="T153">
        <v>0</v>
      </c>
      <c r="U153">
        <v>0</v>
      </c>
      <c r="V153">
        <v>0</v>
      </c>
      <c r="W153">
        <v>0</v>
      </c>
      <c r="X153">
        <v>0</v>
      </c>
      <c r="Y153">
        <v>0</v>
      </c>
      <c r="Z153">
        <v>1</v>
      </c>
    </row>
    <row r="154" spans="1:26" x14ac:dyDescent="0.25">
      <c r="A154">
        <v>31</v>
      </c>
      <c r="B154">
        <v>11</v>
      </c>
      <c r="C154">
        <v>1</v>
      </c>
      <c r="D154">
        <v>315</v>
      </c>
      <c r="E154">
        <v>2</v>
      </c>
      <c r="F154">
        <v>0</v>
      </c>
      <c r="G154">
        <v>1</v>
      </c>
      <c r="H154">
        <v>0</v>
      </c>
      <c r="I154">
        <v>0</v>
      </c>
      <c r="J154">
        <v>0</v>
      </c>
      <c r="K154">
        <v>0</v>
      </c>
      <c r="L154">
        <v>1</v>
      </c>
      <c r="M154">
        <v>0</v>
      </c>
      <c r="N154">
        <v>1</v>
      </c>
      <c r="O154">
        <v>0</v>
      </c>
      <c r="P154">
        <v>0</v>
      </c>
      <c r="Q154">
        <v>0</v>
      </c>
      <c r="R154">
        <v>0</v>
      </c>
      <c r="S154">
        <v>1</v>
      </c>
      <c r="T154">
        <v>0</v>
      </c>
      <c r="U154">
        <v>0</v>
      </c>
      <c r="V154">
        <v>0</v>
      </c>
      <c r="W154">
        <v>0</v>
      </c>
      <c r="X154">
        <v>0</v>
      </c>
      <c r="Y154">
        <v>0</v>
      </c>
      <c r="Z154">
        <v>1</v>
      </c>
    </row>
    <row r="155" spans="1:26" x14ac:dyDescent="0.25">
      <c r="A155">
        <v>20</v>
      </c>
      <c r="B155">
        <v>9</v>
      </c>
      <c r="C155">
        <v>0</v>
      </c>
      <c r="D155">
        <v>3773</v>
      </c>
      <c r="E155">
        <v>4</v>
      </c>
      <c r="F155">
        <v>0</v>
      </c>
      <c r="G155">
        <v>1</v>
      </c>
      <c r="H155">
        <v>0</v>
      </c>
      <c r="I155">
        <v>0</v>
      </c>
      <c r="J155">
        <v>1</v>
      </c>
      <c r="K155">
        <v>0</v>
      </c>
      <c r="L155">
        <v>0</v>
      </c>
      <c r="M155">
        <v>0</v>
      </c>
      <c r="N155">
        <v>1</v>
      </c>
      <c r="O155">
        <v>0</v>
      </c>
      <c r="P155">
        <v>0</v>
      </c>
      <c r="Q155">
        <v>1</v>
      </c>
      <c r="R155">
        <v>0</v>
      </c>
      <c r="S155">
        <v>0</v>
      </c>
      <c r="T155">
        <v>0</v>
      </c>
      <c r="U155">
        <v>0</v>
      </c>
      <c r="V155">
        <v>1</v>
      </c>
      <c r="W155">
        <v>0</v>
      </c>
      <c r="X155">
        <v>0</v>
      </c>
      <c r="Y155">
        <v>0</v>
      </c>
      <c r="Z155">
        <v>0</v>
      </c>
    </row>
    <row r="156" spans="1:26" x14ac:dyDescent="0.25">
      <c r="A156">
        <v>19</v>
      </c>
      <c r="B156">
        <v>8</v>
      </c>
      <c r="C156">
        <v>1</v>
      </c>
      <c r="D156">
        <v>4027</v>
      </c>
      <c r="E156">
        <v>10</v>
      </c>
      <c r="F156">
        <v>0</v>
      </c>
      <c r="G156">
        <v>1</v>
      </c>
      <c r="H156">
        <v>0</v>
      </c>
      <c r="I156">
        <v>0</v>
      </c>
      <c r="J156">
        <v>0</v>
      </c>
      <c r="K156">
        <v>1</v>
      </c>
      <c r="L156">
        <v>0</v>
      </c>
      <c r="M156">
        <v>0</v>
      </c>
      <c r="N156">
        <v>0</v>
      </c>
      <c r="O156">
        <v>0</v>
      </c>
      <c r="P156">
        <v>1</v>
      </c>
      <c r="Q156">
        <v>0</v>
      </c>
      <c r="R156">
        <v>0</v>
      </c>
      <c r="S156">
        <v>1</v>
      </c>
      <c r="T156">
        <v>0</v>
      </c>
      <c r="U156">
        <v>0</v>
      </c>
      <c r="V156">
        <v>0</v>
      </c>
      <c r="W156">
        <v>0</v>
      </c>
      <c r="X156">
        <v>0</v>
      </c>
      <c r="Y156">
        <v>0</v>
      </c>
      <c r="Z156">
        <v>1</v>
      </c>
    </row>
    <row r="157" spans="1:26" x14ac:dyDescent="0.25">
      <c r="A157">
        <v>41</v>
      </c>
      <c r="B157">
        <v>7</v>
      </c>
      <c r="C157">
        <v>0</v>
      </c>
      <c r="D157">
        <v>3003</v>
      </c>
      <c r="E157">
        <v>3</v>
      </c>
      <c r="F157">
        <v>0</v>
      </c>
      <c r="G157">
        <v>0</v>
      </c>
      <c r="H157">
        <v>1</v>
      </c>
      <c r="I157">
        <v>0</v>
      </c>
      <c r="J157">
        <v>0</v>
      </c>
      <c r="K157">
        <v>0</v>
      </c>
      <c r="L157">
        <v>1</v>
      </c>
      <c r="M157">
        <v>0</v>
      </c>
      <c r="N157">
        <v>0</v>
      </c>
      <c r="O157">
        <v>1</v>
      </c>
      <c r="P157">
        <v>0</v>
      </c>
      <c r="Q157">
        <v>0</v>
      </c>
      <c r="R157">
        <v>1</v>
      </c>
      <c r="S157">
        <v>0</v>
      </c>
      <c r="T157">
        <v>0</v>
      </c>
      <c r="U157">
        <v>1</v>
      </c>
      <c r="V157">
        <v>0</v>
      </c>
      <c r="W157">
        <v>0</v>
      </c>
      <c r="X157">
        <v>0</v>
      </c>
      <c r="Y157">
        <v>0</v>
      </c>
      <c r="Z157">
        <v>0</v>
      </c>
    </row>
    <row r="158" spans="1:26" x14ac:dyDescent="0.25">
      <c r="A158">
        <v>64</v>
      </c>
      <c r="B158">
        <v>33</v>
      </c>
      <c r="C158">
        <v>0</v>
      </c>
      <c r="D158">
        <v>732</v>
      </c>
      <c r="E158">
        <v>7</v>
      </c>
      <c r="F158">
        <v>1</v>
      </c>
      <c r="G158">
        <v>0</v>
      </c>
      <c r="H158">
        <v>0</v>
      </c>
      <c r="I158">
        <v>0</v>
      </c>
      <c r="J158">
        <v>0</v>
      </c>
      <c r="K158">
        <v>1</v>
      </c>
      <c r="L158">
        <v>0</v>
      </c>
      <c r="M158">
        <v>0</v>
      </c>
      <c r="N158">
        <v>1</v>
      </c>
      <c r="O158">
        <v>0</v>
      </c>
      <c r="P158">
        <v>0</v>
      </c>
      <c r="Q158">
        <v>0</v>
      </c>
      <c r="R158">
        <v>1</v>
      </c>
      <c r="S158">
        <v>0</v>
      </c>
      <c r="T158">
        <v>0</v>
      </c>
      <c r="U158">
        <v>0</v>
      </c>
      <c r="V158">
        <v>0</v>
      </c>
      <c r="W158">
        <v>0</v>
      </c>
      <c r="X158">
        <v>1</v>
      </c>
      <c r="Y158">
        <v>0</v>
      </c>
      <c r="Z158">
        <v>0</v>
      </c>
    </row>
    <row r="159" spans="1:26" x14ac:dyDescent="0.25">
      <c r="A159">
        <v>50</v>
      </c>
      <c r="B159">
        <v>15</v>
      </c>
      <c r="C159">
        <v>0</v>
      </c>
      <c r="D159">
        <v>2916</v>
      </c>
      <c r="E159">
        <v>3</v>
      </c>
      <c r="F159">
        <v>0</v>
      </c>
      <c r="G159">
        <v>1</v>
      </c>
      <c r="H159">
        <v>0</v>
      </c>
      <c r="I159">
        <v>0</v>
      </c>
      <c r="J159">
        <v>0</v>
      </c>
      <c r="K159">
        <v>0</v>
      </c>
      <c r="L159">
        <v>1</v>
      </c>
      <c r="M159">
        <v>0</v>
      </c>
      <c r="N159">
        <v>0</v>
      </c>
      <c r="O159">
        <v>1</v>
      </c>
      <c r="P159">
        <v>0</v>
      </c>
      <c r="Q159">
        <v>0</v>
      </c>
      <c r="R159">
        <v>0</v>
      </c>
      <c r="S159">
        <v>1</v>
      </c>
      <c r="T159">
        <v>1</v>
      </c>
      <c r="U159">
        <v>0</v>
      </c>
      <c r="V159">
        <v>0</v>
      </c>
      <c r="W159">
        <v>0</v>
      </c>
      <c r="X159">
        <v>0</v>
      </c>
      <c r="Y159">
        <v>0</v>
      </c>
      <c r="Z159">
        <v>0</v>
      </c>
    </row>
    <row r="160" spans="1:26" x14ac:dyDescent="0.25">
      <c r="A160">
        <v>16</v>
      </c>
      <c r="B160">
        <v>14</v>
      </c>
      <c r="C160">
        <v>1</v>
      </c>
      <c r="D160">
        <v>2034</v>
      </c>
      <c r="E160">
        <v>7</v>
      </c>
      <c r="F160">
        <v>0</v>
      </c>
      <c r="G160">
        <v>0</v>
      </c>
      <c r="H160">
        <v>1</v>
      </c>
      <c r="I160">
        <v>0</v>
      </c>
      <c r="J160">
        <v>0</v>
      </c>
      <c r="K160">
        <v>0</v>
      </c>
      <c r="L160">
        <v>1</v>
      </c>
      <c r="M160">
        <v>0</v>
      </c>
      <c r="N160">
        <v>0</v>
      </c>
      <c r="O160">
        <v>0</v>
      </c>
      <c r="P160">
        <v>1</v>
      </c>
      <c r="Q160">
        <v>0</v>
      </c>
      <c r="R160">
        <v>0</v>
      </c>
      <c r="S160">
        <v>1</v>
      </c>
      <c r="T160">
        <v>1</v>
      </c>
      <c r="U160">
        <v>0</v>
      </c>
      <c r="V160">
        <v>0</v>
      </c>
      <c r="W160">
        <v>0</v>
      </c>
      <c r="X160">
        <v>0</v>
      </c>
      <c r="Y160">
        <v>0</v>
      </c>
      <c r="Z160">
        <v>0</v>
      </c>
    </row>
    <row r="161" spans="1:26" x14ac:dyDescent="0.25">
      <c r="A161">
        <v>23</v>
      </c>
      <c r="B161">
        <v>9</v>
      </c>
      <c r="C161">
        <v>0</v>
      </c>
      <c r="D161">
        <v>787</v>
      </c>
      <c r="E161">
        <v>4</v>
      </c>
      <c r="F161">
        <v>0</v>
      </c>
      <c r="G161">
        <v>0</v>
      </c>
      <c r="H161">
        <v>0</v>
      </c>
      <c r="I161">
        <v>1</v>
      </c>
      <c r="J161">
        <v>0</v>
      </c>
      <c r="K161">
        <v>1</v>
      </c>
      <c r="L161">
        <v>0</v>
      </c>
      <c r="M161">
        <v>1</v>
      </c>
      <c r="N161">
        <v>1</v>
      </c>
      <c r="O161">
        <v>0</v>
      </c>
      <c r="P161">
        <v>0</v>
      </c>
      <c r="Q161">
        <v>1</v>
      </c>
      <c r="R161">
        <v>0</v>
      </c>
      <c r="S161">
        <v>0</v>
      </c>
      <c r="T161">
        <v>0</v>
      </c>
      <c r="U161">
        <v>1</v>
      </c>
      <c r="V161">
        <v>0</v>
      </c>
      <c r="W161">
        <v>0</v>
      </c>
      <c r="X161">
        <v>0</v>
      </c>
      <c r="Y161">
        <v>0</v>
      </c>
      <c r="Z161">
        <v>0</v>
      </c>
    </row>
    <row r="162" spans="1:26" x14ac:dyDescent="0.25">
      <c r="A162">
        <v>49</v>
      </c>
      <c r="B162">
        <v>8</v>
      </c>
      <c r="C162">
        <v>1</v>
      </c>
      <c r="D162">
        <v>1282</v>
      </c>
      <c r="E162">
        <v>5</v>
      </c>
      <c r="F162">
        <v>0</v>
      </c>
      <c r="G162">
        <v>0</v>
      </c>
      <c r="H162">
        <v>1</v>
      </c>
      <c r="I162">
        <v>0</v>
      </c>
      <c r="J162">
        <v>0</v>
      </c>
      <c r="K162">
        <v>0</v>
      </c>
      <c r="L162">
        <v>1</v>
      </c>
      <c r="M162">
        <v>0</v>
      </c>
      <c r="N162">
        <v>0</v>
      </c>
      <c r="O162">
        <v>0</v>
      </c>
      <c r="P162">
        <v>1</v>
      </c>
      <c r="Q162">
        <v>0</v>
      </c>
      <c r="R162">
        <v>0</v>
      </c>
      <c r="S162">
        <v>1</v>
      </c>
      <c r="T162">
        <v>0</v>
      </c>
      <c r="U162">
        <v>1</v>
      </c>
      <c r="V162">
        <v>0</v>
      </c>
      <c r="W162">
        <v>0</v>
      </c>
      <c r="X162">
        <v>0</v>
      </c>
      <c r="Y162">
        <v>0</v>
      </c>
      <c r="Z162">
        <v>0</v>
      </c>
    </row>
    <row r="163" spans="1:26" x14ac:dyDescent="0.25">
      <c r="A163">
        <v>28</v>
      </c>
      <c r="B163">
        <v>5</v>
      </c>
      <c r="C163">
        <v>1</v>
      </c>
      <c r="D163">
        <v>3933</v>
      </c>
      <c r="E163">
        <v>5</v>
      </c>
      <c r="F163">
        <v>0</v>
      </c>
      <c r="G163">
        <v>1</v>
      </c>
      <c r="H163">
        <v>0</v>
      </c>
      <c r="I163">
        <v>0</v>
      </c>
      <c r="J163">
        <v>0</v>
      </c>
      <c r="K163">
        <v>0</v>
      </c>
      <c r="L163">
        <v>1</v>
      </c>
      <c r="M163">
        <v>0</v>
      </c>
      <c r="N163">
        <v>0</v>
      </c>
      <c r="O163">
        <v>0</v>
      </c>
      <c r="P163">
        <v>1</v>
      </c>
      <c r="Q163">
        <v>0</v>
      </c>
      <c r="R163">
        <v>0</v>
      </c>
      <c r="S163">
        <v>1</v>
      </c>
      <c r="T163">
        <v>1</v>
      </c>
      <c r="U163">
        <v>0</v>
      </c>
      <c r="V163">
        <v>0</v>
      </c>
      <c r="W163">
        <v>0</v>
      </c>
      <c r="X163">
        <v>0</v>
      </c>
      <c r="Y163">
        <v>0</v>
      </c>
      <c r="Z163">
        <v>0</v>
      </c>
    </row>
    <row r="164" spans="1:26" x14ac:dyDescent="0.25">
      <c r="A164">
        <v>23</v>
      </c>
      <c r="B164">
        <v>21</v>
      </c>
      <c r="C164">
        <v>0</v>
      </c>
      <c r="D164">
        <v>826</v>
      </c>
      <c r="E164">
        <v>7</v>
      </c>
      <c r="F164">
        <v>0</v>
      </c>
      <c r="G164">
        <v>1</v>
      </c>
      <c r="H164">
        <v>0</v>
      </c>
      <c r="I164">
        <v>0</v>
      </c>
      <c r="J164">
        <v>0</v>
      </c>
      <c r="K164">
        <v>1</v>
      </c>
      <c r="L164">
        <v>0</v>
      </c>
      <c r="M164">
        <v>0</v>
      </c>
      <c r="N164">
        <v>0</v>
      </c>
      <c r="O164">
        <v>1</v>
      </c>
      <c r="P164">
        <v>0</v>
      </c>
      <c r="Q164">
        <v>0</v>
      </c>
      <c r="R164">
        <v>0</v>
      </c>
      <c r="S164">
        <v>1</v>
      </c>
      <c r="T164">
        <v>0</v>
      </c>
      <c r="U164">
        <v>0</v>
      </c>
      <c r="V164">
        <v>0</v>
      </c>
      <c r="W164">
        <v>0</v>
      </c>
      <c r="X164">
        <v>0</v>
      </c>
      <c r="Y164">
        <v>0</v>
      </c>
      <c r="Z164">
        <v>1</v>
      </c>
    </row>
    <row r="165" spans="1:26" x14ac:dyDescent="0.25">
      <c r="A165">
        <v>108</v>
      </c>
      <c r="B165">
        <v>20</v>
      </c>
      <c r="C165">
        <v>0</v>
      </c>
      <c r="D165">
        <v>716</v>
      </c>
      <c r="E165">
        <v>5</v>
      </c>
      <c r="F165">
        <v>0</v>
      </c>
      <c r="G165">
        <v>0</v>
      </c>
      <c r="H165">
        <v>1</v>
      </c>
      <c r="I165">
        <v>0</v>
      </c>
      <c r="J165">
        <v>1</v>
      </c>
      <c r="K165">
        <v>0</v>
      </c>
      <c r="L165">
        <v>0</v>
      </c>
      <c r="M165">
        <v>1</v>
      </c>
      <c r="N165">
        <v>1</v>
      </c>
      <c r="O165">
        <v>0</v>
      </c>
      <c r="P165">
        <v>0</v>
      </c>
      <c r="Q165">
        <v>0</v>
      </c>
      <c r="R165">
        <v>0</v>
      </c>
      <c r="S165">
        <v>1</v>
      </c>
      <c r="T165">
        <v>0</v>
      </c>
      <c r="U165">
        <v>0</v>
      </c>
      <c r="V165">
        <v>0</v>
      </c>
      <c r="W165">
        <v>0</v>
      </c>
      <c r="X165">
        <v>1</v>
      </c>
      <c r="Y165">
        <v>0</v>
      </c>
      <c r="Z165">
        <v>0</v>
      </c>
    </row>
    <row r="166" spans="1:26" x14ac:dyDescent="0.25">
      <c r="A166">
        <v>73</v>
      </c>
      <c r="B166">
        <v>13</v>
      </c>
      <c r="C166">
        <v>0</v>
      </c>
      <c r="D166">
        <v>3003</v>
      </c>
      <c r="E166">
        <v>2</v>
      </c>
      <c r="F166">
        <v>1</v>
      </c>
      <c r="G166">
        <v>0</v>
      </c>
      <c r="H166">
        <v>0</v>
      </c>
      <c r="I166">
        <v>0</v>
      </c>
      <c r="J166">
        <v>0</v>
      </c>
      <c r="K166">
        <v>0</v>
      </c>
      <c r="L166">
        <v>1</v>
      </c>
      <c r="M166">
        <v>0</v>
      </c>
      <c r="N166">
        <v>0</v>
      </c>
      <c r="O166">
        <v>1</v>
      </c>
      <c r="P166">
        <v>0</v>
      </c>
      <c r="Q166">
        <v>0</v>
      </c>
      <c r="R166">
        <v>0</v>
      </c>
      <c r="S166">
        <v>1</v>
      </c>
      <c r="T166">
        <v>0</v>
      </c>
      <c r="U166">
        <v>0</v>
      </c>
      <c r="V166">
        <v>0</v>
      </c>
      <c r="W166">
        <v>0</v>
      </c>
      <c r="X166">
        <v>0</v>
      </c>
      <c r="Y166">
        <v>1</v>
      </c>
      <c r="Z166">
        <v>0</v>
      </c>
    </row>
    <row r="167" spans="1:26" x14ac:dyDescent="0.25">
      <c r="A167">
        <v>32</v>
      </c>
      <c r="B167">
        <v>12</v>
      </c>
      <c r="C167">
        <v>0</v>
      </c>
      <c r="D167">
        <v>315</v>
      </c>
      <c r="E167">
        <v>5</v>
      </c>
      <c r="F167">
        <v>0</v>
      </c>
      <c r="G167">
        <v>1</v>
      </c>
      <c r="H167">
        <v>0</v>
      </c>
      <c r="I167">
        <v>0</v>
      </c>
      <c r="J167">
        <v>0</v>
      </c>
      <c r="K167">
        <v>0</v>
      </c>
      <c r="L167">
        <v>1</v>
      </c>
      <c r="M167">
        <v>0</v>
      </c>
      <c r="N167">
        <v>1</v>
      </c>
      <c r="O167">
        <v>0</v>
      </c>
      <c r="P167">
        <v>0</v>
      </c>
      <c r="Q167">
        <v>1</v>
      </c>
      <c r="R167">
        <v>0</v>
      </c>
      <c r="S167">
        <v>0</v>
      </c>
      <c r="T167">
        <v>0</v>
      </c>
      <c r="U167">
        <v>0</v>
      </c>
      <c r="V167">
        <v>0</v>
      </c>
      <c r="W167">
        <v>0</v>
      </c>
      <c r="X167">
        <v>0</v>
      </c>
      <c r="Y167">
        <v>0</v>
      </c>
      <c r="Z167">
        <v>1</v>
      </c>
    </row>
    <row r="168" spans="1:26" x14ac:dyDescent="0.25">
      <c r="A168">
        <v>42</v>
      </c>
      <c r="B168">
        <v>8</v>
      </c>
      <c r="C168">
        <v>0</v>
      </c>
      <c r="D168">
        <v>3025</v>
      </c>
      <c r="E168">
        <v>6</v>
      </c>
      <c r="F168">
        <v>0</v>
      </c>
      <c r="G168">
        <v>1</v>
      </c>
      <c r="H168">
        <v>0</v>
      </c>
      <c r="I168">
        <v>0</v>
      </c>
      <c r="J168">
        <v>1</v>
      </c>
      <c r="K168">
        <v>0</v>
      </c>
      <c r="L168">
        <v>0</v>
      </c>
      <c r="M168">
        <v>0</v>
      </c>
      <c r="N168">
        <v>0</v>
      </c>
      <c r="O168">
        <v>0</v>
      </c>
      <c r="P168">
        <v>1</v>
      </c>
      <c r="Q168">
        <v>0</v>
      </c>
      <c r="R168">
        <v>0</v>
      </c>
      <c r="S168">
        <v>1</v>
      </c>
      <c r="T168">
        <v>0</v>
      </c>
      <c r="U168">
        <v>1</v>
      </c>
      <c r="V168">
        <v>0</v>
      </c>
      <c r="W168">
        <v>0</v>
      </c>
      <c r="X168">
        <v>0</v>
      </c>
      <c r="Y168">
        <v>0</v>
      </c>
      <c r="Z168">
        <v>0</v>
      </c>
    </row>
    <row r="169" spans="1:26" x14ac:dyDescent="0.25">
      <c r="A169">
        <v>26</v>
      </c>
      <c r="B169">
        <v>7</v>
      </c>
      <c r="C169">
        <v>0</v>
      </c>
      <c r="D169">
        <v>188</v>
      </c>
      <c r="E169">
        <v>4</v>
      </c>
      <c r="F169">
        <v>1</v>
      </c>
      <c r="G169">
        <v>0</v>
      </c>
      <c r="H169">
        <v>0</v>
      </c>
      <c r="I169">
        <v>0</v>
      </c>
      <c r="J169">
        <v>0</v>
      </c>
      <c r="K169">
        <v>0</v>
      </c>
      <c r="L169">
        <v>1</v>
      </c>
      <c r="M169">
        <v>0</v>
      </c>
      <c r="N169">
        <v>0</v>
      </c>
      <c r="O169">
        <v>1</v>
      </c>
      <c r="P169">
        <v>0</v>
      </c>
      <c r="Q169">
        <v>0</v>
      </c>
      <c r="R169">
        <v>0</v>
      </c>
      <c r="S169">
        <v>1</v>
      </c>
      <c r="T169">
        <v>0</v>
      </c>
      <c r="U169">
        <v>0</v>
      </c>
      <c r="V169">
        <v>0</v>
      </c>
      <c r="W169">
        <v>0</v>
      </c>
      <c r="X169">
        <v>0</v>
      </c>
      <c r="Y169">
        <v>0</v>
      </c>
      <c r="Z169">
        <v>1</v>
      </c>
    </row>
    <row r="170" spans="1:26" x14ac:dyDescent="0.25">
      <c r="A170">
        <v>45</v>
      </c>
      <c r="B170">
        <v>6</v>
      </c>
      <c r="C170">
        <v>1</v>
      </c>
      <c r="D170">
        <v>315</v>
      </c>
      <c r="E170">
        <v>3</v>
      </c>
      <c r="F170">
        <v>0</v>
      </c>
      <c r="G170">
        <v>1</v>
      </c>
      <c r="H170">
        <v>0</v>
      </c>
      <c r="I170">
        <v>0</v>
      </c>
      <c r="J170">
        <v>0</v>
      </c>
      <c r="K170">
        <v>0</v>
      </c>
      <c r="L170">
        <v>1</v>
      </c>
      <c r="M170">
        <v>0</v>
      </c>
      <c r="N170">
        <v>1</v>
      </c>
      <c r="O170">
        <v>0</v>
      </c>
      <c r="P170">
        <v>0</v>
      </c>
      <c r="Q170">
        <v>0</v>
      </c>
      <c r="R170">
        <v>0</v>
      </c>
      <c r="S170">
        <v>1</v>
      </c>
      <c r="T170">
        <v>0</v>
      </c>
      <c r="U170">
        <v>0</v>
      </c>
      <c r="V170">
        <v>0</v>
      </c>
      <c r="W170">
        <v>0</v>
      </c>
      <c r="X170">
        <v>1</v>
      </c>
      <c r="Y170">
        <v>0</v>
      </c>
      <c r="Z170">
        <v>0</v>
      </c>
    </row>
    <row r="171" spans="1:26" x14ac:dyDescent="0.25">
      <c r="A171">
        <v>20</v>
      </c>
      <c r="B171">
        <v>17</v>
      </c>
      <c r="C171">
        <v>0</v>
      </c>
      <c r="D171">
        <v>826</v>
      </c>
      <c r="E171">
        <v>4</v>
      </c>
      <c r="F171">
        <v>0</v>
      </c>
      <c r="G171">
        <v>0</v>
      </c>
      <c r="H171">
        <v>1</v>
      </c>
      <c r="I171">
        <v>0</v>
      </c>
      <c r="J171">
        <v>1</v>
      </c>
      <c r="K171">
        <v>0</v>
      </c>
      <c r="L171">
        <v>0</v>
      </c>
      <c r="M171">
        <v>0</v>
      </c>
      <c r="N171">
        <v>0</v>
      </c>
      <c r="O171">
        <v>1</v>
      </c>
      <c r="P171">
        <v>0</v>
      </c>
      <c r="Q171">
        <v>0</v>
      </c>
      <c r="R171">
        <v>0</v>
      </c>
      <c r="S171">
        <v>1</v>
      </c>
      <c r="T171">
        <v>0</v>
      </c>
      <c r="U171">
        <v>0</v>
      </c>
      <c r="V171">
        <v>0</v>
      </c>
      <c r="W171">
        <v>1</v>
      </c>
      <c r="X171">
        <v>0</v>
      </c>
      <c r="Y171">
        <v>0</v>
      </c>
      <c r="Z171">
        <v>0</v>
      </c>
    </row>
    <row r="172" spans="1:26" x14ac:dyDescent="0.25">
      <c r="A172">
        <v>66</v>
      </c>
      <c r="B172">
        <v>13</v>
      </c>
      <c r="C172">
        <v>1</v>
      </c>
      <c r="D172">
        <v>315</v>
      </c>
      <c r="E172">
        <v>9</v>
      </c>
      <c r="F172">
        <v>0</v>
      </c>
      <c r="G172">
        <v>0</v>
      </c>
      <c r="H172">
        <v>1</v>
      </c>
      <c r="I172">
        <v>0</v>
      </c>
      <c r="J172">
        <v>1</v>
      </c>
      <c r="K172">
        <v>0</v>
      </c>
      <c r="L172">
        <v>0</v>
      </c>
      <c r="M172">
        <v>0</v>
      </c>
      <c r="N172">
        <v>1</v>
      </c>
      <c r="O172">
        <v>0</v>
      </c>
      <c r="P172">
        <v>0</v>
      </c>
      <c r="Q172">
        <v>0</v>
      </c>
      <c r="R172">
        <v>0</v>
      </c>
      <c r="S172">
        <v>1</v>
      </c>
      <c r="T172">
        <v>1</v>
      </c>
      <c r="U172">
        <v>0</v>
      </c>
      <c r="V172">
        <v>0</v>
      </c>
      <c r="W172">
        <v>0</v>
      </c>
      <c r="X172">
        <v>0</v>
      </c>
      <c r="Y172">
        <v>0</v>
      </c>
      <c r="Z172">
        <v>0</v>
      </c>
    </row>
    <row r="173" spans="1:26" x14ac:dyDescent="0.25">
      <c r="A173">
        <v>20</v>
      </c>
      <c r="B173">
        <v>11</v>
      </c>
      <c r="C173">
        <v>1</v>
      </c>
      <c r="D173">
        <v>3025</v>
      </c>
      <c r="E173">
        <v>9</v>
      </c>
      <c r="F173">
        <v>0</v>
      </c>
      <c r="G173">
        <v>1</v>
      </c>
      <c r="H173">
        <v>0</v>
      </c>
      <c r="I173">
        <v>0</v>
      </c>
      <c r="J173">
        <v>0</v>
      </c>
      <c r="K173">
        <v>1</v>
      </c>
      <c r="L173">
        <v>0</v>
      </c>
      <c r="M173">
        <v>0</v>
      </c>
      <c r="N173">
        <v>0</v>
      </c>
      <c r="O173">
        <v>0</v>
      </c>
      <c r="P173">
        <v>1</v>
      </c>
      <c r="Q173">
        <v>0</v>
      </c>
      <c r="R173">
        <v>0</v>
      </c>
      <c r="S173">
        <v>1</v>
      </c>
      <c r="T173">
        <v>1</v>
      </c>
      <c r="U173">
        <v>0</v>
      </c>
      <c r="V173">
        <v>0</v>
      </c>
      <c r="W173">
        <v>0</v>
      </c>
      <c r="X173">
        <v>0</v>
      </c>
      <c r="Y173">
        <v>0</v>
      </c>
      <c r="Z173">
        <v>0</v>
      </c>
    </row>
    <row r="174" spans="1:26" x14ac:dyDescent="0.25">
      <c r="A174">
        <v>59</v>
      </c>
      <c r="B174">
        <v>9</v>
      </c>
      <c r="C174">
        <v>1</v>
      </c>
      <c r="D174">
        <v>188</v>
      </c>
      <c r="E174">
        <v>3</v>
      </c>
      <c r="F174">
        <v>0</v>
      </c>
      <c r="G174">
        <v>0</v>
      </c>
      <c r="H174">
        <v>1</v>
      </c>
      <c r="I174">
        <v>0</v>
      </c>
      <c r="J174">
        <v>0</v>
      </c>
      <c r="K174">
        <v>0</v>
      </c>
      <c r="L174">
        <v>1</v>
      </c>
      <c r="M174">
        <v>0</v>
      </c>
      <c r="N174">
        <v>0</v>
      </c>
      <c r="O174">
        <v>1</v>
      </c>
      <c r="P174">
        <v>0</v>
      </c>
      <c r="Q174">
        <v>0</v>
      </c>
      <c r="R174">
        <v>0</v>
      </c>
      <c r="S174">
        <v>1</v>
      </c>
      <c r="T174">
        <v>0</v>
      </c>
      <c r="U174">
        <v>1</v>
      </c>
      <c r="V174">
        <v>0</v>
      </c>
      <c r="W174">
        <v>0</v>
      </c>
      <c r="X174">
        <v>0</v>
      </c>
      <c r="Y174">
        <v>0</v>
      </c>
      <c r="Z174">
        <v>0</v>
      </c>
    </row>
    <row r="175" spans="1:26" x14ac:dyDescent="0.25">
      <c r="A175">
        <v>29</v>
      </c>
      <c r="B175">
        <v>8</v>
      </c>
      <c r="C175">
        <v>0</v>
      </c>
      <c r="D175">
        <v>3981</v>
      </c>
      <c r="E175">
        <v>2</v>
      </c>
      <c r="F175">
        <v>0</v>
      </c>
      <c r="G175">
        <v>0</v>
      </c>
      <c r="H175">
        <v>0</v>
      </c>
      <c r="I175">
        <v>1</v>
      </c>
      <c r="J175">
        <v>1</v>
      </c>
      <c r="K175">
        <v>0</v>
      </c>
      <c r="L175">
        <v>0</v>
      </c>
      <c r="M175">
        <v>0</v>
      </c>
      <c r="N175">
        <v>1</v>
      </c>
      <c r="O175">
        <v>0</v>
      </c>
      <c r="P175">
        <v>0</v>
      </c>
      <c r="Q175">
        <v>0</v>
      </c>
      <c r="R175">
        <v>1</v>
      </c>
      <c r="S175">
        <v>0</v>
      </c>
      <c r="T175">
        <v>0</v>
      </c>
      <c r="U175">
        <v>0</v>
      </c>
      <c r="V175">
        <v>0</v>
      </c>
      <c r="W175">
        <v>0</v>
      </c>
      <c r="X175">
        <v>0</v>
      </c>
      <c r="Y175">
        <v>0</v>
      </c>
      <c r="Z175">
        <v>1</v>
      </c>
    </row>
    <row r="176" spans="1:26" x14ac:dyDescent="0.25">
      <c r="A176">
        <v>23</v>
      </c>
      <c r="B176">
        <v>7</v>
      </c>
      <c r="C176">
        <v>0</v>
      </c>
      <c r="D176">
        <v>2959</v>
      </c>
      <c r="E176">
        <v>7</v>
      </c>
      <c r="F176">
        <v>0</v>
      </c>
      <c r="G176">
        <v>0</v>
      </c>
      <c r="H176">
        <v>1</v>
      </c>
      <c r="I176">
        <v>0</v>
      </c>
      <c r="J176">
        <v>1</v>
      </c>
      <c r="K176">
        <v>0</v>
      </c>
      <c r="L176">
        <v>0</v>
      </c>
      <c r="M176">
        <v>0</v>
      </c>
      <c r="N176">
        <v>0</v>
      </c>
      <c r="O176">
        <v>0</v>
      </c>
      <c r="P176">
        <v>1</v>
      </c>
      <c r="Q176">
        <v>0</v>
      </c>
      <c r="R176">
        <v>1</v>
      </c>
      <c r="S176">
        <v>0</v>
      </c>
      <c r="T176">
        <v>0</v>
      </c>
      <c r="U176">
        <v>0</v>
      </c>
      <c r="V176">
        <v>0</v>
      </c>
      <c r="W176">
        <v>0</v>
      </c>
      <c r="X176">
        <v>1</v>
      </c>
      <c r="Y176">
        <v>0</v>
      </c>
      <c r="Z176">
        <v>0</v>
      </c>
    </row>
    <row r="177" spans="1:26" x14ac:dyDescent="0.25">
      <c r="A177">
        <v>46</v>
      </c>
      <c r="B177">
        <v>4</v>
      </c>
      <c r="C177">
        <v>0</v>
      </c>
      <c r="D177">
        <v>3348</v>
      </c>
      <c r="E177">
        <v>2</v>
      </c>
      <c r="F177">
        <v>0</v>
      </c>
      <c r="G177">
        <v>0</v>
      </c>
      <c r="H177">
        <v>1</v>
      </c>
      <c r="I177">
        <v>0</v>
      </c>
      <c r="J177">
        <v>0</v>
      </c>
      <c r="K177">
        <v>0</v>
      </c>
      <c r="L177">
        <v>1</v>
      </c>
      <c r="M177">
        <v>0</v>
      </c>
      <c r="N177">
        <v>0</v>
      </c>
      <c r="O177">
        <v>0</v>
      </c>
      <c r="P177">
        <v>1</v>
      </c>
      <c r="Q177">
        <v>0</v>
      </c>
      <c r="R177">
        <v>0</v>
      </c>
      <c r="S177">
        <v>1</v>
      </c>
      <c r="T177">
        <v>0</v>
      </c>
      <c r="U177">
        <v>0</v>
      </c>
      <c r="V177">
        <v>1</v>
      </c>
      <c r="W177">
        <v>0</v>
      </c>
      <c r="X177">
        <v>0</v>
      </c>
      <c r="Y177">
        <v>0</v>
      </c>
      <c r="Z177">
        <v>0</v>
      </c>
    </row>
    <row r="178" spans="1:26" x14ac:dyDescent="0.25">
      <c r="A178">
        <v>47</v>
      </c>
      <c r="B178">
        <v>23</v>
      </c>
      <c r="C178">
        <v>0</v>
      </c>
      <c r="D178">
        <v>732</v>
      </c>
      <c r="E178">
        <v>1</v>
      </c>
      <c r="F178">
        <v>0</v>
      </c>
      <c r="G178">
        <v>0</v>
      </c>
      <c r="H178">
        <v>0</v>
      </c>
      <c r="I178">
        <v>1</v>
      </c>
      <c r="J178">
        <v>0</v>
      </c>
      <c r="K178">
        <v>0</v>
      </c>
      <c r="L178">
        <v>1</v>
      </c>
      <c r="M178">
        <v>0</v>
      </c>
      <c r="N178">
        <v>1</v>
      </c>
      <c r="O178">
        <v>0</v>
      </c>
      <c r="P178">
        <v>0</v>
      </c>
      <c r="Q178">
        <v>1</v>
      </c>
      <c r="R178">
        <v>0</v>
      </c>
      <c r="S178">
        <v>0</v>
      </c>
      <c r="T178">
        <v>0</v>
      </c>
      <c r="U178">
        <v>0</v>
      </c>
      <c r="V178">
        <v>0</v>
      </c>
      <c r="W178">
        <v>0</v>
      </c>
      <c r="X178">
        <v>1</v>
      </c>
      <c r="Y178">
        <v>0</v>
      </c>
      <c r="Z178">
        <v>0</v>
      </c>
    </row>
    <row r="179" spans="1:26" x14ac:dyDescent="0.25">
      <c r="A179">
        <v>21</v>
      </c>
      <c r="B179">
        <v>13</v>
      </c>
      <c r="C179">
        <v>1</v>
      </c>
      <c r="D179">
        <v>732</v>
      </c>
      <c r="E179">
        <v>5</v>
      </c>
      <c r="F179">
        <v>1</v>
      </c>
      <c r="G179">
        <v>0</v>
      </c>
      <c r="H179">
        <v>0</v>
      </c>
      <c r="I179">
        <v>0</v>
      </c>
      <c r="J179">
        <v>1</v>
      </c>
      <c r="K179">
        <v>0</v>
      </c>
      <c r="L179">
        <v>0</v>
      </c>
      <c r="M179">
        <v>0</v>
      </c>
      <c r="N179">
        <v>1</v>
      </c>
      <c r="O179">
        <v>0</v>
      </c>
      <c r="P179">
        <v>0</v>
      </c>
      <c r="Q179">
        <v>0</v>
      </c>
      <c r="R179">
        <v>0</v>
      </c>
      <c r="S179">
        <v>1</v>
      </c>
      <c r="T179">
        <v>0</v>
      </c>
      <c r="U179">
        <v>0</v>
      </c>
      <c r="V179">
        <v>0</v>
      </c>
      <c r="W179">
        <v>0</v>
      </c>
      <c r="X179">
        <v>1</v>
      </c>
      <c r="Y179">
        <v>0</v>
      </c>
      <c r="Z179">
        <v>0</v>
      </c>
    </row>
    <row r="180" spans="1:26" x14ac:dyDescent="0.25">
      <c r="A180">
        <v>31</v>
      </c>
      <c r="B180">
        <v>11</v>
      </c>
      <c r="C180">
        <v>0</v>
      </c>
      <c r="D180">
        <v>4027</v>
      </c>
      <c r="E180">
        <v>2</v>
      </c>
      <c r="F180">
        <v>1</v>
      </c>
      <c r="G180">
        <v>0</v>
      </c>
      <c r="H180">
        <v>0</v>
      </c>
      <c r="I180">
        <v>0</v>
      </c>
      <c r="J180">
        <v>1</v>
      </c>
      <c r="K180">
        <v>0</v>
      </c>
      <c r="L180">
        <v>0</v>
      </c>
      <c r="M180">
        <v>0</v>
      </c>
      <c r="N180">
        <v>0</v>
      </c>
      <c r="O180">
        <v>0</v>
      </c>
      <c r="P180">
        <v>1</v>
      </c>
      <c r="Q180">
        <v>0</v>
      </c>
      <c r="R180">
        <v>1</v>
      </c>
      <c r="S180">
        <v>0</v>
      </c>
      <c r="T180">
        <v>1</v>
      </c>
      <c r="U180">
        <v>0</v>
      </c>
      <c r="V180">
        <v>0</v>
      </c>
      <c r="W180">
        <v>0</v>
      </c>
      <c r="X180">
        <v>0</v>
      </c>
      <c r="Y180">
        <v>0</v>
      </c>
      <c r="Z180">
        <v>0</v>
      </c>
    </row>
    <row r="181" spans="1:26" x14ac:dyDescent="0.25">
      <c r="A181">
        <v>43</v>
      </c>
      <c r="B181">
        <v>8</v>
      </c>
      <c r="C181">
        <v>0</v>
      </c>
      <c r="D181">
        <v>2884</v>
      </c>
      <c r="E181">
        <v>1</v>
      </c>
      <c r="F181">
        <v>0</v>
      </c>
      <c r="G181">
        <v>0</v>
      </c>
      <c r="H181">
        <v>1</v>
      </c>
      <c r="I181">
        <v>0</v>
      </c>
      <c r="J181">
        <v>0</v>
      </c>
      <c r="K181">
        <v>0</v>
      </c>
      <c r="L181">
        <v>1</v>
      </c>
      <c r="M181">
        <v>1</v>
      </c>
      <c r="N181">
        <v>0</v>
      </c>
      <c r="O181">
        <v>1</v>
      </c>
      <c r="P181">
        <v>0</v>
      </c>
      <c r="Q181">
        <v>0</v>
      </c>
      <c r="R181">
        <v>0</v>
      </c>
      <c r="S181">
        <v>1</v>
      </c>
      <c r="T181">
        <v>1</v>
      </c>
      <c r="U181">
        <v>0</v>
      </c>
      <c r="V181">
        <v>0</v>
      </c>
      <c r="W181">
        <v>0</v>
      </c>
      <c r="X181">
        <v>0</v>
      </c>
      <c r="Y181">
        <v>0</v>
      </c>
      <c r="Z181">
        <v>0</v>
      </c>
    </row>
    <row r="182" spans="1:26" x14ac:dyDescent="0.25">
      <c r="A182">
        <v>7</v>
      </c>
      <c r="B182">
        <v>5</v>
      </c>
      <c r="C182">
        <v>0</v>
      </c>
      <c r="D182">
        <v>2700</v>
      </c>
      <c r="E182">
        <v>3</v>
      </c>
      <c r="F182">
        <v>1</v>
      </c>
      <c r="G182">
        <v>0</v>
      </c>
      <c r="H182">
        <v>0</v>
      </c>
      <c r="I182">
        <v>0</v>
      </c>
      <c r="J182">
        <v>0</v>
      </c>
      <c r="K182">
        <v>0</v>
      </c>
      <c r="L182">
        <v>1</v>
      </c>
      <c r="M182">
        <v>1</v>
      </c>
      <c r="N182">
        <v>0</v>
      </c>
      <c r="O182">
        <v>0</v>
      </c>
      <c r="P182">
        <v>1</v>
      </c>
      <c r="Q182">
        <v>0</v>
      </c>
      <c r="R182">
        <v>0</v>
      </c>
      <c r="S182">
        <v>1</v>
      </c>
      <c r="T182">
        <v>0</v>
      </c>
      <c r="U182">
        <v>0</v>
      </c>
      <c r="V182">
        <v>1</v>
      </c>
      <c r="W182">
        <v>0</v>
      </c>
      <c r="X182">
        <v>0</v>
      </c>
      <c r="Y182">
        <v>0</v>
      </c>
      <c r="Z182">
        <v>0</v>
      </c>
    </row>
    <row r="183" spans="1:26" x14ac:dyDescent="0.25">
      <c r="A183">
        <v>3</v>
      </c>
      <c r="B183">
        <v>3</v>
      </c>
      <c r="C183">
        <v>0</v>
      </c>
      <c r="D183">
        <v>2034</v>
      </c>
      <c r="E183">
        <v>5</v>
      </c>
      <c r="F183">
        <v>1</v>
      </c>
      <c r="G183">
        <v>0</v>
      </c>
      <c r="H183">
        <v>0</v>
      </c>
      <c r="I183">
        <v>0</v>
      </c>
      <c r="J183">
        <v>1</v>
      </c>
      <c r="K183">
        <v>0</v>
      </c>
      <c r="L183">
        <v>0</v>
      </c>
      <c r="M183">
        <v>0</v>
      </c>
      <c r="N183">
        <v>0</v>
      </c>
      <c r="O183">
        <v>0</v>
      </c>
      <c r="P183">
        <v>1</v>
      </c>
      <c r="Q183">
        <v>1</v>
      </c>
      <c r="R183">
        <v>0</v>
      </c>
      <c r="S183">
        <v>0</v>
      </c>
      <c r="T183">
        <v>0</v>
      </c>
      <c r="U183">
        <v>0</v>
      </c>
      <c r="V183">
        <v>0</v>
      </c>
      <c r="W183">
        <v>0</v>
      </c>
      <c r="X183">
        <v>0</v>
      </c>
      <c r="Y183">
        <v>1</v>
      </c>
      <c r="Z183">
        <v>0</v>
      </c>
    </row>
    <row r="184" spans="1:26" x14ac:dyDescent="0.25">
      <c r="A184">
        <v>30</v>
      </c>
      <c r="B184">
        <v>27</v>
      </c>
      <c r="C184">
        <v>1</v>
      </c>
      <c r="D184">
        <v>826</v>
      </c>
      <c r="E184">
        <v>6</v>
      </c>
      <c r="F184">
        <v>0</v>
      </c>
      <c r="G184">
        <v>0</v>
      </c>
      <c r="H184">
        <v>0</v>
      </c>
      <c r="I184">
        <v>1</v>
      </c>
      <c r="J184">
        <v>1</v>
      </c>
      <c r="K184">
        <v>0</v>
      </c>
      <c r="L184">
        <v>0</v>
      </c>
      <c r="M184">
        <v>0</v>
      </c>
      <c r="N184">
        <v>0</v>
      </c>
      <c r="O184">
        <v>1</v>
      </c>
      <c r="P184">
        <v>0</v>
      </c>
      <c r="Q184">
        <v>0</v>
      </c>
      <c r="R184">
        <v>0</v>
      </c>
      <c r="S184">
        <v>1</v>
      </c>
      <c r="T184">
        <v>1</v>
      </c>
      <c r="U184">
        <v>0</v>
      </c>
      <c r="V184">
        <v>0</v>
      </c>
      <c r="W184">
        <v>0</v>
      </c>
      <c r="X184">
        <v>0</v>
      </c>
      <c r="Y184">
        <v>0</v>
      </c>
      <c r="Z184">
        <v>0</v>
      </c>
    </row>
    <row r="185" spans="1:26" x14ac:dyDescent="0.25">
      <c r="A185">
        <v>70</v>
      </c>
      <c r="B185">
        <v>25</v>
      </c>
      <c r="C185">
        <v>0</v>
      </c>
      <c r="D185">
        <v>1228</v>
      </c>
      <c r="E185">
        <v>3</v>
      </c>
      <c r="F185">
        <v>0</v>
      </c>
      <c r="G185">
        <v>0</v>
      </c>
      <c r="H185">
        <v>1</v>
      </c>
      <c r="I185">
        <v>0</v>
      </c>
      <c r="J185">
        <v>0</v>
      </c>
      <c r="K185">
        <v>0</v>
      </c>
      <c r="L185">
        <v>1</v>
      </c>
      <c r="M185">
        <v>0</v>
      </c>
      <c r="N185">
        <v>1</v>
      </c>
      <c r="O185">
        <v>0</v>
      </c>
      <c r="P185">
        <v>0</v>
      </c>
      <c r="Q185">
        <v>0</v>
      </c>
      <c r="R185">
        <v>0</v>
      </c>
      <c r="S185">
        <v>1</v>
      </c>
      <c r="T185">
        <v>1</v>
      </c>
      <c r="U185">
        <v>0</v>
      </c>
      <c r="V185">
        <v>0</v>
      </c>
      <c r="W185">
        <v>0</v>
      </c>
      <c r="X185">
        <v>0</v>
      </c>
      <c r="Y185">
        <v>0</v>
      </c>
      <c r="Z185">
        <v>0</v>
      </c>
    </row>
    <row r="186" spans="1:26" x14ac:dyDescent="0.25">
      <c r="A186">
        <v>48</v>
      </c>
      <c r="B186">
        <v>21</v>
      </c>
      <c r="C186">
        <v>1</v>
      </c>
      <c r="D186">
        <v>1228</v>
      </c>
      <c r="E186">
        <v>4</v>
      </c>
      <c r="F186">
        <v>0</v>
      </c>
      <c r="G186">
        <v>1</v>
      </c>
      <c r="H186">
        <v>0</v>
      </c>
      <c r="I186">
        <v>0</v>
      </c>
      <c r="J186">
        <v>0</v>
      </c>
      <c r="K186">
        <v>1</v>
      </c>
      <c r="L186">
        <v>0</v>
      </c>
      <c r="M186">
        <v>0</v>
      </c>
      <c r="N186">
        <v>1</v>
      </c>
      <c r="O186">
        <v>0</v>
      </c>
      <c r="P186">
        <v>0</v>
      </c>
      <c r="Q186">
        <v>0</v>
      </c>
      <c r="R186">
        <v>1</v>
      </c>
      <c r="S186">
        <v>0</v>
      </c>
      <c r="T186">
        <v>1</v>
      </c>
      <c r="U186">
        <v>0</v>
      </c>
      <c r="V186">
        <v>0</v>
      </c>
      <c r="W186">
        <v>0</v>
      </c>
      <c r="X186">
        <v>0</v>
      </c>
      <c r="Y186">
        <v>0</v>
      </c>
      <c r="Z186">
        <v>0</v>
      </c>
    </row>
    <row r="187" spans="1:26" x14ac:dyDescent="0.25">
      <c r="A187">
        <v>20</v>
      </c>
      <c r="B187">
        <v>18</v>
      </c>
      <c r="C187">
        <v>0</v>
      </c>
      <c r="D187">
        <v>3933</v>
      </c>
      <c r="E187">
        <v>4</v>
      </c>
      <c r="F187">
        <v>1</v>
      </c>
      <c r="G187">
        <v>0</v>
      </c>
      <c r="H187">
        <v>0</v>
      </c>
      <c r="I187">
        <v>0</v>
      </c>
      <c r="J187">
        <v>0</v>
      </c>
      <c r="K187">
        <v>1</v>
      </c>
      <c r="L187">
        <v>0</v>
      </c>
      <c r="M187">
        <v>0</v>
      </c>
      <c r="N187">
        <v>0</v>
      </c>
      <c r="O187">
        <v>0</v>
      </c>
      <c r="P187">
        <v>1</v>
      </c>
      <c r="Q187">
        <v>1</v>
      </c>
      <c r="R187">
        <v>0</v>
      </c>
      <c r="S187">
        <v>0</v>
      </c>
      <c r="T187">
        <v>1</v>
      </c>
      <c r="U187">
        <v>0</v>
      </c>
      <c r="V187">
        <v>0</v>
      </c>
      <c r="W187">
        <v>0</v>
      </c>
      <c r="X187">
        <v>0</v>
      </c>
      <c r="Y187">
        <v>0</v>
      </c>
      <c r="Z187">
        <v>0</v>
      </c>
    </row>
    <row r="188" spans="1:26" x14ac:dyDescent="0.25">
      <c r="A188">
        <v>33</v>
      </c>
      <c r="B188">
        <v>12</v>
      </c>
      <c r="C188">
        <v>0</v>
      </c>
      <c r="D188">
        <v>3003</v>
      </c>
      <c r="E188">
        <v>5</v>
      </c>
      <c r="F188">
        <v>0</v>
      </c>
      <c r="G188">
        <v>1</v>
      </c>
      <c r="H188">
        <v>0</v>
      </c>
      <c r="I188">
        <v>0</v>
      </c>
      <c r="J188">
        <v>0</v>
      </c>
      <c r="K188">
        <v>1</v>
      </c>
      <c r="L188">
        <v>0</v>
      </c>
      <c r="M188">
        <v>0</v>
      </c>
      <c r="N188">
        <v>0</v>
      </c>
      <c r="O188">
        <v>1</v>
      </c>
      <c r="P188">
        <v>0</v>
      </c>
      <c r="Q188">
        <v>0</v>
      </c>
      <c r="R188">
        <v>1</v>
      </c>
      <c r="S188">
        <v>0</v>
      </c>
      <c r="T188">
        <v>0</v>
      </c>
      <c r="U188">
        <v>0</v>
      </c>
      <c r="V188">
        <v>1</v>
      </c>
      <c r="W188">
        <v>0</v>
      </c>
      <c r="X188">
        <v>0</v>
      </c>
      <c r="Y188">
        <v>0</v>
      </c>
      <c r="Z188">
        <v>0</v>
      </c>
    </row>
    <row r="189" spans="1:26" x14ac:dyDescent="0.25">
      <c r="A189">
        <v>41</v>
      </c>
      <c r="B189">
        <v>9</v>
      </c>
      <c r="C189">
        <v>0</v>
      </c>
      <c r="D189">
        <v>3773</v>
      </c>
      <c r="E189">
        <v>2</v>
      </c>
      <c r="F189">
        <v>0</v>
      </c>
      <c r="G189">
        <v>0</v>
      </c>
      <c r="H189">
        <v>0</v>
      </c>
      <c r="I189">
        <v>1</v>
      </c>
      <c r="J189">
        <v>0</v>
      </c>
      <c r="K189">
        <v>0</v>
      </c>
      <c r="L189">
        <v>1</v>
      </c>
      <c r="M189">
        <v>0</v>
      </c>
      <c r="N189">
        <v>1</v>
      </c>
      <c r="O189">
        <v>0</v>
      </c>
      <c r="P189">
        <v>0</v>
      </c>
      <c r="Q189">
        <v>0</v>
      </c>
      <c r="R189">
        <v>0</v>
      </c>
      <c r="S189">
        <v>1</v>
      </c>
      <c r="T189">
        <v>0</v>
      </c>
      <c r="U189">
        <v>0</v>
      </c>
      <c r="V189">
        <v>0</v>
      </c>
      <c r="W189">
        <v>0</v>
      </c>
      <c r="X189">
        <v>0</v>
      </c>
      <c r="Y189">
        <v>1</v>
      </c>
      <c r="Z189">
        <v>0</v>
      </c>
    </row>
    <row r="190" spans="1:26" x14ac:dyDescent="0.25">
      <c r="A190">
        <v>35</v>
      </c>
      <c r="B190">
        <v>8</v>
      </c>
      <c r="C190">
        <v>0</v>
      </c>
      <c r="D190">
        <v>3981</v>
      </c>
      <c r="E190">
        <v>6</v>
      </c>
      <c r="F190">
        <v>0</v>
      </c>
      <c r="G190">
        <v>0</v>
      </c>
      <c r="H190">
        <v>0</v>
      </c>
      <c r="I190">
        <v>1</v>
      </c>
      <c r="J190">
        <v>0</v>
      </c>
      <c r="K190">
        <v>1</v>
      </c>
      <c r="L190">
        <v>0</v>
      </c>
      <c r="M190">
        <v>0</v>
      </c>
      <c r="N190">
        <v>1</v>
      </c>
      <c r="O190">
        <v>0</v>
      </c>
      <c r="P190">
        <v>0</v>
      </c>
      <c r="Q190">
        <v>0</v>
      </c>
      <c r="R190">
        <v>0</v>
      </c>
      <c r="S190">
        <v>1</v>
      </c>
      <c r="T190">
        <v>0</v>
      </c>
      <c r="U190">
        <v>0</v>
      </c>
      <c r="V190">
        <v>0</v>
      </c>
      <c r="W190">
        <v>1</v>
      </c>
      <c r="X190">
        <v>0</v>
      </c>
      <c r="Y190">
        <v>0</v>
      </c>
      <c r="Z190">
        <v>0</v>
      </c>
    </row>
    <row r="191" spans="1:26" x14ac:dyDescent="0.25">
      <c r="A191">
        <v>18</v>
      </c>
      <c r="B191">
        <v>7</v>
      </c>
      <c r="C191">
        <v>0</v>
      </c>
      <c r="D191">
        <v>3773</v>
      </c>
      <c r="E191">
        <v>0</v>
      </c>
      <c r="F191">
        <v>1</v>
      </c>
      <c r="G191">
        <v>0</v>
      </c>
      <c r="H191">
        <v>0</v>
      </c>
      <c r="I191">
        <v>0</v>
      </c>
      <c r="J191">
        <v>0</v>
      </c>
      <c r="K191">
        <v>1</v>
      </c>
      <c r="L191">
        <v>0</v>
      </c>
      <c r="M191">
        <v>0</v>
      </c>
      <c r="N191">
        <v>1</v>
      </c>
      <c r="O191">
        <v>0</v>
      </c>
      <c r="P191">
        <v>0</v>
      </c>
      <c r="Q191">
        <v>0</v>
      </c>
      <c r="R191">
        <v>1</v>
      </c>
      <c r="S191">
        <v>0</v>
      </c>
      <c r="T191">
        <v>0</v>
      </c>
      <c r="U191">
        <v>0</v>
      </c>
      <c r="V191">
        <v>1</v>
      </c>
      <c r="W191">
        <v>0</v>
      </c>
      <c r="X191">
        <v>0</v>
      </c>
      <c r="Y191">
        <v>0</v>
      </c>
      <c r="Z191">
        <v>0</v>
      </c>
    </row>
    <row r="192" spans="1:26" x14ac:dyDescent="0.25">
      <c r="A192">
        <v>15</v>
      </c>
      <c r="B192">
        <v>6</v>
      </c>
      <c r="C192">
        <v>0</v>
      </c>
      <c r="D192">
        <v>4027</v>
      </c>
      <c r="E192">
        <v>4</v>
      </c>
      <c r="F192">
        <v>0</v>
      </c>
      <c r="G192">
        <v>1</v>
      </c>
      <c r="H192">
        <v>0</v>
      </c>
      <c r="I192">
        <v>0</v>
      </c>
      <c r="J192">
        <v>0</v>
      </c>
      <c r="K192">
        <v>0</v>
      </c>
      <c r="L192">
        <v>1</v>
      </c>
      <c r="M192">
        <v>0</v>
      </c>
      <c r="N192">
        <v>0</v>
      </c>
      <c r="O192">
        <v>0</v>
      </c>
      <c r="P192">
        <v>1</v>
      </c>
      <c r="Q192">
        <v>1</v>
      </c>
      <c r="R192">
        <v>0</v>
      </c>
      <c r="S192">
        <v>0</v>
      </c>
      <c r="T192">
        <v>0</v>
      </c>
      <c r="U192">
        <v>0</v>
      </c>
      <c r="V192">
        <v>0</v>
      </c>
      <c r="W192">
        <v>0</v>
      </c>
      <c r="X192">
        <v>0</v>
      </c>
      <c r="Y192">
        <v>0</v>
      </c>
      <c r="Z192">
        <v>1</v>
      </c>
    </row>
    <row r="193" spans="1:26" x14ac:dyDescent="0.25">
      <c r="A193">
        <v>9</v>
      </c>
      <c r="B193">
        <v>6</v>
      </c>
      <c r="C193">
        <v>0</v>
      </c>
      <c r="D193">
        <v>3003</v>
      </c>
      <c r="E193">
        <v>7</v>
      </c>
      <c r="F193">
        <v>0</v>
      </c>
      <c r="G193">
        <v>1</v>
      </c>
      <c r="H193">
        <v>0</v>
      </c>
      <c r="I193">
        <v>0</v>
      </c>
      <c r="J193">
        <v>0</v>
      </c>
      <c r="K193">
        <v>0</v>
      </c>
      <c r="L193">
        <v>1</v>
      </c>
      <c r="M193">
        <v>0</v>
      </c>
      <c r="N193">
        <v>0</v>
      </c>
      <c r="O193">
        <v>1</v>
      </c>
      <c r="P193">
        <v>0</v>
      </c>
      <c r="Q193">
        <v>1</v>
      </c>
      <c r="R193">
        <v>0</v>
      </c>
      <c r="S193">
        <v>0</v>
      </c>
      <c r="T193">
        <v>0</v>
      </c>
      <c r="U193">
        <v>0</v>
      </c>
      <c r="V193">
        <v>0</v>
      </c>
      <c r="W193">
        <v>0</v>
      </c>
      <c r="X193">
        <v>0</v>
      </c>
      <c r="Y193">
        <v>0</v>
      </c>
      <c r="Z193">
        <v>1</v>
      </c>
    </row>
    <row r="194" spans="1:26" x14ac:dyDescent="0.25">
      <c r="A194">
        <v>11</v>
      </c>
      <c r="B194">
        <v>3</v>
      </c>
      <c r="C194">
        <v>0</v>
      </c>
      <c r="D194">
        <v>716</v>
      </c>
      <c r="E194">
        <v>6</v>
      </c>
      <c r="F194">
        <v>0</v>
      </c>
      <c r="G194">
        <v>1</v>
      </c>
      <c r="H194">
        <v>0</v>
      </c>
      <c r="I194">
        <v>0</v>
      </c>
      <c r="J194">
        <v>0</v>
      </c>
      <c r="K194">
        <v>0</v>
      </c>
      <c r="L194">
        <v>1</v>
      </c>
      <c r="M194">
        <v>1</v>
      </c>
      <c r="N194">
        <v>1</v>
      </c>
      <c r="O194">
        <v>0</v>
      </c>
      <c r="P194">
        <v>0</v>
      </c>
      <c r="Q194">
        <v>0</v>
      </c>
      <c r="R194">
        <v>0</v>
      </c>
      <c r="S194">
        <v>1</v>
      </c>
      <c r="T194">
        <v>0</v>
      </c>
      <c r="U194">
        <v>1</v>
      </c>
      <c r="V194">
        <v>0</v>
      </c>
      <c r="W194">
        <v>0</v>
      </c>
      <c r="X194">
        <v>0</v>
      </c>
      <c r="Y194">
        <v>0</v>
      </c>
      <c r="Z194">
        <v>0</v>
      </c>
    </row>
    <row r="195" spans="1:26" x14ac:dyDescent="0.25">
      <c r="A195">
        <v>92</v>
      </c>
      <c r="B195">
        <v>49</v>
      </c>
      <c r="C195">
        <v>0</v>
      </c>
      <c r="D195">
        <v>1228</v>
      </c>
      <c r="E195">
        <v>5</v>
      </c>
      <c r="F195">
        <v>0</v>
      </c>
      <c r="G195">
        <v>0</v>
      </c>
      <c r="H195">
        <v>1</v>
      </c>
      <c r="I195">
        <v>0</v>
      </c>
      <c r="J195">
        <v>0</v>
      </c>
      <c r="K195">
        <v>0</v>
      </c>
      <c r="L195">
        <v>1</v>
      </c>
      <c r="M195">
        <v>0</v>
      </c>
      <c r="N195">
        <v>1</v>
      </c>
      <c r="O195">
        <v>0</v>
      </c>
      <c r="P195">
        <v>0</v>
      </c>
      <c r="Q195">
        <v>0</v>
      </c>
      <c r="R195">
        <v>1</v>
      </c>
      <c r="S195">
        <v>0</v>
      </c>
      <c r="T195">
        <v>0</v>
      </c>
      <c r="U195">
        <v>0</v>
      </c>
      <c r="V195">
        <v>0</v>
      </c>
      <c r="W195">
        <v>0</v>
      </c>
      <c r="X195">
        <v>1</v>
      </c>
      <c r="Y195">
        <v>0</v>
      </c>
      <c r="Z195">
        <v>0</v>
      </c>
    </row>
    <row r="196" spans="1:26" x14ac:dyDescent="0.25">
      <c r="A196">
        <v>23</v>
      </c>
      <c r="B196">
        <v>10</v>
      </c>
      <c r="C196">
        <v>1</v>
      </c>
      <c r="D196">
        <v>3933</v>
      </c>
      <c r="E196">
        <v>4</v>
      </c>
      <c r="F196">
        <v>0</v>
      </c>
      <c r="G196">
        <v>0</v>
      </c>
      <c r="H196">
        <v>1</v>
      </c>
      <c r="I196">
        <v>0</v>
      </c>
      <c r="J196">
        <v>1</v>
      </c>
      <c r="K196">
        <v>0</v>
      </c>
      <c r="L196">
        <v>0</v>
      </c>
      <c r="M196">
        <v>0</v>
      </c>
      <c r="N196">
        <v>0</v>
      </c>
      <c r="O196">
        <v>0</v>
      </c>
      <c r="P196">
        <v>1</v>
      </c>
      <c r="Q196">
        <v>0</v>
      </c>
      <c r="R196">
        <v>1</v>
      </c>
      <c r="S196">
        <v>0</v>
      </c>
      <c r="T196">
        <v>0</v>
      </c>
      <c r="U196">
        <v>1</v>
      </c>
      <c r="V196">
        <v>0</v>
      </c>
      <c r="W196">
        <v>0</v>
      </c>
      <c r="X196">
        <v>0</v>
      </c>
      <c r="Y196">
        <v>0</v>
      </c>
      <c r="Z196">
        <v>0</v>
      </c>
    </row>
    <row r="197" spans="1:26" x14ac:dyDescent="0.25">
      <c r="A197">
        <v>17</v>
      </c>
      <c r="B197">
        <v>10</v>
      </c>
      <c r="C197">
        <v>0</v>
      </c>
      <c r="D197">
        <v>826</v>
      </c>
      <c r="E197">
        <v>3</v>
      </c>
      <c r="F197">
        <v>0</v>
      </c>
      <c r="G197">
        <v>0</v>
      </c>
      <c r="H197">
        <v>1</v>
      </c>
      <c r="I197">
        <v>0</v>
      </c>
      <c r="J197">
        <v>0</v>
      </c>
      <c r="K197">
        <v>0</v>
      </c>
      <c r="L197">
        <v>1</v>
      </c>
      <c r="M197">
        <v>0</v>
      </c>
      <c r="N197">
        <v>0</v>
      </c>
      <c r="O197">
        <v>1</v>
      </c>
      <c r="P197">
        <v>0</v>
      </c>
      <c r="Q197">
        <v>0</v>
      </c>
      <c r="R197">
        <v>0</v>
      </c>
      <c r="S197">
        <v>1</v>
      </c>
      <c r="T197">
        <v>0</v>
      </c>
      <c r="U197">
        <v>0</v>
      </c>
      <c r="V197">
        <v>0</v>
      </c>
      <c r="W197">
        <v>0</v>
      </c>
      <c r="X197">
        <v>0</v>
      </c>
      <c r="Y197">
        <v>1</v>
      </c>
      <c r="Z197">
        <v>0</v>
      </c>
    </row>
    <row r="198" spans="1:26" x14ac:dyDescent="0.25">
      <c r="A198">
        <v>15</v>
      </c>
      <c r="B198">
        <v>5</v>
      </c>
      <c r="C198">
        <v>1</v>
      </c>
      <c r="D198">
        <v>2959</v>
      </c>
      <c r="E198">
        <v>3</v>
      </c>
      <c r="F198">
        <v>0</v>
      </c>
      <c r="G198">
        <v>1</v>
      </c>
      <c r="H198">
        <v>0</v>
      </c>
      <c r="I198">
        <v>0</v>
      </c>
      <c r="J198">
        <v>1</v>
      </c>
      <c r="K198">
        <v>0</v>
      </c>
      <c r="L198">
        <v>0</v>
      </c>
      <c r="M198">
        <v>0</v>
      </c>
      <c r="N198">
        <v>0</v>
      </c>
      <c r="O198">
        <v>0</v>
      </c>
      <c r="P198">
        <v>1</v>
      </c>
      <c r="Q198">
        <v>0</v>
      </c>
      <c r="R198">
        <v>1</v>
      </c>
      <c r="S198">
        <v>0</v>
      </c>
      <c r="T198">
        <v>0</v>
      </c>
      <c r="U198">
        <v>0</v>
      </c>
      <c r="V198">
        <v>0</v>
      </c>
      <c r="W198">
        <v>0</v>
      </c>
      <c r="X198">
        <v>0</v>
      </c>
      <c r="Y198">
        <v>0</v>
      </c>
      <c r="Z198">
        <v>1</v>
      </c>
    </row>
    <row r="199" spans="1:26" x14ac:dyDescent="0.25">
      <c r="A199">
        <v>35</v>
      </c>
      <c r="B199">
        <v>16</v>
      </c>
      <c r="C199">
        <v>0</v>
      </c>
      <c r="D199">
        <v>1282</v>
      </c>
      <c r="E199">
        <v>2</v>
      </c>
      <c r="F199">
        <v>0</v>
      </c>
      <c r="G199">
        <v>0</v>
      </c>
      <c r="H199">
        <v>0</v>
      </c>
      <c r="I199">
        <v>1</v>
      </c>
      <c r="J199">
        <v>0</v>
      </c>
      <c r="K199">
        <v>1</v>
      </c>
      <c r="L199">
        <v>0</v>
      </c>
      <c r="M199">
        <v>0</v>
      </c>
      <c r="N199">
        <v>0</v>
      </c>
      <c r="O199">
        <v>0</v>
      </c>
      <c r="P199">
        <v>1</v>
      </c>
      <c r="Q199">
        <v>1</v>
      </c>
      <c r="R199">
        <v>0</v>
      </c>
      <c r="S199">
        <v>0</v>
      </c>
      <c r="T199">
        <v>0</v>
      </c>
      <c r="U199">
        <v>0</v>
      </c>
      <c r="V199">
        <v>0</v>
      </c>
      <c r="W199">
        <v>0</v>
      </c>
      <c r="X199">
        <v>0</v>
      </c>
      <c r="Y199">
        <v>1</v>
      </c>
      <c r="Z199">
        <v>0</v>
      </c>
    </row>
    <row r="200" spans="1:26" x14ac:dyDescent="0.25">
      <c r="A200">
        <v>63</v>
      </c>
      <c r="B200">
        <v>15</v>
      </c>
      <c r="C200">
        <v>0</v>
      </c>
      <c r="D200">
        <v>3003</v>
      </c>
      <c r="E200">
        <v>2</v>
      </c>
      <c r="F200">
        <v>0</v>
      </c>
      <c r="G200">
        <v>0</v>
      </c>
      <c r="H200">
        <v>1</v>
      </c>
      <c r="I200">
        <v>0</v>
      </c>
      <c r="J200">
        <v>1</v>
      </c>
      <c r="K200">
        <v>0</v>
      </c>
      <c r="L200">
        <v>0</v>
      </c>
      <c r="M200">
        <v>0</v>
      </c>
      <c r="N200">
        <v>0</v>
      </c>
      <c r="O200">
        <v>1</v>
      </c>
      <c r="P200">
        <v>0</v>
      </c>
      <c r="Q200">
        <v>0</v>
      </c>
      <c r="R200">
        <v>0</v>
      </c>
      <c r="S200">
        <v>1</v>
      </c>
      <c r="T200">
        <v>0</v>
      </c>
      <c r="U200">
        <v>0</v>
      </c>
      <c r="V200">
        <v>0</v>
      </c>
      <c r="W200">
        <v>0</v>
      </c>
      <c r="X200">
        <v>0</v>
      </c>
      <c r="Y200">
        <v>1</v>
      </c>
      <c r="Z200">
        <v>0</v>
      </c>
    </row>
    <row r="201" spans="1:26" x14ac:dyDescent="0.25">
      <c r="A201">
        <v>27</v>
      </c>
      <c r="B201">
        <v>15</v>
      </c>
      <c r="C201">
        <v>0</v>
      </c>
      <c r="D201">
        <v>716</v>
      </c>
      <c r="E201">
        <v>6</v>
      </c>
      <c r="F201">
        <v>0</v>
      </c>
      <c r="G201">
        <v>1</v>
      </c>
      <c r="H201">
        <v>0</v>
      </c>
      <c r="I201">
        <v>0</v>
      </c>
      <c r="J201">
        <v>0</v>
      </c>
      <c r="K201">
        <v>0</v>
      </c>
      <c r="L201">
        <v>1</v>
      </c>
      <c r="M201">
        <v>1</v>
      </c>
      <c r="N201">
        <v>1</v>
      </c>
      <c r="O201">
        <v>0</v>
      </c>
      <c r="P201">
        <v>0</v>
      </c>
      <c r="Q201">
        <v>0</v>
      </c>
      <c r="R201">
        <v>0</v>
      </c>
      <c r="S201">
        <v>1</v>
      </c>
      <c r="T201">
        <v>0</v>
      </c>
      <c r="U201">
        <v>0</v>
      </c>
      <c r="V201">
        <v>0</v>
      </c>
      <c r="W201">
        <v>0</v>
      </c>
      <c r="X201">
        <v>0</v>
      </c>
      <c r="Y201">
        <v>1</v>
      </c>
      <c r="Z201">
        <v>0</v>
      </c>
    </row>
    <row r="202" spans="1:26" x14ac:dyDescent="0.25">
      <c r="A202">
        <v>20</v>
      </c>
      <c r="B202">
        <v>13</v>
      </c>
      <c r="C202">
        <v>0</v>
      </c>
      <c r="D202">
        <v>826</v>
      </c>
      <c r="E202">
        <v>4</v>
      </c>
      <c r="F202">
        <v>1</v>
      </c>
      <c r="G202">
        <v>0</v>
      </c>
      <c r="H202">
        <v>0</v>
      </c>
      <c r="I202">
        <v>0</v>
      </c>
      <c r="J202">
        <v>0</v>
      </c>
      <c r="K202">
        <v>0</v>
      </c>
      <c r="L202">
        <v>1</v>
      </c>
      <c r="M202">
        <v>0</v>
      </c>
      <c r="N202">
        <v>0</v>
      </c>
      <c r="O202">
        <v>1</v>
      </c>
      <c r="P202">
        <v>0</v>
      </c>
      <c r="Q202">
        <v>0</v>
      </c>
      <c r="R202">
        <v>0</v>
      </c>
      <c r="S202">
        <v>1</v>
      </c>
      <c r="T202">
        <v>0</v>
      </c>
      <c r="U202">
        <v>1</v>
      </c>
      <c r="V202">
        <v>0</v>
      </c>
      <c r="W202">
        <v>0</v>
      </c>
      <c r="X202">
        <v>0</v>
      </c>
      <c r="Y202">
        <v>0</v>
      </c>
      <c r="Z202">
        <v>0</v>
      </c>
    </row>
    <row r="203" spans="1:26" x14ac:dyDescent="0.25">
      <c r="A203">
        <v>38</v>
      </c>
      <c r="B203">
        <v>12</v>
      </c>
      <c r="C203">
        <v>1</v>
      </c>
      <c r="D203">
        <v>716</v>
      </c>
      <c r="E203">
        <v>7</v>
      </c>
      <c r="F203">
        <v>0</v>
      </c>
      <c r="G203">
        <v>0</v>
      </c>
      <c r="H203">
        <v>0</v>
      </c>
      <c r="I203">
        <v>1</v>
      </c>
      <c r="J203">
        <v>1</v>
      </c>
      <c r="K203">
        <v>0</v>
      </c>
      <c r="L203">
        <v>0</v>
      </c>
      <c r="M203">
        <v>1</v>
      </c>
      <c r="N203">
        <v>1</v>
      </c>
      <c r="O203">
        <v>0</v>
      </c>
      <c r="P203">
        <v>0</v>
      </c>
      <c r="Q203">
        <v>0</v>
      </c>
      <c r="R203">
        <v>0</v>
      </c>
      <c r="S203">
        <v>1</v>
      </c>
      <c r="T203">
        <v>1</v>
      </c>
      <c r="U203">
        <v>0</v>
      </c>
      <c r="V203">
        <v>0</v>
      </c>
      <c r="W203">
        <v>0</v>
      </c>
      <c r="X203">
        <v>0</v>
      </c>
      <c r="Y203">
        <v>0</v>
      </c>
      <c r="Z203">
        <v>0</v>
      </c>
    </row>
    <row r="204" spans="1:26" x14ac:dyDescent="0.25">
      <c r="A204">
        <v>30</v>
      </c>
      <c r="B204">
        <v>12</v>
      </c>
      <c r="C204">
        <v>1</v>
      </c>
      <c r="D204">
        <v>3981</v>
      </c>
      <c r="E204">
        <v>8</v>
      </c>
      <c r="F204">
        <v>1</v>
      </c>
      <c r="G204">
        <v>0</v>
      </c>
      <c r="H204">
        <v>0</v>
      </c>
      <c r="I204">
        <v>0</v>
      </c>
      <c r="J204">
        <v>0</v>
      </c>
      <c r="K204">
        <v>0</v>
      </c>
      <c r="L204">
        <v>1</v>
      </c>
      <c r="M204">
        <v>0</v>
      </c>
      <c r="N204">
        <v>1</v>
      </c>
      <c r="O204">
        <v>0</v>
      </c>
      <c r="P204">
        <v>0</v>
      </c>
      <c r="Q204">
        <v>0</v>
      </c>
      <c r="R204">
        <v>0</v>
      </c>
      <c r="S204">
        <v>1</v>
      </c>
      <c r="T204">
        <v>1</v>
      </c>
      <c r="U204">
        <v>0</v>
      </c>
      <c r="V204">
        <v>0</v>
      </c>
      <c r="W204">
        <v>0</v>
      </c>
      <c r="X204">
        <v>0</v>
      </c>
      <c r="Y204">
        <v>0</v>
      </c>
      <c r="Z204">
        <v>0</v>
      </c>
    </row>
    <row r="205" spans="1:26" x14ac:dyDescent="0.25">
      <c r="A205">
        <v>69</v>
      </c>
      <c r="B205">
        <v>11</v>
      </c>
      <c r="C205">
        <v>1</v>
      </c>
      <c r="D205">
        <v>188</v>
      </c>
      <c r="E205">
        <v>0</v>
      </c>
      <c r="F205">
        <v>0</v>
      </c>
      <c r="G205">
        <v>0</v>
      </c>
      <c r="H205">
        <v>0</v>
      </c>
      <c r="I205">
        <v>1</v>
      </c>
      <c r="J205">
        <v>0</v>
      </c>
      <c r="K205">
        <v>0</v>
      </c>
      <c r="L205">
        <v>1</v>
      </c>
      <c r="M205">
        <v>0</v>
      </c>
      <c r="N205">
        <v>0</v>
      </c>
      <c r="O205">
        <v>1</v>
      </c>
      <c r="P205">
        <v>0</v>
      </c>
      <c r="Q205">
        <v>0</v>
      </c>
      <c r="R205">
        <v>0</v>
      </c>
      <c r="S205">
        <v>1</v>
      </c>
      <c r="T205">
        <v>0</v>
      </c>
      <c r="U205">
        <v>0</v>
      </c>
      <c r="V205">
        <v>0</v>
      </c>
      <c r="W205">
        <v>1</v>
      </c>
      <c r="X205">
        <v>0</v>
      </c>
      <c r="Y205">
        <v>0</v>
      </c>
      <c r="Z205">
        <v>0</v>
      </c>
    </row>
    <row r="206" spans="1:26" x14ac:dyDescent="0.25">
      <c r="A206">
        <v>19</v>
      </c>
      <c r="B206">
        <v>11</v>
      </c>
      <c r="C206">
        <v>0</v>
      </c>
      <c r="D206">
        <v>1282</v>
      </c>
      <c r="E206">
        <v>7</v>
      </c>
      <c r="F206">
        <v>0</v>
      </c>
      <c r="G206">
        <v>0</v>
      </c>
      <c r="H206">
        <v>1</v>
      </c>
      <c r="I206">
        <v>0</v>
      </c>
      <c r="J206">
        <v>0</v>
      </c>
      <c r="K206">
        <v>1</v>
      </c>
      <c r="L206">
        <v>0</v>
      </c>
      <c r="M206">
        <v>0</v>
      </c>
      <c r="N206">
        <v>0</v>
      </c>
      <c r="O206">
        <v>0</v>
      </c>
      <c r="P206">
        <v>1</v>
      </c>
      <c r="Q206">
        <v>1</v>
      </c>
      <c r="R206">
        <v>0</v>
      </c>
      <c r="S206">
        <v>0</v>
      </c>
      <c r="T206">
        <v>1</v>
      </c>
      <c r="U206">
        <v>0</v>
      </c>
      <c r="V206">
        <v>0</v>
      </c>
      <c r="W206">
        <v>0</v>
      </c>
      <c r="X206">
        <v>0</v>
      </c>
      <c r="Y206">
        <v>0</v>
      </c>
      <c r="Z206">
        <v>0</v>
      </c>
    </row>
    <row r="207" spans="1:26" x14ac:dyDescent="0.25">
      <c r="A207">
        <v>30</v>
      </c>
      <c r="B207">
        <v>10</v>
      </c>
      <c r="C207">
        <v>1</v>
      </c>
      <c r="D207">
        <v>2700</v>
      </c>
      <c r="E207">
        <v>3</v>
      </c>
      <c r="F207">
        <v>0</v>
      </c>
      <c r="G207">
        <v>1</v>
      </c>
      <c r="H207">
        <v>0</v>
      </c>
      <c r="I207">
        <v>0</v>
      </c>
      <c r="J207">
        <v>0</v>
      </c>
      <c r="K207">
        <v>0</v>
      </c>
      <c r="L207">
        <v>1</v>
      </c>
      <c r="M207">
        <v>1</v>
      </c>
      <c r="N207">
        <v>0</v>
      </c>
      <c r="O207">
        <v>0</v>
      </c>
      <c r="P207">
        <v>1</v>
      </c>
      <c r="Q207">
        <v>0</v>
      </c>
      <c r="R207">
        <v>0</v>
      </c>
      <c r="S207">
        <v>1</v>
      </c>
      <c r="T207">
        <v>0</v>
      </c>
      <c r="U207">
        <v>1</v>
      </c>
      <c r="V207">
        <v>0</v>
      </c>
      <c r="W207">
        <v>0</v>
      </c>
      <c r="X207">
        <v>0</v>
      </c>
      <c r="Y207">
        <v>0</v>
      </c>
      <c r="Z207">
        <v>0</v>
      </c>
    </row>
    <row r="208" spans="1:26" x14ac:dyDescent="0.25">
      <c r="A208">
        <v>11</v>
      </c>
      <c r="B208">
        <v>10</v>
      </c>
      <c r="C208">
        <v>1</v>
      </c>
      <c r="D208">
        <v>3348</v>
      </c>
      <c r="E208">
        <v>3</v>
      </c>
      <c r="F208">
        <v>0</v>
      </c>
      <c r="G208">
        <v>1</v>
      </c>
      <c r="H208">
        <v>0</v>
      </c>
      <c r="I208">
        <v>0</v>
      </c>
      <c r="J208">
        <v>0</v>
      </c>
      <c r="K208">
        <v>1</v>
      </c>
      <c r="L208">
        <v>0</v>
      </c>
      <c r="M208">
        <v>0</v>
      </c>
      <c r="N208">
        <v>0</v>
      </c>
      <c r="O208">
        <v>0</v>
      </c>
      <c r="P208">
        <v>1</v>
      </c>
      <c r="Q208">
        <v>0</v>
      </c>
      <c r="R208">
        <v>1</v>
      </c>
      <c r="S208">
        <v>0</v>
      </c>
      <c r="T208">
        <v>1</v>
      </c>
      <c r="U208">
        <v>0</v>
      </c>
      <c r="V208">
        <v>0</v>
      </c>
      <c r="W208">
        <v>0</v>
      </c>
      <c r="X208">
        <v>0</v>
      </c>
      <c r="Y208">
        <v>0</v>
      </c>
      <c r="Z208">
        <v>0</v>
      </c>
    </row>
    <row r="209" spans="1:26" x14ac:dyDescent="0.25">
      <c r="A209">
        <v>30</v>
      </c>
      <c r="B209">
        <v>9</v>
      </c>
      <c r="C209">
        <v>0</v>
      </c>
      <c r="D209">
        <v>3933</v>
      </c>
      <c r="E209">
        <v>0</v>
      </c>
      <c r="F209">
        <v>0</v>
      </c>
      <c r="G209">
        <v>0</v>
      </c>
      <c r="H209">
        <v>1</v>
      </c>
      <c r="I209">
        <v>0</v>
      </c>
      <c r="J209">
        <v>1</v>
      </c>
      <c r="K209">
        <v>0</v>
      </c>
      <c r="L209">
        <v>0</v>
      </c>
      <c r="M209">
        <v>0</v>
      </c>
      <c r="N209">
        <v>0</v>
      </c>
      <c r="O209">
        <v>0</v>
      </c>
      <c r="P209">
        <v>1</v>
      </c>
      <c r="Q209">
        <v>0</v>
      </c>
      <c r="R209">
        <v>0</v>
      </c>
      <c r="S209">
        <v>1</v>
      </c>
      <c r="T209">
        <v>0</v>
      </c>
      <c r="U209">
        <v>0</v>
      </c>
      <c r="V209">
        <v>0</v>
      </c>
      <c r="W209">
        <v>0</v>
      </c>
      <c r="X209">
        <v>0</v>
      </c>
      <c r="Y209">
        <v>1</v>
      </c>
      <c r="Z209">
        <v>0</v>
      </c>
    </row>
    <row r="210" spans="1:26" x14ac:dyDescent="0.25">
      <c r="A210">
        <v>11</v>
      </c>
      <c r="B210">
        <v>7</v>
      </c>
      <c r="C210">
        <v>1</v>
      </c>
      <c r="D210">
        <v>1282</v>
      </c>
      <c r="E210">
        <v>2</v>
      </c>
      <c r="F210">
        <v>0</v>
      </c>
      <c r="G210">
        <v>0</v>
      </c>
      <c r="H210">
        <v>0</v>
      </c>
      <c r="I210">
        <v>1</v>
      </c>
      <c r="J210">
        <v>0</v>
      </c>
      <c r="K210">
        <v>0</v>
      </c>
      <c r="L210">
        <v>1</v>
      </c>
      <c r="M210">
        <v>0</v>
      </c>
      <c r="N210">
        <v>0</v>
      </c>
      <c r="O210">
        <v>0</v>
      </c>
      <c r="P210">
        <v>1</v>
      </c>
      <c r="Q210">
        <v>1</v>
      </c>
      <c r="R210">
        <v>0</v>
      </c>
      <c r="S210">
        <v>0</v>
      </c>
      <c r="T210">
        <v>0</v>
      </c>
      <c r="U210">
        <v>0</v>
      </c>
      <c r="V210">
        <v>1</v>
      </c>
      <c r="W210">
        <v>0</v>
      </c>
      <c r="X210">
        <v>0</v>
      </c>
      <c r="Y210">
        <v>0</v>
      </c>
      <c r="Z210">
        <v>0</v>
      </c>
    </row>
    <row r="211" spans="1:26" x14ac:dyDescent="0.25">
      <c r="A211">
        <v>18</v>
      </c>
      <c r="B211">
        <v>6</v>
      </c>
      <c r="C211">
        <v>0</v>
      </c>
      <c r="D211">
        <v>1467</v>
      </c>
      <c r="E211">
        <v>1</v>
      </c>
      <c r="F211">
        <v>0</v>
      </c>
      <c r="G211">
        <v>1</v>
      </c>
      <c r="H211">
        <v>0</v>
      </c>
      <c r="I211">
        <v>0</v>
      </c>
      <c r="J211">
        <v>0</v>
      </c>
      <c r="K211">
        <v>0</v>
      </c>
      <c r="L211">
        <v>1</v>
      </c>
      <c r="M211">
        <v>1</v>
      </c>
      <c r="N211">
        <v>0</v>
      </c>
      <c r="O211">
        <v>1</v>
      </c>
      <c r="P211">
        <v>0</v>
      </c>
      <c r="Q211">
        <v>0</v>
      </c>
      <c r="R211">
        <v>1</v>
      </c>
      <c r="S211">
        <v>0</v>
      </c>
      <c r="T211">
        <v>0</v>
      </c>
      <c r="U211">
        <v>1</v>
      </c>
      <c r="V211">
        <v>0</v>
      </c>
      <c r="W211">
        <v>0</v>
      </c>
      <c r="X211">
        <v>0</v>
      </c>
      <c r="Y211">
        <v>0</v>
      </c>
      <c r="Z211">
        <v>0</v>
      </c>
    </row>
    <row r="212" spans="1:26" x14ac:dyDescent="0.25">
      <c r="A212">
        <v>15</v>
      </c>
      <c r="B212">
        <v>6</v>
      </c>
      <c r="C212">
        <v>1</v>
      </c>
      <c r="D212">
        <v>3933</v>
      </c>
      <c r="E212">
        <v>1</v>
      </c>
      <c r="F212">
        <v>0</v>
      </c>
      <c r="G212">
        <v>0</v>
      </c>
      <c r="H212">
        <v>1</v>
      </c>
      <c r="I212">
        <v>0</v>
      </c>
      <c r="J212">
        <v>0</v>
      </c>
      <c r="K212">
        <v>0</v>
      </c>
      <c r="L212">
        <v>1</v>
      </c>
      <c r="M212">
        <v>0</v>
      </c>
      <c r="N212">
        <v>0</v>
      </c>
      <c r="O212">
        <v>0</v>
      </c>
      <c r="P212">
        <v>1</v>
      </c>
      <c r="Q212">
        <v>0</v>
      </c>
      <c r="R212">
        <v>1</v>
      </c>
      <c r="S212">
        <v>0</v>
      </c>
      <c r="T212">
        <v>0</v>
      </c>
      <c r="U212">
        <v>0</v>
      </c>
      <c r="V212">
        <v>0</v>
      </c>
      <c r="W212">
        <v>0</v>
      </c>
      <c r="X212">
        <v>1</v>
      </c>
      <c r="Y212">
        <v>0</v>
      </c>
      <c r="Z212">
        <v>0</v>
      </c>
    </row>
    <row r="213" spans="1:26" x14ac:dyDescent="0.25">
      <c r="A213">
        <v>54</v>
      </c>
      <c r="B213">
        <v>18</v>
      </c>
      <c r="C213">
        <v>0</v>
      </c>
      <c r="D213">
        <v>3003</v>
      </c>
      <c r="E213">
        <v>5</v>
      </c>
      <c r="F213">
        <v>0</v>
      </c>
      <c r="G213">
        <v>0</v>
      </c>
      <c r="H213">
        <v>1</v>
      </c>
      <c r="I213">
        <v>0</v>
      </c>
      <c r="J213">
        <v>1</v>
      </c>
      <c r="K213">
        <v>0</v>
      </c>
      <c r="L213">
        <v>0</v>
      </c>
      <c r="M213">
        <v>0</v>
      </c>
      <c r="N213">
        <v>0</v>
      </c>
      <c r="O213">
        <v>1</v>
      </c>
      <c r="P213">
        <v>0</v>
      </c>
      <c r="Q213">
        <v>1</v>
      </c>
      <c r="R213">
        <v>0</v>
      </c>
      <c r="S213">
        <v>0</v>
      </c>
      <c r="T213">
        <v>0</v>
      </c>
      <c r="U213">
        <v>0</v>
      </c>
      <c r="V213">
        <v>0</v>
      </c>
      <c r="W213">
        <v>0</v>
      </c>
      <c r="X213">
        <v>0</v>
      </c>
      <c r="Y213">
        <v>1</v>
      </c>
      <c r="Z213">
        <v>0</v>
      </c>
    </row>
    <row r="214" spans="1:26" x14ac:dyDescent="0.25">
      <c r="A214">
        <v>38</v>
      </c>
      <c r="B214">
        <v>18</v>
      </c>
      <c r="C214">
        <v>1</v>
      </c>
      <c r="D214">
        <v>1282</v>
      </c>
      <c r="E214">
        <v>8</v>
      </c>
      <c r="F214">
        <v>0</v>
      </c>
      <c r="G214">
        <v>1</v>
      </c>
      <c r="H214">
        <v>0</v>
      </c>
      <c r="I214">
        <v>0</v>
      </c>
      <c r="J214">
        <v>0</v>
      </c>
      <c r="K214">
        <v>0</v>
      </c>
      <c r="L214">
        <v>1</v>
      </c>
      <c r="M214">
        <v>0</v>
      </c>
      <c r="N214">
        <v>0</v>
      </c>
      <c r="O214">
        <v>0</v>
      </c>
      <c r="P214">
        <v>1</v>
      </c>
      <c r="Q214">
        <v>0</v>
      </c>
      <c r="R214">
        <v>0</v>
      </c>
      <c r="S214">
        <v>1</v>
      </c>
      <c r="T214">
        <v>0</v>
      </c>
      <c r="U214">
        <v>0</v>
      </c>
      <c r="V214">
        <v>0</v>
      </c>
      <c r="W214">
        <v>1</v>
      </c>
      <c r="X214">
        <v>0</v>
      </c>
      <c r="Y214">
        <v>0</v>
      </c>
      <c r="Z214">
        <v>0</v>
      </c>
    </row>
    <row r="215" spans="1:26" x14ac:dyDescent="0.25">
      <c r="A215">
        <v>27</v>
      </c>
      <c r="B215">
        <v>17</v>
      </c>
      <c r="C215">
        <v>0</v>
      </c>
      <c r="D215">
        <v>2884</v>
      </c>
      <c r="E215">
        <v>6</v>
      </c>
      <c r="F215">
        <v>0</v>
      </c>
      <c r="G215">
        <v>1</v>
      </c>
      <c r="H215">
        <v>0</v>
      </c>
      <c r="I215">
        <v>0</v>
      </c>
      <c r="J215">
        <v>0</v>
      </c>
      <c r="K215">
        <v>1</v>
      </c>
      <c r="L215">
        <v>0</v>
      </c>
      <c r="M215">
        <v>1</v>
      </c>
      <c r="N215">
        <v>0</v>
      </c>
      <c r="O215">
        <v>1</v>
      </c>
      <c r="P215">
        <v>0</v>
      </c>
      <c r="Q215">
        <v>0</v>
      </c>
      <c r="R215">
        <v>0</v>
      </c>
      <c r="S215">
        <v>1</v>
      </c>
      <c r="T215">
        <v>0</v>
      </c>
      <c r="U215">
        <v>0</v>
      </c>
      <c r="V215">
        <v>0</v>
      </c>
      <c r="W215">
        <v>0</v>
      </c>
      <c r="X215">
        <v>1</v>
      </c>
      <c r="Y215">
        <v>0</v>
      </c>
      <c r="Z215">
        <v>0</v>
      </c>
    </row>
    <row r="216" spans="1:26" x14ac:dyDescent="0.25">
      <c r="A216">
        <v>19</v>
      </c>
      <c r="B216">
        <v>17</v>
      </c>
      <c r="C216">
        <v>0</v>
      </c>
      <c r="D216">
        <v>3003</v>
      </c>
      <c r="E216">
        <v>5</v>
      </c>
      <c r="F216">
        <v>0</v>
      </c>
      <c r="G216">
        <v>0</v>
      </c>
      <c r="H216">
        <v>0</v>
      </c>
      <c r="I216">
        <v>1</v>
      </c>
      <c r="J216">
        <v>0</v>
      </c>
      <c r="K216">
        <v>0</v>
      </c>
      <c r="L216">
        <v>1</v>
      </c>
      <c r="M216">
        <v>0</v>
      </c>
      <c r="N216">
        <v>0</v>
      </c>
      <c r="O216">
        <v>1</v>
      </c>
      <c r="P216">
        <v>0</v>
      </c>
      <c r="Q216">
        <v>0</v>
      </c>
      <c r="R216">
        <v>1</v>
      </c>
      <c r="S216">
        <v>0</v>
      </c>
      <c r="T216">
        <v>0</v>
      </c>
      <c r="U216">
        <v>0</v>
      </c>
      <c r="V216">
        <v>0</v>
      </c>
      <c r="W216">
        <v>0</v>
      </c>
      <c r="X216">
        <v>0</v>
      </c>
      <c r="Y216">
        <v>0</v>
      </c>
      <c r="Z216">
        <v>1</v>
      </c>
    </row>
    <row r="217" spans="1:26" x14ac:dyDescent="0.25">
      <c r="A217">
        <v>27</v>
      </c>
      <c r="B217">
        <v>15</v>
      </c>
      <c r="C217">
        <v>1</v>
      </c>
      <c r="D217">
        <v>716</v>
      </c>
      <c r="E217">
        <v>5</v>
      </c>
      <c r="F217">
        <v>0</v>
      </c>
      <c r="G217">
        <v>0</v>
      </c>
      <c r="H217">
        <v>0</v>
      </c>
      <c r="I217">
        <v>1</v>
      </c>
      <c r="J217">
        <v>0</v>
      </c>
      <c r="K217">
        <v>0</v>
      </c>
      <c r="L217">
        <v>1</v>
      </c>
      <c r="M217">
        <v>1</v>
      </c>
      <c r="N217">
        <v>1</v>
      </c>
      <c r="O217">
        <v>0</v>
      </c>
      <c r="P217">
        <v>0</v>
      </c>
      <c r="Q217">
        <v>1</v>
      </c>
      <c r="R217">
        <v>0</v>
      </c>
      <c r="S217">
        <v>0</v>
      </c>
      <c r="T217">
        <v>0</v>
      </c>
      <c r="U217">
        <v>0</v>
      </c>
      <c r="V217">
        <v>0</v>
      </c>
      <c r="W217">
        <v>1</v>
      </c>
      <c r="X217">
        <v>0</v>
      </c>
      <c r="Y217">
        <v>0</v>
      </c>
      <c r="Z217">
        <v>0</v>
      </c>
    </row>
    <row r="218" spans="1:26" x14ac:dyDescent="0.25">
      <c r="A218">
        <v>20</v>
      </c>
      <c r="B218">
        <v>13</v>
      </c>
      <c r="C218">
        <v>1</v>
      </c>
      <c r="D218">
        <v>2700</v>
      </c>
      <c r="E218">
        <v>6</v>
      </c>
      <c r="F218">
        <v>0</v>
      </c>
      <c r="G218">
        <v>0</v>
      </c>
      <c r="H218">
        <v>1</v>
      </c>
      <c r="I218">
        <v>0</v>
      </c>
      <c r="J218">
        <v>1</v>
      </c>
      <c r="K218">
        <v>0</v>
      </c>
      <c r="L218">
        <v>0</v>
      </c>
      <c r="M218">
        <v>1</v>
      </c>
      <c r="N218">
        <v>0</v>
      </c>
      <c r="O218">
        <v>0</v>
      </c>
      <c r="P218">
        <v>1</v>
      </c>
      <c r="Q218">
        <v>0</v>
      </c>
      <c r="R218">
        <v>0</v>
      </c>
      <c r="S218">
        <v>1</v>
      </c>
      <c r="T218">
        <v>1</v>
      </c>
      <c r="U218">
        <v>0</v>
      </c>
      <c r="V218">
        <v>0</v>
      </c>
      <c r="W218">
        <v>0</v>
      </c>
      <c r="X218">
        <v>0</v>
      </c>
      <c r="Y218">
        <v>0</v>
      </c>
      <c r="Z218">
        <v>0</v>
      </c>
    </row>
    <row r="219" spans="1:26" x14ac:dyDescent="0.25">
      <c r="A219">
        <v>16</v>
      </c>
      <c r="B219">
        <v>13</v>
      </c>
      <c r="C219">
        <v>0</v>
      </c>
      <c r="D219">
        <v>2884</v>
      </c>
      <c r="E219">
        <v>6</v>
      </c>
      <c r="F219">
        <v>0</v>
      </c>
      <c r="G219">
        <v>0</v>
      </c>
      <c r="H219">
        <v>1</v>
      </c>
      <c r="I219">
        <v>0</v>
      </c>
      <c r="J219">
        <v>0</v>
      </c>
      <c r="K219">
        <v>1</v>
      </c>
      <c r="L219">
        <v>0</v>
      </c>
      <c r="M219">
        <v>1</v>
      </c>
      <c r="N219">
        <v>0</v>
      </c>
      <c r="O219">
        <v>1</v>
      </c>
      <c r="P219">
        <v>0</v>
      </c>
      <c r="Q219">
        <v>1</v>
      </c>
      <c r="R219">
        <v>0</v>
      </c>
      <c r="S219">
        <v>0</v>
      </c>
      <c r="T219">
        <v>0</v>
      </c>
      <c r="U219">
        <v>0</v>
      </c>
      <c r="V219">
        <v>0</v>
      </c>
      <c r="W219">
        <v>0</v>
      </c>
      <c r="X219">
        <v>0</v>
      </c>
      <c r="Y219">
        <v>0</v>
      </c>
      <c r="Z219">
        <v>1</v>
      </c>
    </row>
    <row r="220" spans="1:26" x14ac:dyDescent="0.25">
      <c r="A220">
        <v>39</v>
      </c>
      <c r="B220">
        <v>12</v>
      </c>
      <c r="C220">
        <v>1</v>
      </c>
      <c r="D220">
        <v>3348</v>
      </c>
      <c r="E220">
        <v>2</v>
      </c>
      <c r="F220">
        <v>0</v>
      </c>
      <c r="G220">
        <v>0</v>
      </c>
      <c r="H220">
        <v>0</v>
      </c>
      <c r="I220">
        <v>1</v>
      </c>
      <c r="J220">
        <v>1</v>
      </c>
      <c r="K220">
        <v>0</v>
      </c>
      <c r="L220">
        <v>0</v>
      </c>
      <c r="M220">
        <v>0</v>
      </c>
      <c r="N220">
        <v>0</v>
      </c>
      <c r="O220">
        <v>0</v>
      </c>
      <c r="P220">
        <v>1</v>
      </c>
      <c r="Q220">
        <v>0</v>
      </c>
      <c r="R220">
        <v>0</v>
      </c>
      <c r="S220">
        <v>1</v>
      </c>
      <c r="T220">
        <v>0</v>
      </c>
      <c r="U220">
        <v>0</v>
      </c>
      <c r="V220">
        <v>0</v>
      </c>
      <c r="W220">
        <v>0</v>
      </c>
      <c r="X220">
        <v>1</v>
      </c>
      <c r="Y220">
        <v>0</v>
      </c>
      <c r="Z220">
        <v>0</v>
      </c>
    </row>
    <row r="221" spans="1:26" x14ac:dyDescent="0.25">
      <c r="A221">
        <v>25</v>
      </c>
      <c r="B221">
        <v>10</v>
      </c>
      <c r="C221">
        <v>1</v>
      </c>
      <c r="D221">
        <v>188</v>
      </c>
      <c r="E221">
        <v>8</v>
      </c>
      <c r="F221">
        <v>0</v>
      </c>
      <c r="G221">
        <v>0</v>
      </c>
      <c r="H221">
        <v>0</v>
      </c>
      <c r="I221">
        <v>1</v>
      </c>
      <c r="J221">
        <v>1</v>
      </c>
      <c r="K221">
        <v>0</v>
      </c>
      <c r="L221">
        <v>0</v>
      </c>
      <c r="M221">
        <v>0</v>
      </c>
      <c r="N221">
        <v>0</v>
      </c>
      <c r="O221">
        <v>1</v>
      </c>
      <c r="P221">
        <v>0</v>
      </c>
      <c r="Q221">
        <v>0</v>
      </c>
      <c r="R221">
        <v>1</v>
      </c>
      <c r="S221">
        <v>0</v>
      </c>
      <c r="T221">
        <v>0</v>
      </c>
      <c r="U221">
        <v>0</v>
      </c>
      <c r="V221">
        <v>0</v>
      </c>
      <c r="W221">
        <v>0</v>
      </c>
      <c r="X221">
        <v>0</v>
      </c>
      <c r="Y221">
        <v>1</v>
      </c>
      <c r="Z221">
        <v>0</v>
      </c>
    </row>
    <row r="222" spans="1:26" x14ac:dyDescent="0.25">
      <c r="A222">
        <v>18</v>
      </c>
      <c r="B222">
        <v>10</v>
      </c>
      <c r="C222">
        <v>0</v>
      </c>
      <c r="D222">
        <v>1467</v>
      </c>
      <c r="E222">
        <v>2</v>
      </c>
      <c r="F222">
        <v>1</v>
      </c>
      <c r="G222">
        <v>0</v>
      </c>
      <c r="H222">
        <v>0</v>
      </c>
      <c r="I222">
        <v>0</v>
      </c>
      <c r="J222">
        <v>1</v>
      </c>
      <c r="K222">
        <v>0</v>
      </c>
      <c r="L222">
        <v>0</v>
      </c>
      <c r="M222">
        <v>1</v>
      </c>
      <c r="N222">
        <v>0</v>
      </c>
      <c r="O222">
        <v>1</v>
      </c>
      <c r="P222">
        <v>0</v>
      </c>
      <c r="Q222">
        <v>1</v>
      </c>
      <c r="R222">
        <v>0</v>
      </c>
      <c r="S222">
        <v>0</v>
      </c>
      <c r="T222">
        <v>0</v>
      </c>
      <c r="U222">
        <v>0</v>
      </c>
      <c r="V222">
        <v>0</v>
      </c>
      <c r="W222">
        <v>0</v>
      </c>
      <c r="X222">
        <v>1</v>
      </c>
      <c r="Y222">
        <v>0</v>
      </c>
      <c r="Z222">
        <v>0</v>
      </c>
    </row>
    <row r="223" spans="1:26" x14ac:dyDescent="0.25">
      <c r="A223">
        <v>16</v>
      </c>
      <c r="B223">
        <v>10</v>
      </c>
      <c r="C223">
        <v>0</v>
      </c>
      <c r="D223">
        <v>2700</v>
      </c>
      <c r="E223">
        <v>7</v>
      </c>
      <c r="F223">
        <v>0</v>
      </c>
      <c r="G223">
        <v>0</v>
      </c>
      <c r="H223">
        <v>1</v>
      </c>
      <c r="I223">
        <v>0</v>
      </c>
      <c r="J223">
        <v>1</v>
      </c>
      <c r="K223">
        <v>0</v>
      </c>
      <c r="L223">
        <v>0</v>
      </c>
      <c r="M223">
        <v>1</v>
      </c>
      <c r="N223">
        <v>0</v>
      </c>
      <c r="O223">
        <v>0</v>
      </c>
      <c r="P223">
        <v>1</v>
      </c>
      <c r="Q223">
        <v>1</v>
      </c>
      <c r="R223">
        <v>0</v>
      </c>
      <c r="S223">
        <v>0</v>
      </c>
      <c r="T223">
        <v>0</v>
      </c>
      <c r="U223">
        <v>1</v>
      </c>
      <c r="V223">
        <v>0</v>
      </c>
      <c r="W223">
        <v>0</v>
      </c>
      <c r="X223">
        <v>0</v>
      </c>
      <c r="Y223">
        <v>0</v>
      </c>
      <c r="Z223">
        <v>0</v>
      </c>
    </row>
    <row r="224" spans="1:26" x14ac:dyDescent="0.25">
      <c r="A224">
        <v>13</v>
      </c>
      <c r="B224">
        <v>10</v>
      </c>
      <c r="C224">
        <v>0</v>
      </c>
      <c r="D224">
        <v>1467</v>
      </c>
      <c r="E224">
        <v>10</v>
      </c>
      <c r="F224">
        <v>0</v>
      </c>
      <c r="G224">
        <v>1</v>
      </c>
      <c r="H224">
        <v>0</v>
      </c>
      <c r="I224">
        <v>0</v>
      </c>
      <c r="J224">
        <v>1</v>
      </c>
      <c r="K224">
        <v>0</v>
      </c>
      <c r="L224">
        <v>0</v>
      </c>
      <c r="M224">
        <v>1</v>
      </c>
      <c r="N224">
        <v>0</v>
      </c>
      <c r="O224">
        <v>1</v>
      </c>
      <c r="P224">
        <v>0</v>
      </c>
      <c r="Q224">
        <v>0</v>
      </c>
      <c r="R224">
        <v>1</v>
      </c>
      <c r="S224">
        <v>0</v>
      </c>
      <c r="T224">
        <v>0</v>
      </c>
      <c r="U224">
        <v>0</v>
      </c>
      <c r="V224">
        <v>0</v>
      </c>
      <c r="W224">
        <v>0</v>
      </c>
      <c r="X224">
        <v>0</v>
      </c>
      <c r="Y224">
        <v>0</v>
      </c>
      <c r="Z224">
        <v>1</v>
      </c>
    </row>
    <row r="225" spans="1:26" x14ac:dyDescent="0.25">
      <c r="A225">
        <v>27</v>
      </c>
      <c r="B225">
        <v>8</v>
      </c>
      <c r="C225">
        <v>0</v>
      </c>
      <c r="D225">
        <v>787</v>
      </c>
      <c r="E225">
        <v>4</v>
      </c>
      <c r="F225">
        <v>0</v>
      </c>
      <c r="G225">
        <v>1</v>
      </c>
      <c r="H225">
        <v>0</v>
      </c>
      <c r="I225">
        <v>0</v>
      </c>
      <c r="J225">
        <v>1</v>
      </c>
      <c r="K225">
        <v>0</v>
      </c>
      <c r="L225">
        <v>0</v>
      </c>
      <c r="M225">
        <v>1</v>
      </c>
      <c r="N225">
        <v>1</v>
      </c>
      <c r="O225">
        <v>0</v>
      </c>
      <c r="P225">
        <v>0</v>
      </c>
      <c r="Q225">
        <v>0</v>
      </c>
      <c r="R225">
        <v>0</v>
      </c>
      <c r="S225">
        <v>1</v>
      </c>
      <c r="T225">
        <v>0</v>
      </c>
      <c r="U225">
        <v>0</v>
      </c>
      <c r="V225">
        <v>0</v>
      </c>
      <c r="W225">
        <v>0</v>
      </c>
      <c r="X225">
        <v>1</v>
      </c>
      <c r="Y225">
        <v>0</v>
      </c>
      <c r="Z225">
        <v>0</v>
      </c>
    </row>
    <row r="226" spans="1:26" x14ac:dyDescent="0.25">
      <c r="A226">
        <v>12</v>
      </c>
      <c r="B226">
        <v>6</v>
      </c>
      <c r="C226">
        <v>0</v>
      </c>
      <c r="D226">
        <v>3933</v>
      </c>
      <c r="E226">
        <v>3</v>
      </c>
      <c r="F226">
        <v>0</v>
      </c>
      <c r="G226">
        <v>0</v>
      </c>
      <c r="H226">
        <v>1</v>
      </c>
      <c r="I226">
        <v>0</v>
      </c>
      <c r="J226">
        <v>1</v>
      </c>
      <c r="K226">
        <v>0</v>
      </c>
      <c r="L226">
        <v>0</v>
      </c>
      <c r="M226">
        <v>0</v>
      </c>
      <c r="N226">
        <v>0</v>
      </c>
      <c r="O226">
        <v>0</v>
      </c>
      <c r="P226">
        <v>1</v>
      </c>
      <c r="Q226">
        <v>0</v>
      </c>
      <c r="R226">
        <v>1</v>
      </c>
      <c r="S226">
        <v>0</v>
      </c>
      <c r="T226">
        <v>1</v>
      </c>
      <c r="U226">
        <v>0</v>
      </c>
      <c r="V226">
        <v>0</v>
      </c>
      <c r="W226">
        <v>0</v>
      </c>
      <c r="X226">
        <v>0</v>
      </c>
      <c r="Y226">
        <v>0</v>
      </c>
      <c r="Z226">
        <v>0</v>
      </c>
    </row>
    <row r="227" spans="1:26" x14ac:dyDescent="0.25">
      <c r="A227">
        <v>18</v>
      </c>
      <c r="B227">
        <v>4</v>
      </c>
      <c r="C227">
        <v>1</v>
      </c>
      <c r="D227">
        <v>2959</v>
      </c>
      <c r="E227">
        <v>0</v>
      </c>
      <c r="F227">
        <v>0</v>
      </c>
      <c r="G227">
        <v>0</v>
      </c>
      <c r="H227">
        <v>0</v>
      </c>
      <c r="I227">
        <v>1</v>
      </c>
      <c r="J227">
        <v>1</v>
      </c>
      <c r="K227">
        <v>0</v>
      </c>
      <c r="L227">
        <v>0</v>
      </c>
      <c r="M227">
        <v>0</v>
      </c>
      <c r="N227">
        <v>0</v>
      </c>
      <c r="O227">
        <v>0</v>
      </c>
      <c r="P227">
        <v>1</v>
      </c>
      <c r="Q227">
        <v>0</v>
      </c>
      <c r="R227">
        <v>1</v>
      </c>
      <c r="S227">
        <v>0</v>
      </c>
      <c r="T227">
        <v>1</v>
      </c>
      <c r="U227">
        <v>0</v>
      </c>
      <c r="V227">
        <v>0</v>
      </c>
      <c r="W227">
        <v>0</v>
      </c>
      <c r="X227">
        <v>0</v>
      </c>
      <c r="Y227">
        <v>0</v>
      </c>
      <c r="Z227">
        <v>0</v>
      </c>
    </row>
    <row r="228" spans="1:26" x14ac:dyDescent="0.25">
      <c r="A228">
        <v>8</v>
      </c>
      <c r="B228">
        <v>4</v>
      </c>
      <c r="C228">
        <v>1</v>
      </c>
      <c r="D228">
        <v>2700</v>
      </c>
      <c r="E228">
        <v>7</v>
      </c>
      <c r="F228">
        <v>0</v>
      </c>
      <c r="G228">
        <v>0</v>
      </c>
      <c r="H228">
        <v>0</v>
      </c>
      <c r="I228">
        <v>1</v>
      </c>
      <c r="J228">
        <v>0</v>
      </c>
      <c r="K228">
        <v>0</v>
      </c>
      <c r="L228">
        <v>1</v>
      </c>
      <c r="M228">
        <v>1</v>
      </c>
      <c r="N228">
        <v>0</v>
      </c>
      <c r="O228">
        <v>0</v>
      </c>
      <c r="P228">
        <v>1</v>
      </c>
      <c r="Q228">
        <v>0</v>
      </c>
      <c r="R228">
        <v>1</v>
      </c>
      <c r="S228">
        <v>0</v>
      </c>
      <c r="T228">
        <v>0</v>
      </c>
      <c r="U228">
        <v>0</v>
      </c>
      <c r="V228">
        <v>1</v>
      </c>
      <c r="W228">
        <v>0</v>
      </c>
      <c r="X228">
        <v>0</v>
      </c>
      <c r="Y228">
        <v>0</v>
      </c>
      <c r="Z228">
        <v>0</v>
      </c>
    </row>
    <row r="229" spans="1:26" x14ac:dyDescent="0.25">
      <c r="A229">
        <v>11</v>
      </c>
      <c r="B229">
        <v>3</v>
      </c>
      <c r="C229">
        <v>0</v>
      </c>
      <c r="D229">
        <v>1228</v>
      </c>
      <c r="E229">
        <v>2</v>
      </c>
      <c r="F229">
        <v>0</v>
      </c>
      <c r="G229">
        <v>0</v>
      </c>
      <c r="H229">
        <v>0</v>
      </c>
      <c r="I229">
        <v>1</v>
      </c>
      <c r="J229">
        <v>0</v>
      </c>
      <c r="K229">
        <v>0</v>
      </c>
      <c r="L229">
        <v>1</v>
      </c>
      <c r="M229">
        <v>0</v>
      </c>
      <c r="N229">
        <v>1</v>
      </c>
      <c r="O229">
        <v>0</v>
      </c>
      <c r="P229">
        <v>0</v>
      </c>
      <c r="Q229">
        <v>0</v>
      </c>
      <c r="R229">
        <v>1</v>
      </c>
      <c r="S229">
        <v>0</v>
      </c>
      <c r="T229">
        <v>0</v>
      </c>
      <c r="U229">
        <v>0</v>
      </c>
      <c r="V229">
        <v>0</v>
      </c>
      <c r="W229">
        <v>0</v>
      </c>
      <c r="X229">
        <v>0</v>
      </c>
      <c r="Y229">
        <v>0</v>
      </c>
      <c r="Z229">
        <v>1</v>
      </c>
    </row>
    <row r="230" spans="1:26" x14ac:dyDescent="0.25">
      <c r="A230">
        <v>4</v>
      </c>
      <c r="B230">
        <v>0</v>
      </c>
      <c r="C230">
        <v>0</v>
      </c>
      <c r="D230">
        <v>188</v>
      </c>
      <c r="E230">
        <v>0</v>
      </c>
      <c r="F230">
        <v>0</v>
      </c>
      <c r="G230">
        <v>1</v>
      </c>
      <c r="H230">
        <v>0</v>
      </c>
      <c r="I230">
        <v>0</v>
      </c>
      <c r="J230">
        <v>1</v>
      </c>
      <c r="K230">
        <v>0</v>
      </c>
      <c r="L230">
        <v>0</v>
      </c>
      <c r="M230">
        <v>0</v>
      </c>
      <c r="N230">
        <v>0</v>
      </c>
      <c r="O230">
        <v>1</v>
      </c>
      <c r="P230">
        <v>0</v>
      </c>
      <c r="Q230">
        <v>0</v>
      </c>
      <c r="R230">
        <v>0</v>
      </c>
      <c r="S230">
        <v>1</v>
      </c>
      <c r="T230">
        <v>0</v>
      </c>
      <c r="U230">
        <v>0</v>
      </c>
      <c r="V230">
        <v>0</v>
      </c>
      <c r="W230">
        <v>0</v>
      </c>
      <c r="X230">
        <v>1</v>
      </c>
      <c r="Y230">
        <v>0</v>
      </c>
      <c r="Z230">
        <v>0</v>
      </c>
    </row>
    <row r="231" spans="1:26" x14ac:dyDescent="0.25">
      <c r="A231">
        <v>60</v>
      </c>
      <c r="B231">
        <v>16</v>
      </c>
      <c r="C231">
        <v>0</v>
      </c>
      <c r="D231">
        <v>4027</v>
      </c>
      <c r="E231">
        <v>5</v>
      </c>
      <c r="F231">
        <v>1</v>
      </c>
      <c r="G231">
        <v>0</v>
      </c>
      <c r="H231">
        <v>0</v>
      </c>
      <c r="I231">
        <v>0</v>
      </c>
      <c r="J231">
        <v>0</v>
      </c>
      <c r="K231">
        <v>1</v>
      </c>
      <c r="L231">
        <v>0</v>
      </c>
      <c r="M231">
        <v>0</v>
      </c>
      <c r="N231">
        <v>0</v>
      </c>
      <c r="O231">
        <v>0</v>
      </c>
      <c r="P231">
        <v>1</v>
      </c>
      <c r="Q231">
        <v>0</v>
      </c>
      <c r="R231">
        <v>0</v>
      </c>
      <c r="S231">
        <v>1</v>
      </c>
      <c r="T231">
        <v>0</v>
      </c>
      <c r="U231">
        <v>0</v>
      </c>
      <c r="V231">
        <v>1</v>
      </c>
      <c r="W231">
        <v>0</v>
      </c>
      <c r="X231">
        <v>0</v>
      </c>
      <c r="Y231">
        <v>0</v>
      </c>
      <c r="Z231">
        <v>0</v>
      </c>
    </row>
    <row r="232" spans="1:26" x14ac:dyDescent="0.25">
      <c r="A232">
        <v>29</v>
      </c>
      <c r="B232">
        <v>11</v>
      </c>
      <c r="C232">
        <v>1</v>
      </c>
      <c r="D232">
        <v>2034</v>
      </c>
      <c r="E232">
        <v>6</v>
      </c>
      <c r="F232">
        <v>0</v>
      </c>
      <c r="G232">
        <v>0</v>
      </c>
      <c r="H232">
        <v>0</v>
      </c>
      <c r="I232">
        <v>1</v>
      </c>
      <c r="J232">
        <v>0</v>
      </c>
      <c r="K232">
        <v>0</v>
      </c>
      <c r="L232">
        <v>1</v>
      </c>
      <c r="M232">
        <v>0</v>
      </c>
      <c r="N232">
        <v>0</v>
      </c>
      <c r="O232">
        <v>0</v>
      </c>
      <c r="P232">
        <v>1</v>
      </c>
      <c r="Q232">
        <v>0</v>
      </c>
      <c r="R232">
        <v>0</v>
      </c>
      <c r="S232">
        <v>1</v>
      </c>
      <c r="T232">
        <v>0</v>
      </c>
      <c r="U232">
        <v>1</v>
      </c>
      <c r="V232">
        <v>0</v>
      </c>
      <c r="W232">
        <v>0</v>
      </c>
      <c r="X232">
        <v>0</v>
      </c>
      <c r="Y232">
        <v>0</v>
      </c>
      <c r="Z232">
        <v>0</v>
      </c>
    </row>
    <row r="233" spans="1:26" x14ac:dyDescent="0.25">
      <c r="A233">
        <v>29</v>
      </c>
      <c r="B233">
        <v>11</v>
      </c>
      <c r="C233">
        <v>0</v>
      </c>
      <c r="D233">
        <v>3981</v>
      </c>
      <c r="E233">
        <v>3</v>
      </c>
      <c r="F233">
        <v>1</v>
      </c>
      <c r="G233">
        <v>0</v>
      </c>
      <c r="H233">
        <v>0</v>
      </c>
      <c r="I233">
        <v>0</v>
      </c>
      <c r="J233">
        <v>0</v>
      </c>
      <c r="K233">
        <v>0</v>
      </c>
      <c r="L233">
        <v>1</v>
      </c>
      <c r="M233">
        <v>0</v>
      </c>
      <c r="N233">
        <v>1</v>
      </c>
      <c r="O233">
        <v>0</v>
      </c>
      <c r="P233">
        <v>0</v>
      </c>
      <c r="Q233">
        <v>0</v>
      </c>
      <c r="R233">
        <v>1</v>
      </c>
      <c r="S233">
        <v>0</v>
      </c>
      <c r="T233">
        <v>0</v>
      </c>
      <c r="U233">
        <v>1</v>
      </c>
      <c r="V233">
        <v>0</v>
      </c>
      <c r="W233">
        <v>0</v>
      </c>
      <c r="X233">
        <v>0</v>
      </c>
      <c r="Y233">
        <v>0</v>
      </c>
      <c r="Z233">
        <v>0</v>
      </c>
    </row>
    <row r="234" spans="1:26" x14ac:dyDescent="0.25">
      <c r="A234">
        <v>18</v>
      </c>
      <c r="B234">
        <v>11</v>
      </c>
      <c r="C234">
        <v>1</v>
      </c>
      <c r="D234">
        <v>2700</v>
      </c>
      <c r="E234">
        <v>7</v>
      </c>
      <c r="F234">
        <v>1</v>
      </c>
      <c r="G234">
        <v>0</v>
      </c>
      <c r="H234">
        <v>0</v>
      </c>
      <c r="I234">
        <v>0</v>
      </c>
      <c r="J234">
        <v>0</v>
      </c>
      <c r="K234">
        <v>0</v>
      </c>
      <c r="L234">
        <v>1</v>
      </c>
      <c r="M234">
        <v>1</v>
      </c>
      <c r="N234">
        <v>0</v>
      </c>
      <c r="O234">
        <v>0</v>
      </c>
      <c r="P234">
        <v>1</v>
      </c>
      <c r="Q234">
        <v>0</v>
      </c>
      <c r="R234">
        <v>0</v>
      </c>
      <c r="S234">
        <v>1</v>
      </c>
      <c r="T234">
        <v>0</v>
      </c>
      <c r="U234">
        <v>0</v>
      </c>
      <c r="V234">
        <v>0</v>
      </c>
      <c r="W234">
        <v>0</v>
      </c>
      <c r="X234">
        <v>0</v>
      </c>
      <c r="Y234">
        <v>1</v>
      </c>
      <c r="Z234">
        <v>0</v>
      </c>
    </row>
    <row r="235" spans="1:26" x14ac:dyDescent="0.25">
      <c r="A235">
        <v>54</v>
      </c>
      <c r="B235">
        <v>10</v>
      </c>
      <c r="C235">
        <v>0</v>
      </c>
      <c r="D235">
        <v>787</v>
      </c>
      <c r="E235">
        <v>5</v>
      </c>
      <c r="F235">
        <v>0</v>
      </c>
      <c r="G235">
        <v>0</v>
      </c>
      <c r="H235">
        <v>1</v>
      </c>
      <c r="I235">
        <v>0</v>
      </c>
      <c r="J235">
        <v>1</v>
      </c>
      <c r="K235">
        <v>0</v>
      </c>
      <c r="L235">
        <v>0</v>
      </c>
      <c r="M235">
        <v>1</v>
      </c>
      <c r="N235">
        <v>1</v>
      </c>
      <c r="O235">
        <v>0</v>
      </c>
      <c r="P235">
        <v>0</v>
      </c>
      <c r="Q235">
        <v>0</v>
      </c>
      <c r="R235">
        <v>0</v>
      </c>
      <c r="S235">
        <v>1</v>
      </c>
      <c r="T235">
        <v>0</v>
      </c>
      <c r="U235">
        <v>0</v>
      </c>
      <c r="V235">
        <v>0</v>
      </c>
      <c r="W235">
        <v>0</v>
      </c>
      <c r="X235">
        <v>0</v>
      </c>
      <c r="Y235">
        <v>1</v>
      </c>
      <c r="Z235">
        <v>0</v>
      </c>
    </row>
    <row r="236" spans="1:26" x14ac:dyDescent="0.25">
      <c r="A236">
        <v>58</v>
      </c>
      <c r="B236">
        <v>9</v>
      </c>
      <c r="C236">
        <v>0</v>
      </c>
      <c r="D236">
        <v>3981</v>
      </c>
      <c r="E236">
        <v>0</v>
      </c>
      <c r="F236">
        <v>0</v>
      </c>
      <c r="G236">
        <v>1</v>
      </c>
      <c r="H236">
        <v>0</v>
      </c>
      <c r="I236">
        <v>0</v>
      </c>
      <c r="J236">
        <v>0</v>
      </c>
      <c r="K236">
        <v>0</v>
      </c>
      <c r="L236">
        <v>1</v>
      </c>
      <c r="M236">
        <v>0</v>
      </c>
      <c r="N236">
        <v>1</v>
      </c>
      <c r="O236">
        <v>0</v>
      </c>
      <c r="P236">
        <v>0</v>
      </c>
      <c r="Q236">
        <v>1</v>
      </c>
      <c r="R236">
        <v>0</v>
      </c>
      <c r="S236">
        <v>0</v>
      </c>
      <c r="T236">
        <v>0</v>
      </c>
      <c r="U236">
        <v>0</v>
      </c>
      <c r="V236">
        <v>1</v>
      </c>
      <c r="W236">
        <v>0</v>
      </c>
      <c r="X236">
        <v>0</v>
      </c>
      <c r="Y236">
        <v>0</v>
      </c>
      <c r="Z236">
        <v>0</v>
      </c>
    </row>
    <row r="237" spans="1:26" x14ac:dyDescent="0.25">
      <c r="A237">
        <v>36</v>
      </c>
      <c r="B237">
        <v>9</v>
      </c>
      <c r="C237">
        <v>0</v>
      </c>
      <c r="D237">
        <v>2959</v>
      </c>
      <c r="E237">
        <v>2</v>
      </c>
      <c r="F237">
        <v>1</v>
      </c>
      <c r="G237">
        <v>0</v>
      </c>
      <c r="H237">
        <v>0</v>
      </c>
      <c r="I237">
        <v>0</v>
      </c>
      <c r="J237">
        <v>1</v>
      </c>
      <c r="K237">
        <v>0</v>
      </c>
      <c r="L237">
        <v>0</v>
      </c>
      <c r="M237">
        <v>0</v>
      </c>
      <c r="N237">
        <v>0</v>
      </c>
      <c r="O237">
        <v>0</v>
      </c>
      <c r="P237">
        <v>1</v>
      </c>
      <c r="Q237">
        <v>0</v>
      </c>
      <c r="R237">
        <v>1</v>
      </c>
      <c r="S237">
        <v>0</v>
      </c>
      <c r="T237">
        <v>0</v>
      </c>
      <c r="U237">
        <v>0</v>
      </c>
      <c r="V237">
        <v>1</v>
      </c>
      <c r="W237">
        <v>0</v>
      </c>
      <c r="X237">
        <v>0</v>
      </c>
      <c r="Y237">
        <v>0</v>
      </c>
      <c r="Z237">
        <v>0</v>
      </c>
    </row>
    <row r="238" spans="1:26" x14ac:dyDescent="0.25">
      <c r="A238">
        <v>13</v>
      </c>
      <c r="B238">
        <v>9</v>
      </c>
      <c r="C238">
        <v>0</v>
      </c>
      <c r="D238">
        <v>3003</v>
      </c>
      <c r="E238">
        <v>1</v>
      </c>
      <c r="F238">
        <v>0</v>
      </c>
      <c r="G238">
        <v>1</v>
      </c>
      <c r="H238">
        <v>0</v>
      </c>
      <c r="I238">
        <v>0</v>
      </c>
      <c r="J238">
        <v>1</v>
      </c>
      <c r="K238">
        <v>0</v>
      </c>
      <c r="L238">
        <v>0</v>
      </c>
      <c r="M238">
        <v>0</v>
      </c>
      <c r="N238">
        <v>0</v>
      </c>
      <c r="O238">
        <v>1</v>
      </c>
      <c r="P238">
        <v>0</v>
      </c>
      <c r="Q238">
        <v>0</v>
      </c>
      <c r="R238">
        <v>0</v>
      </c>
      <c r="S238">
        <v>1</v>
      </c>
      <c r="T238">
        <v>0</v>
      </c>
      <c r="U238">
        <v>1</v>
      </c>
      <c r="V238">
        <v>0</v>
      </c>
      <c r="W238">
        <v>0</v>
      </c>
      <c r="X238">
        <v>0</v>
      </c>
      <c r="Y238">
        <v>0</v>
      </c>
      <c r="Z238">
        <v>0</v>
      </c>
    </row>
    <row r="239" spans="1:26" x14ac:dyDescent="0.25">
      <c r="A239">
        <v>29</v>
      </c>
      <c r="B239">
        <v>7</v>
      </c>
      <c r="C239">
        <v>1</v>
      </c>
      <c r="D239">
        <v>4027</v>
      </c>
      <c r="E239">
        <v>7</v>
      </c>
      <c r="F239">
        <v>0</v>
      </c>
      <c r="G239">
        <v>0</v>
      </c>
      <c r="H239">
        <v>0</v>
      </c>
      <c r="I239">
        <v>1</v>
      </c>
      <c r="J239">
        <v>0</v>
      </c>
      <c r="K239">
        <v>0</v>
      </c>
      <c r="L239">
        <v>1</v>
      </c>
      <c r="M239">
        <v>0</v>
      </c>
      <c r="N239">
        <v>0</v>
      </c>
      <c r="O239">
        <v>0</v>
      </c>
      <c r="P239">
        <v>1</v>
      </c>
      <c r="Q239">
        <v>0</v>
      </c>
      <c r="R239">
        <v>1</v>
      </c>
      <c r="S239">
        <v>0</v>
      </c>
      <c r="T239">
        <v>0</v>
      </c>
      <c r="U239">
        <v>0</v>
      </c>
      <c r="V239">
        <v>0</v>
      </c>
      <c r="W239">
        <v>0</v>
      </c>
      <c r="X239">
        <v>1</v>
      </c>
      <c r="Y239">
        <v>0</v>
      </c>
      <c r="Z239">
        <v>0</v>
      </c>
    </row>
    <row r="240" spans="1:26" x14ac:dyDescent="0.25">
      <c r="A240">
        <v>21</v>
      </c>
      <c r="B240">
        <v>6</v>
      </c>
      <c r="C240">
        <v>1</v>
      </c>
      <c r="D240">
        <v>4027</v>
      </c>
      <c r="E240">
        <v>3</v>
      </c>
      <c r="F240">
        <v>0</v>
      </c>
      <c r="G240">
        <v>1</v>
      </c>
      <c r="H240">
        <v>0</v>
      </c>
      <c r="I240">
        <v>0</v>
      </c>
      <c r="J240">
        <v>0</v>
      </c>
      <c r="K240">
        <v>0</v>
      </c>
      <c r="L240">
        <v>1</v>
      </c>
      <c r="M240">
        <v>0</v>
      </c>
      <c r="N240">
        <v>0</v>
      </c>
      <c r="O240">
        <v>0</v>
      </c>
      <c r="P240">
        <v>1</v>
      </c>
      <c r="Q240">
        <v>0</v>
      </c>
      <c r="R240">
        <v>1</v>
      </c>
      <c r="S240">
        <v>0</v>
      </c>
      <c r="T240">
        <v>0</v>
      </c>
      <c r="U240">
        <v>0</v>
      </c>
      <c r="V240">
        <v>1</v>
      </c>
      <c r="W240">
        <v>0</v>
      </c>
      <c r="X240">
        <v>0</v>
      </c>
      <c r="Y240">
        <v>0</v>
      </c>
      <c r="Z240">
        <v>0</v>
      </c>
    </row>
    <row r="241" spans="1:26" x14ac:dyDescent="0.25">
      <c r="A241">
        <v>14</v>
      </c>
      <c r="B241">
        <v>5</v>
      </c>
      <c r="C241">
        <v>0</v>
      </c>
      <c r="D241">
        <v>315</v>
      </c>
      <c r="E241">
        <v>5</v>
      </c>
      <c r="F241">
        <v>0</v>
      </c>
      <c r="G241">
        <v>0</v>
      </c>
      <c r="H241">
        <v>0</v>
      </c>
      <c r="I241">
        <v>1</v>
      </c>
      <c r="J241">
        <v>1</v>
      </c>
      <c r="K241">
        <v>0</v>
      </c>
      <c r="L241">
        <v>0</v>
      </c>
      <c r="M241">
        <v>0</v>
      </c>
      <c r="N241">
        <v>1</v>
      </c>
      <c r="O241">
        <v>0</v>
      </c>
      <c r="P241">
        <v>0</v>
      </c>
      <c r="Q241">
        <v>0</v>
      </c>
      <c r="R241">
        <v>1</v>
      </c>
      <c r="S241">
        <v>0</v>
      </c>
      <c r="T241">
        <v>0</v>
      </c>
      <c r="U241">
        <v>0</v>
      </c>
      <c r="V241">
        <v>0</v>
      </c>
      <c r="W241">
        <v>0</v>
      </c>
      <c r="X241">
        <v>1</v>
      </c>
      <c r="Y241">
        <v>0</v>
      </c>
      <c r="Z241">
        <v>0</v>
      </c>
    </row>
    <row r="242" spans="1:26" x14ac:dyDescent="0.25">
      <c r="A242">
        <v>9</v>
      </c>
      <c r="B242">
        <v>3</v>
      </c>
      <c r="C242">
        <v>1</v>
      </c>
      <c r="D242">
        <v>3025</v>
      </c>
      <c r="E242">
        <v>1</v>
      </c>
      <c r="F242">
        <v>0</v>
      </c>
      <c r="G242">
        <v>0</v>
      </c>
      <c r="H242">
        <v>0</v>
      </c>
      <c r="I242">
        <v>1</v>
      </c>
      <c r="J242">
        <v>0</v>
      </c>
      <c r="K242">
        <v>1</v>
      </c>
      <c r="L242">
        <v>0</v>
      </c>
      <c r="M242">
        <v>0</v>
      </c>
      <c r="N242">
        <v>0</v>
      </c>
      <c r="O242">
        <v>0</v>
      </c>
      <c r="P242">
        <v>1</v>
      </c>
      <c r="Q242">
        <v>0</v>
      </c>
      <c r="R242">
        <v>0</v>
      </c>
      <c r="S242">
        <v>1</v>
      </c>
      <c r="T242">
        <v>0</v>
      </c>
      <c r="U242">
        <v>0</v>
      </c>
      <c r="V242">
        <v>0</v>
      </c>
      <c r="W242">
        <v>0</v>
      </c>
      <c r="X242">
        <v>0</v>
      </c>
      <c r="Y242">
        <v>0</v>
      </c>
      <c r="Z242">
        <v>1</v>
      </c>
    </row>
    <row r="243" spans="1:26" x14ac:dyDescent="0.25">
      <c r="A243">
        <v>2</v>
      </c>
      <c r="B243">
        <v>0</v>
      </c>
      <c r="C243">
        <v>0</v>
      </c>
      <c r="D243">
        <v>1282</v>
      </c>
      <c r="E243">
        <v>1</v>
      </c>
      <c r="F243">
        <v>0</v>
      </c>
      <c r="G243">
        <v>0</v>
      </c>
      <c r="H243">
        <v>0</v>
      </c>
      <c r="I243">
        <v>1</v>
      </c>
      <c r="J243">
        <v>0</v>
      </c>
      <c r="K243">
        <v>1</v>
      </c>
      <c r="L243">
        <v>0</v>
      </c>
      <c r="M243">
        <v>0</v>
      </c>
      <c r="N243">
        <v>0</v>
      </c>
      <c r="O243">
        <v>0</v>
      </c>
      <c r="P243">
        <v>1</v>
      </c>
      <c r="Q243">
        <v>1</v>
      </c>
      <c r="R243">
        <v>0</v>
      </c>
      <c r="S243">
        <v>0</v>
      </c>
      <c r="T243">
        <v>0</v>
      </c>
      <c r="U243">
        <v>1</v>
      </c>
      <c r="V243">
        <v>0</v>
      </c>
      <c r="W243">
        <v>0</v>
      </c>
      <c r="X243">
        <v>0</v>
      </c>
      <c r="Y243">
        <v>0</v>
      </c>
      <c r="Z243">
        <v>0</v>
      </c>
    </row>
    <row r="244" spans="1:26" x14ac:dyDescent="0.25">
      <c r="A244">
        <v>28</v>
      </c>
      <c r="B244">
        <v>20</v>
      </c>
      <c r="C244">
        <v>0</v>
      </c>
      <c r="D244">
        <v>3025</v>
      </c>
      <c r="E244">
        <v>8</v>
      </c>
      <c r="F244">
        <v>0</v>
      </c>
      <c r="G244">
        <v>1</v>
      </c>
      <c r="H244">
        <v>0</v>
      </c>
      <c r="I244">
        <v>0</v>
      </c>
      <c r="J244">
        <v>0</v>
      </c>
      <c r="K244">
        <v>0</v>
      </c>
      <c r="L244">
        <v>1</v>
      </c>
      <c r="M244">
        <v>0</v>
      </c>
      <c r="N244">
        <v>0</v>
      </c>
      <c r="O244">
        <v>0</v>
      </c>
      <c r="P244">
        <v>1</v>
      </c>
      <c r="Q244">
        <v>0</v>
      </c>
      <c r="R244">
        <v>0</v>
      </c>
      <c r="S244">
        <v>1</v>
      </c>
      <c r="T244">
        <v>1</v>
      </c>
      <c r="U244">
        <v>0</v>
      </c>
      <c r="V244">
        <v>0</v>
      </c>
      <c r="W244">
        <v>0</v>
      </c>
      <c r="X244">
        <v>0</v>
      </c>
      <c r="Y244">
        <v>0</v>
      </c>
      <c r="Z244">
        <v>0</v>
      </c>
    </row>
    <row r="245" spans="1:26" x14ac:dyDescent="0.25">
      <c r="A245">
        <v>21</v>
      </c>
      <c r="B245">
        <v>20</v>
      </c>
      <c r="C245">
        <v>1</v>
      </c>
      <c r="D245">
        <v>2884</v>
      </c>
      <c r="E245">
        <v>3</v>
      </c>
      <c r="F245">
        <v>0</v>
      </c>
      <c r="G245">
        <v>1</v>
      </c>
      <c r="H245">
        <v>0</v>
      </c>
      <c r="I245">
        <v>0</v>
      </c>
      <c r="J245">
        <v>0</v>
      </c>
      <c r="K245">
        <v>0</v>
      </c>
      <c r="L245">
        <v>1</v>
      </c>
      <c r="M245">
        <v>1</v>
      </c>
      <c r="N245">
        <v>0</v>
      </c>
      <c r="O245">
        <v>1</v>
      </c>
      <c r="P245">
        <v>0</v>
      </c>
      <c r="Q245">
        <v>1</v>
      </c>
      <c r="R245">
        <v>0</v>
      </c>
      <c r="S245">
        <v>0</v>
      </c>
      <c r="T245">
        <v>0</v>
      </c>
      <c r="U245">
        <v>0</v>
      </c>
      <c r="V245">
        <v>0</v>
      </c>
      <c r="W245">
        <v>0</v>
      </c>
      <c r="X245">
        <v>0</v>
      </c>
      <c r="Y245">
        <v>0</v>
      </c>
      <c r="Z245">
        <v>1</v>
      </c>
    </row>
    <row r="246" spans="1:26" x14ac:dyDescent="0.25">
      <c r="A246">
        <v>2</v>
      </c>
      <c r="B246">
        <v>18</v>
      </c>
      <c r="C246">
        <v>1</v>
      </c>
      <c r="D246">
        <v>2700</v>
      </c>
      <c r="E246">
        <v>8</v>
      </c>
      <c r="F246">
        <v>0</v>
      </c>
      <c r="G246">
        <v>0</v>
      </c>
      <c r="H246">
        <v>0</v>
      </c>
      <c r="I246">
        <v>1</v>
      </c>
      <c r="J246">
        <v>0</v>
      </c>
      <c r="K246">
        <v>0</v>
      </c>
      <c r="L246">
        <v>1</v>
      </c>
      <c r="M246">
        <v>1</v>
      </c>
      <c r="N246">
        <v>0</v>
      </c>
      <c r="O246">
        <v>0</v>
      </c>
      <c r="P246">
        <v>1</v>
      </c>
      <c r="Q246">
        <v>0</v>
      </c>
      <c r="R246">
        <v>1</v>
      </c>
      <c r="S246">
        <v>0</v>
      </c>
      <c r="T246">
        <v>0</v>
      </c>
      <c r="U246">
        <v>0</v>
      </c>
      <c r="V246">
        <v>0</v>
      </c>
      <c r="W246">
        <v>0</v>
      </c>
      <c r="X246">
        <v>0</v>
      </c>
      <c r="Y246">
        <v>0</v>
      </c>
      <c r="Z246">
        <v>1</v>
      </c>
    </row>
    <row r="247" spans="1:26" x14ac:dyDescent="0.25">
      <c r="A247">
        <v>28</v>
      </c>
      <c r="B247">
        <v>17</v>
      </c>
      <c r="C247">
        <v>1</v>
      </c>
      <c r="D247">
        <v>1228</v>
      </c>
      <c r="E247">
        <v>2</v>
      </c>
      <c r="F247">
        <v>0</v>
      </c>
      <c r="G247">
        <v>0</v>
      </c>
      <c r="H247">
        <v>0</v>
      </c>
      <c r="I247">
        <v>1</v>
      </c>
      <c r="J247">
        <v>1</v>
      </c>
      <c r="K247">
        <v>0</v>
      </c>
      <c r="L247">
        <v>0</v>
      </c>
      <c r="M247">
        <v>0</v>
      </c>
      <c r="N247">
        <v>1</v>
      </c>
      <c r="O247">
        <v>0</v>
      </c>
      <c r="P247">
        <v>0</v>
      </c>
      <c r="Q247">
        <v>0</v>
      </c>
      <c r="R247">
        <v>0</v>
      </c>
      <c r="S247">
        <v>1</v>
      </c>
      <c r="T247">
        <v>0</v>
      </c>
      <c r="U247">
        <v>0</v>
      </c>
      <c r="V247">
        <v>0</v>
      </c>
      <c r="W247">
        <v>0</v>
      </c>
      <c r="X247">
        <v>0</v>
      </c>
      <c r="Y247">
        <v>0</v>
      </c>
      <c r="Z247">
        <v>1</v>
      </c>
    </row>
    <row r="248" spans="1:26" x14ac:dyDescent="0.25">
      <c r="A248">
        <v>56</v>
      </c>
      <c r="B248">
        <v>11</v>
      </c>
      <c r="C248">
        <v>1</v>
      </c>
      <c r="D248">
        <v>4027</v>
      </c>
      <c r="E248">
        <v>5</v>
      </c>
      <c r="F248">
        <v>0</v>
      </c>
      <c r="G248">
        <v>0</v>
      </c>
      <c r="H248">
        <v>0</v>
      </c>
      <c r="I248">
        <v>1</v>
      </c>
      <c r="J248">
        <v>0</v>
      </c>
      <c r="K248">
        <v>0</v>
      </c>
      <c r="L248">
        <v>1</v>
      </c>
      <c r="M248">
        <v>0</v>
      </c>
      <c r="N248">
        <v>0</v>
      </c>
      <c r="O248">
        <v>0</v>
      </c>
      <c r="P248">
        <v>1</v>
      </c>
      <c r="Q248">
        <v>0</v>
      </c>
      <c r="R248">
        <v>1</v>
      </c>
      <c r="S248">
        <v>0</v>
      </c>
      <c r="T248">
        <v>1</v>
      </c>
      <c r="U248">
        <v>0</v>
      </c>
      <c r="V248">
        <v>0</v>
      </c>
      <c r="W248">
        <v>0</v>
      </c>
      <c r="X248">
        <v>0</v>
      </c>
      <c r="Y248">
        <v>0</v>
      </c>
      <c r="Z248">
        <v>0</v>
      </c>
    </row>
    <row r="249" spans="1:26" x14ac:dyDescent="0.25">
      <c r="A249">
        <v>32</v>
      </c>
      <c r="B249">
        <v>11</v>
      </c>
      <c r="C249">
        <v>1</v>
      </c>
      <c r="D249">
        <v>2034</v>
      </c>
      <c r="E249">
        <v>3</v>
      </c>
      <c r="F249">
        <v>0</v>
      </c>
      <c r="G249">
        <v>1</v>
      </c>
      <c r="H249">
        <v>0</v>
      </c>
      <c r="I249">
        <v>0</v>
      </c>
      <c r="J249">
        <v>0</v>
      </c>
      <c r="K249">
        <v>1</v>
      </c>
      <c r="L249">
        <v>0</v>
      </c>
      <c r="M249">
        <v>0</v>
      </c>
      <c r="N249">
        <v>0</v>
      </c>
      <c r="O249">
        <v>0</v>
      </c>
      <c r="P249">
        <v>1</v>
      </c>
      <c r="Q249">
        <v>0</v>
      </c>
      <c r="R249">
        <v>0</v>
      </c>
      <c r="S249">
        <v>1</v>
      </c>
      <c r="T249">
        <v>0</v>
      </c>
      <c r="U249">
        <v>0</v>
      </c>
      <c r="V249">
        <v>0</v>
      </c>
      <c r="W249">
        <v>1</v>
      </c>
      <c r="X249">
        <v>0</v>
      </c>
      <c r="Y249">
        <v>0</v>
      </c>
      <c r="Z249">
        <v>0</v>
      </c>
    </row>
    <row r="250" spans="1:26" x14ac:dyDescent="0.25">
      <c r="A250">
        <v>29</v>
      </c>
      <c r="B250">
        <v>11</v>
      </c>
      <c r="C250">
        <v>0</v>
      </c>
      <c r="D250">
        <v>2884</v>
      </c>
      <c r="E250">
        <v>6</v>
      </c>
      <c r="F250">
        <v>1</v>
      </c>
      <c r="G250">
        <v>0</v>
      </c>
      <c r="H250">
        <v>0</v>
      </c>
      <c r="I250">
        <v>0</v>
      </c>
      <c r="J250">
        <v>1</v>
      </c>
      <c r="K250">
        <v>0</v>
      </c>
      <c r="L250">
        <v>0</v>
      </c>
      <c r="M250">
        <v>1</v>
      </c>
      <c r="N250">
        <v>0</v>
      </c>
      <c r="O250">
        <v>1</v>
      </c>
      <c r="P250">
        <v>0</v>
      </c>
      <c r="Q250">
        <v>0</v>
      </c>
      <c r="R250">
        <v>1</v>
      </c>
      <c r="S250">
        <v>0</v>
      </c>
      <c r="T250">
        <v>0</v>
      </c>
      <c r="U250">
        <v>0</v>
      </c>
      <c r="V250">
        <v>0</v>
      </c>
      <c r="W250">
        <v>1</v>
      </c>
      <c r="X250">
        <v>0</v>
      </c>
      <c r="Y250">
        <v>0</v>
      </c>
      <c r="Z250">
        <v>0</v>
      </c>
    </row>
    <row r="251" spans="1:26" x14ac:dyDescent="0.25">
      <c r="A251">
        <v>19</v>
      </c>
      <c r="B251">
        <v>11</v>
      </c>
      <c r="C251">
        <v>0</v>
      </c>
      <c r="D251">
        <v>716</v>
      </c>
      <c r="E251">
        <v>5</v>
      </c>
      <c r="F251">
        <v>0</v>
      </c>
      <c r="G251">
        <v>0</v>
      </c>
      <c r="H251">
        <v>0</v>
      </c>
      <c r="I251">
        <v>1</v>
      </c>
      <c r="J251">
        <v>0</v>
      </c>
      <c r="K251">
        <v>0</v>
      </c>
      <c r="L251">
        <v>1</v>
      </c>
      <c r="M251">
        <v>1</v>
      </c>
      <c r="N251">
        <v>1</v>
      </c>
      <c r="O251">
        <v>0</v>
      </c>
      <c r="P251">
        <v>0</v>
      </c>
      <c r="Q251">
        <v>0</v>
      </c>
      <c r="R251">
        <v>1</v>
      </c>
      <c r="S251">
        <v>0</v>
      </c>
      <c r="T251">
        <v>0</v>
      </c>
      <c r="U251">
        <v>0</v>
      </c>
      <c r="V251">
        <v>0</v>
      </c>
      <c r="W251">
        <v>1</v>
      </c>
      <c r="X251">
        <v>0</v>
      </c>
      <c r="Y251">
        <v>0</v>
      </c>
      <c r="Z251">
        <v>0</v>
      </c>
    </row>
    <row r="252" spans="1:26" x14ac:dyDescent="0.25">
      <c r="A252">
        <v>31</v>
      </c>
      <c r="B252">
        <v>10</v>
      </c>
      <c r="C252">
        <v>0</v>
      </c>
      <c r="D252">
        <v>3025</v>
      </c>
      <c r="E252">
        <v>5</v>
      </c>
      <c r="F252">
        <v>0</v>
      </c>
      <c r="G252">
        <v>0</v>
      </c>
      <c r="H252">
        <v>1</v>
      </c>
      <c r="I252">
        <v>0</v>
      </c>
      <c r="J252">
        <v>0</v>
      </c>
      <c r="K252">
        <v>0</v>
      </c>
      <c r="L252">
        <v>1</v>
      </c>
      <c r="M252">
        <v>0</v>
      </c>
      <c r="N252">
        <v>0</v>
      </c>
      <c r="O252">
        <v>0</v>
      </c>
      <c r="P252">
        <v>1</v>
      </c>
      <c r="Q252">
        <v>0</v>
      </c>
      <c r="R252">
        <v>0</v>
      </c>
      <c r="S252">
        <v>1</v>
      </c>
      <c r="T252">
        <v>0</v>
      </c>
      <c r="U252">
        <v>0</v>
      </c>
      <c r="V252">
        <v>0</v>
      </c>
      <c r="W252">
        <v>1</v>
      </c>
      <c r="X252">
        <v>0</v>
      </c>
      <c r="Y252">
        <v>0</v>
      </c>
      <c r="Z252">
        <v>0</v>
      </c>
    </row>
    <row r="253" spans="1:26" x14ac:dyDescent="0.25">
      <c r="A253">
        <v>16</v>
      </c>
      <c r="B253">
        <v>9</v>
      </c>
      <c r="C253">
        <v>0</v>
      </c>
      <c r="D253">
        <v>2959</v>
      </c>
      <c r="E253">
        <v>3</v>
      </c>
      <c r="F253">
        <v>1</v>
      </c>
      <c r="G253">
        <v>0</v>
      </c>
      <c r="H253">
        <v>0</v>
      </c>
      <c r="I253">
        <v>0</v>
      </c>
      <c r="J253">
        <v>1</v>
      </c>
      <c r="K253">
        <v>0</v>
      </c>
      <c r="L253">
        <v>0</v>
      </c>
      <c r="M253">
        <v>0</v>
      </c>
      <c r="N253">
        <v>0</v>
      </c>
      <c r="O253">
        <v>0</v>
      </c>
      <c r="P253">
        <v>1</v>
      </c>
      <c r="Q253">
        <v>1</v>
      </c>
      <c r="R253">
        <v>0</v>
      </c>
      <c r="S253">
        <v>0</v>
      </c>
      <c r="T253">
        <v>0</v>
      </c>
      <c r="U253">
        <v>0</v>
      </c>
      <c r="V253">
        <v>0</v>
      </c>
      <c r="W253">
        <v>0</v>
      </c>
      <c r="X253">
        <v>1</v>
      </c>
      <c r="Y253">
        <v>0</v>
      </c>
      <c r="Z253">
        <v>0</v>
      </c>
    </row>
    <row r="254" spans="1:26" x14ac:dyDescent="0.25">
      <c r="A254">
        <v>41</v>
      </c>
      <c r="B254">
        <v>8</v>
      </c>
      <c r="C254">
        <v>0</v>
      </c>
      <c r="D254">
        <v>787</v>
      </c>
      <c r="E254">
        <v>4</v>
      </c>
      <c r="F254">
        <v>0</v>
      </c>
      <c r="G254">
        <v>1</v>
      </c>
      <c r="H254">
        <v>0</v>
      </c>
      <c r="I254">
        <v>0</v>
      </c>
      <c r="J254">
        <v>0</v>
      </c>
      <c r="K254">
        <v>1</v>
      </c>
      <c r="L254">
        <v>0</v>
      </c>
      <c r="M254">
        <v>1</v>
      </c>
      <c r="N254">
        <v>1</v>
      </c>
      <c r="O254">
        <v>0</v>
      </c>
      <c r="P254">
        <v>0</v>
      </c>
      <c r="Q254">
        <v>0</v>
      </c>
      <c r="R254">
        <v>0</v>
      </c>
      <c r="S254">
        <v>1</v>
      </c>
      <c r="T254">
        <v>0</v>
      </c>
      <c r="U254">
        <v>0</v>
      </c>
      <c r="V254">
        <v>0</v>
      </c>
      <c r="W254">
        <v>0</v>
      </c>
      <c r="X254">
        <v>0</v>
      </c>
      <c r="Y254">
        <v>0</v>
      </c>
      <c r="Z254">
        <v>1</v>
      </c>
    </row>
    <row r="255" spans="1:26" x14ac:dyDescent="0.25">
      <c r="A255">
        <v>14</v>
      </c>
      <c r="B255">
        <v>7</v>
      </c>
      <c r="C255">
        <v>0</v>
      </c>
      <c r="D255">
        <v>3773</v>
      </c>
      <c r="E255">
        <v>6</v>
      </c>
      <c r="F255">
        <v>0</v>
      </c>
      <c r="G255">
        <v>0</v>
      </c>
      <c r="H255">
        <v>1</v>
      </c>
      <c r="I255">
        <v>0</v>
      </c>
      <c r="J255">
        <v>1</v>
      </c>
      <c r="K255">
        <v>0</v>
      </c>
      <c r="L255">
        <v>0</v>
      </c>
      <c r="M255">
        <v>0</v>
      </c>
      <c r="N255">
        <v>1</v>
      </c>
      <c r="O255">
        <v>0</v>
      </c>
      <c r="P255">
        <v>0</v>
      </c>
      <c r="Q255">
        <v>0</v>
      </c>
      <c r="R255">
        <v>1</v>
      </c>
      <c r="S255">
        <v>0</v>
      </c>
      <c r="T255">
        <v>1</v>
      </c>
      <c r="U255">
        <v>0</v>
      </c>
      <c r="V255">
        <v>0</v>
      </c>
      <c r="W255">
        <v>0</v>
      </c>
      <c r="X255">
        <v>0</v>
      </c>
      <c r="Y255">
        <v>0</v>
      </c>
      <c r="Z255">
        <v>0</v>
      </c>
    </row>
    <row r="256" spans="1:26" x14ac:dyDescent="0.25">
      <c r="A256">
        <v>5</v>
      </c>
      <c r="B256">
        <v>5</v>
      </c>
      <c r="C256">
        <v>1</v>
      </c>
      <c r="D256">
        <v>2034</v>
      </c>
      <c r="E256">
        <v>5</v>
      </c>
      <c r="F256">
        <v>0</v>
      </c>
      <c r="G256">
        <v>0</v>
      </c>
      <c r="H256">
        <v>0</v>
      </c>
      <c r="I256">
        <v>1</v>
      </c>
      <c r="J256">
        <v>0</v>
      </c>
      <c r="K256">
        <v>0</v>
      </c>
      <c r="L256">
        <v>1</v>
      </c>
      <c r="M256">
        <v>0</v>
      </c>
      <c r="N256">
        <v>0</v>
      </c>
      <c r="O256">
        <v>0</v>
      </c>
      <c r="P256">
        <v>1</v>
      </c>
      <c r="Q256">
        <v>0</v>
      </c>
      <c r="R256">
        <v>0</v>
      </c>
      <c r="S256">
        <v>1</v>
      </c>
      <c r="T256">
        <v>0</v>
      </c>
      <c r="U256">
        <v>0</v>
      </c>
      <c r="V256">
        <v>0</v>
      </c>
      <c r="W256">
        <v>1</v>
      </c>
      <c r="X256">
        <v>0</v>
      </c>
      <c r="Y256">
        <v>0</v>
      </c>
      <c r="Z256">
        <v>0</v>
      </c>
    </row>
    <row r="257" spans="1:26" x14ac:dyDescent="0.25">
      <c r="A257">
        <v>6</v>
      </c>
      <c r="B257">
        <v>4</v>
      </c>
      <c r="C257">
        <v>0</v>
      </c>
      <c r="D257">
        <v>2959</v>
      </c>
      <c r="E257">
        <v>1</v>
      </c>
      <c r="F257">
        <v>0</v>
      </c>
      <c r="G257">
        <v>1</v>
      </c>
      <c r="H257">
        <v>0</v>
      </c>
      <c r="I257">
        <v>0</v>
      </c>
      <c r="J257">
        <v>1</v>
      </c>
      <c r="K257">
        <v>0</v>
      </c>
      <c r="L257">
        <v>0</v>
      </c>
      <c r="M257">
        <v>0</v>
      </c>
      <c r="N257">
        <v>0</v>
      </c>
      <c r="O257">
        <v>0</v>
      </c>
      <c r="P257">
        <v>1</v>
      </c>
      <c r="Q257">
        <v>0</v>
      </c>
      <c r="R257">
        <v>0</v>
      </c>
      <c r="S257">
        <v>1</v>
      </c>
      <c r="T257">
        <v>0</v>
      </c>
      <c r="U257">
        <v>0</v>
      </c>
      <c r="V257">
        <v>0</v>
      </c>
      <c r="W257">
        <v>0</v>
      </c>
      <c r="X257">
        <v>0</v>
      </c>
      <c r="Y257">
        <v>0</v>
      </c>
      <c r="Z257">
        <v>1</v>
      </c>
    </row>
    <row r="258" spans="1:26" x14ac:dyDescent="0.25">
      <c r="A258">
        <v>14</v>
      </c>
      <c r="B258">
        <v>3</v>
      </c>
      <c r="C258">
        <v>1</v>
      </c>
      <c r="D258">
        <v>787</v>
      </c>
      <c r="E258">
        <v>6</v>
      </c>
      <c r="F258">
        <v>0</v>
      </c>
      <c r="G258">
        <v>0</v>
      </c>
      <c r="H258">
        <v>0</v>
      </c>
      <c r="I258">
        <v>1</v>
      </c>
      <c r="J258">
        <v>1</v>
      </c>
      <c r="K258">
        <v>0</v>
      </c>
      <c r="L258">
        <v>0</v>
      </c>
      <c r="M258">
        <v>1</v>
      </c>
      <c r="N258">
        <v>1</v>
      </c>
      <c r="O258">
        <v>0</v>
      </c>
      <c r="P258">
        <v>0</v>
      </c>
      <c r="Q258">
        <v>0</v>
      </c>
      <c r="R258">
        <v>0</v>
      </c>
      <c r="S258">
        <v>1</v>
      </c>
      <c r="T258">
        <v>0</v>
      </c>
      <c r="U258">
        <v>0</v>
      </c>
      <c r="V258">
        <v>0</v>
      </c>
      <c r="W258">
        <v>0</v>
      </c>
      <c r="X258">
        <v>0</v>
      </c>
      <c r="Y258">
        <v>1</v>
      </c>
      <c r="Z258">
        <v>0</v>
      </c>
    </row>
    <row r="259" spans="1:26" x14ac:dyDescent="0.25">
      <c r="A259">
        <v>6</v>
      </c>
      <c r="B259">
        <v>3</v>
      </c>
      <c r="C259">
        <v>1</v>
      </c>
      <c r="D259">
        <v>787</v>
      </c>
      <c r="E259">
        <v>3</v>
      </c>
      <c r="F259">
        <v>0</v>
      </c>
      <c r="G259">
        <v>1</v>
      </c>
      <c r="H259">
        <v>0</v>
      </c>
      <c r="I259">
        <v>0</v>
      </c>
      <c r="J259">
        <v>0</v>
      </c>
      <c r="K259">
        <v>1</v>
      </c>
      <c r="L259">
        <v>0</v>
      </c>
      <c r="M259">
        <v>1</v>
      </c>
      <c r="N259">
        <v>1</v>
      </c>
      <c r="O259">
        <v>0</v>
      </c>
      <c r="P259">
        <v>0</v>
      </c>
      <c r="Q259">
        <v>0</v>
      </c>
      <c r="R259">
        <v>1</v>
      </c>
      <c r="S259">
        <v>0</v>
      </c>
      <c r="T259">
        <v>0</v>
      </c>
      <c r="U259">
        <v>0</v>
      </c>
      <c r="V259">
        <v>0</v>
      </c>
      <c r="W259">
        <v>1</v>
      </c>
      <c r="X259">
        <v>0</v>
      </c>
      <c r="Y259">
        <v>0</v>
      </c>
      <c r="Z259">
        <v>0</v>
      </c>
    </row>
    <row r="260" spans="1:26" x14ac:dyDescent="0.25">
      <c r="A260">
        <v>17</v>
      </c>
      <c r="B260">
        <v>15</v>
      </c>
      <c r="C260">
        <v>0</v>
      </c>
      <c r="D260">
        <v>3348</v>
      </c>
      <c r="E260">
        <v>2</v>
      </c>
      <c r="F260">
        <v>0</v>
      </c>
      <c r="G260">
        <v>1</v>
      </c>
      <c r="H260">
        <v>0</v>
      </c>
      <c r="I260">
        <v>0</v>
      </c>
      <c r="J260">
        <v>0</v>
      </c>
      <c r="K260">
        <v>0</v>
      </c>
      <c r="L260">
        <v>1</v>
      </c>
      <c r="M260">
        <v>0</v>
      </c>
      <c r="N260">
        <v>0</v>
      </c>
      <c r="O260">
        <v>0</v>
      </c>
      <c r="P260">
        <v>1</v>
      </c>
      <c r="Q260">
        <v>0</v>
      </c>
      <c r="R260">
        <v>0</v>
      </c>
      <c r="S260">
        <v>1</v>
      </c>
      <c r="T260">
        <v>0</v>
      </c>
      <c r="U260">
        <v>0</v>
      </c>
      <c r="V260">
        <v>0</v>
      </c>
      <c r="W260">
        <v>1</v>
      </c>
      <c r="X260">
        <v>0</v>
      </c>
      <c r="Y260">
        <v>0</v>
      </c>
      <c r="Z260">
        <v>0</v>
      </c>
    </row>
    <row r="261" spans="1:26" x14ac:dyDescent="0.25">
      <c r="A261">
        <v>21</v>
      </c>
      <c r="B261">
        <v>11</v>
      </c>
      <c r="C261">
        <v>1</v>
      </c>
      <c r="D261">
        <v>787</v>
      </c>
      <c r="E261">
        <v>4</v>
      </c>
      <c r="F261">
        <v>1</v>
      </c>
      <c r="G261">
        <v>0</v>
      </c>
      <c r="H261">
        <v>0</v>
      </c>
      <c r="I261">
        <v>0</v>
      </c>
      <c r="J261">
        <v>0</v>
      </c>
      <c r="K261">
        <v>1</v>
      </c>
      <c r="L261">
        <v>0</v>
      </c>
      <c r="M261">
        <v>1</v>
      </c>
      <c r="N261">
        <v>1</v>
      </c>
      <c r="O261">
        <v>0</v>
      </c>
      <c r="P261">
        <v>0</v>
      </c>
      <c r="Q261">
        <v>1</v>
      </c>
      <c r="R261">
        <v>0</v>
      </c>
      <c r="S261">
        <v>0</v>
      </c>
      <c r="T261">
        <v>0</v>
      </c>
      <c r="U261">
        <v>0</v>
      </c>
      <c r="V261">
        <v>0</v>
      </c>
      <c r="W261">
        <v>1</v>
      </c>
      <c r="X261">
        <v>0</v>
      </c>
      <c r="Y261">
        <v>0</v>
      </c>
      <c r="Z261">
        <v>0</v>
      </c>
    </row>
    <row r="262" spans="1:26" x14ac:dyDescent="0.25">
      <c r="A262">
        <v>39</v>
      </c>
      <c r="B262">
        <v>10</v>
      </c>
      <c r="C262">
        <v>0</v>
      </c>
      <c r="D262">
        <v>716</v>
      </c>
      <c r="E262">
        <v>3</v>
      </c>
      <c r="F262">
        <v>0</v>
      </c>
      <c r="G262">
        <v>0</v>
      </c>
      <c r="H262">
        <v>1</v>
      </c>
      <c r="I262">
        <v>0</v>
      </c>
      <c r="J262">
        <v>0</v>
      </c>
      <c r="K262">
        <v>0</v>
      </c>
      <c r="L262">
        <v>1</v>
      </c>
      <c r="M262">
        <v>1</v>
      </c>
      <c r="N262">
        <v>1</v>
      </c>
      <c r="O262">
        <v>0</v>
      </c>
      <c r="P262">
        <v>0</v>
      </c>
      <c r="Q262">
        <v>0</v>
      </c>
      <c r="R262">
        <v>0</v>
      </c>
      <c r="S262">
        <v>1</v>
      </c>
      <c r="T262">
        <v>0</v>
      </c>
      <c r="U262">
        <v>0</v>
      </c>
      <c r="V262">
        <v>0</v>
      </c>
      <c r="W262">
        <v>0</v>
      </c>
      <c r="X262">
        <v>0</v>
      </c>
      <c r="Y262">
        <v>0</v>
      </c>
      <c r="Z262">
        <v>1</v>
      </c>
    </row>
    <row r="263" spans="1:26" x14ac:dyDescent="0.25">
      <c r="A263">
        <v>24</v>
      </c>
      <c r="B263">
        <v>10</v>
      </c>
      <c r="C263">
        <v>1</v>
      </c>
      <c r="D263">
        <v>3003</v>
      </c>
      <c r="E263">
        <v>5</v>
      </c>
      <c r="F263">
        <v>0</v>
      </c>
      <c r="G263">
        <v>0</v>
      </c>
      <c r="H263">
        <v>1</v>
      </c>
      <c r="I263">
        <v>0</v>
      </c>
      <c r="J263">
        <v>0</v>
      </c>
      <c r="K263">
        <v>0</v>
      </c>
      <c r="L263">
        <v>1</v>
      </c>
      <c r="M263">
        <v>0</v>
      </c>
      <c r="N263">
        <v>0</v>
      </c>
      <c r="O263">
        <v>1</v>
      </c>
      <c r="P263">
        <v>0</v>
      </c>
      <c r="Q263">
        <v>0</v>
      </c>
      <c r="R263">
        <v>1</v>
      </c>
      <c r="S263">
        <v>0</v>
      </c>
      <c r="T263">
        <v>0</v>
      </c>
      <c r="U263">
        <v>0</v>
      </c>
      <c r="V263">
        <v>0</v>
      </c>
      <c r="W263">
        <v>0</v>
      </c>
      <c r="X263">
        <v>0</v>
      </c>
      <c r="Y263">
        <v>0</v>
      </c>
      <c r="Z263">
        <v>1</v>
      </c>
    </row>
    <row r="264" spans="1:26" x14ac:dyDescent="0.25">
      <c r="A264">
        <v>42</v>
      </c>
      <c r="B264">
        <v>9</v>
      </c>
      <c r="C264">
        <v>1</v>
      </c>
      <c r="D264">
        <v>732</v>
      </c>
      <c r="E264">
        <v>1</v>
      </c>
      <c r="F264">
        <v>1</v>
      </c>
      <c r="G264">
        <v>0</v>
      </c>
      <c r="H264">
        <v>0</v>
      </c>
      <c r="I264">
        <v>0</v>
      </c>
      <c r="J264">
        <v>0</v>
      </c>
      <c r="K264">
        <v>0</v>
      </c>
      <c r="L264">
        <v>1</v>
      </c>
      <c r="M264">
        <v>0</v>
      </c>
      <c r="N264">
        <v>1</v>
      </c>
      <c r="O264">
        <v>0</v>
      </c>
      <c r="P264">
        <v>0</v>
      </c>
      <c r="Q264">
        <v>0</v>
      </c>
      <c r="R264">
        <v>0</v>
      </c>
      <c r="S264">
        <v>1</v>
      </c>
      <c r="T264">
        <v>0</v>
      </c>
      <c r="U264">
        <v>0</v>
      </c>
      <c r="V264">
        <v>0</v>
      </c>
      <c r="W264">
        <v>0</v>
      </c>
      <c r="X264">
        <v>0</v>
      </c>
      <c r="Y264">
        <v>1</v>
      </c>
      <c r="Z264">
        <v>0</v>
      </c>
    </row>
    <row r="265" spans="1:26" x14ac:dyDescent="0.25">
      <c r="A265">
        <v>11</v>
      </c>
      <c r="B265">
        <v>8</v>
      </c>
      <c r="C265">
        <v>1</v>
      </c>
      <c r="D265">
        <v>3981</v>
      </c>
      <c r="E265">
        <v>7</v>
      </c>
      <c r="F265">
        <v>0</v>
      </c>
      <c r="G265">
        <v>0</v>
      </c>
      <c r="H265">
        <v>1</v>
      </c>
      <c r="I265">
        <v>0</v>
      </c>
      <c r="J265">
        <v>0</v>
      </c>
      <c r="K265">
        <v>0</v>
      </c>
      <c r="L265">
        <v>1</v>
      </c>
      <c r="M265">
        <v>0</v>
      </c>
      <c r="N265">
        <v>1</v>
      </c>
      <c r="O265">
        <v>0</v>
      </c>
      <c r="P265">
        <v>0</v>
      </c>
      <c r="Q265">
        <v>0</v>
      </c>
      <c r="R265">
        <v>0</v>
      </c>
      <c r="S265">
        <v>1</v>
      </c>
      <c r="T265">
        <v>1</v>
      </c>
      <c r="U265">
        <v>0</v>
      </c>
      <c r="V265">
        <v>0</v>
      </c>
      <c r="W265">
        <v>0</v>
      </c>
      <c r="X265">
        <v>0</v>
      </c>
      <c r="Y265">
        <v>0</v>
      </c>
      <c r="Z265">
        <v>0</v>
      </c>
    </row>
    <row r="266" spans="1:26" x14ac:dyDescent="0.25">
      <c r="A266">
        <v>21</v>
      </c>
      <c r="B266">
        <v>7</v>
      </c>
      <c r="C266">
        <v>1</v>
      </c>
      <c r="D266">
        <v>1282</v>
      </c>
      <c r="E266">
        <v>10</v>
      </c>
      <c r="F266">
        <v>1</v>
      </c>
      <c r="G266">
        <v>0</v>
      </c>
      <c r="H266">
        <v>0</v>
      </c>
      <c r="I266">
        <v>0</v>
      </c>
      <c r="J266">
        <v>1</v>
      </c>
      <c r="K266">
        <v>0</v>
      </c>
      <c r="L266">
        <v>0</v>
      </c>
      <c r="M266">
        <v>0</v>
      </c>
      <c r="N266">
        <v>0</v>
      </c>
      <c r="O266">
        <v>0</v>
      </c>
      <c r="P266">
        <v>1</v>
      </c>
      <c r="Q266">
        <v>0</v>
      </c>
      <c r="R266">
        <v>1</v>
      </c>
      <c r="S266">
        <v>0</v>
      </c>
      <c r="T266">
        <v>0</v>
      </c>
      <c r="U266">
        <v>0</v>
      </c>
      <c r="V266">
        <v>0</v>
      </c>
      <c r="W266">
        <v>0</v>
      </c>
      <c r="X266">
        <v>0</v>
      </c>
      <c r="Y266">
        <v>1</v>
      </c>
      <c r="Z266">
        <v>0</v>
      </c>
    </row>
    <row r="267" spans="1:26" x14ac:dyDescent="0.25">
      <c r="A267">
        <v>14</v>
      </c>
      <c r="B267">
        <v>7</v>
      </c>
      <c r="C267">
        <v>1</v>
      </c>
      <c r="D267">
        <v>826</v>
      </c>
      <c r="E267">
        <v>4</v>
      </c>
      <c r="F267">
        <v>0</v>
      </c>
      <c r="G267">
        <v>0</v>
      </c>
      <c r="H267">
        <v>1</v>
      </c>
      <c r="I267">
        <v>0</v>
      </c>
      <c r="J267">
        <v>1</v>
      </c>
      <c r="K267">
        <v>0</v>
      </c>
      <c r="L267">
        <v>0</v>
      </c>
      <c r="M267">
        <v>0</v>
      </c>
      <c r="N267">
        <v>0</v>
      </c>
      <c r="O267">
        <v>1</v>
      </c>
      <c r="P267">
        <v>0</v>
      </c>
      <c r="Q267">
        <v>0</v>
      </c>
      <c r="R267">
        <v>0</v>
      </c>
      <c r="S267">
        <v>1</v>
      </c>
      <c r="T267">
        <v>0</v>
      </c>
      <c r="U267">
        <v>0</v>
      </c>
      <c r="V267">
        <v>0</v>
      </c>
      <c r="W267">
        <v>0</v>
      </c>
      <c r="X267">
        <v>1</v>
      </c>
      <c r="Y267">
        <v>0</v>
      </c>
      <c r="Z267">
        <v>0</v>
      </c>
    </row>
    <row r="268" spans="1:26" x14ac:dyDescent="0.25">
      <c r="A268">
        <v>13</v>
      </c>
      <c r="B268">
        <v>6</v>
      </c>
      <c r="C268">
        <v>1</v>
      </c>
      <c r="D268">
        <v>2916</v>
      </c>
      <c r="E268">
        <v>2</v>
      </c>
      <c r="F268">
        <v>0</v>
      </c>
      <c r="G268">
        <v>0</v>
      </c>
      <c r="H268">
        <v>0</v>
      </c>
      <c r="I268">
        <v>1</v>
      </c>
      <c r="J268">
        <v>0</v>
      </c>
      <c r="K268">
        <v>0</v>
      </c>
      <c r="L268">
        <v>1</v>
      </c>
      <c r="M268">
        <v>0</v>
      </c>
      <c r="N268">
        <v>0</v>
      </c>
      <c r="O268">
        <v>1</v>
      </c>
      <c r="P268">
        <v>0</v>
      </c>
      <c r="Q268">
        <v>0</v>
      </c>
      <c r="R268">
        <v>0</v>
      </c>
      <c r="S268">
        <v>1</v>
      </c>
      <c r="T268">
        <v>0</v>
      </c>
      <c r="U268">
        <v>0</v>
      </c>
      <c r="V268">
        <v>0</v>
      </c>
      <c r="W268">
        <v>0</v>
      </c>
      <c r="X268">
        <v>0</v>
      </c>
      <c r="Y268">
        <v>1</v>
      </c>
      <c r="Z268">
        <v>0</v>
      </c>
    </row>
    <row r="269" spans="1:26" x14ac:dyDescent="0.25">
      <c r="A269">
        <v>22</v>
      </c>
      <c r="B269">
        <v>5</v>
      </c>
      <c r="C269">
        <v>0</v>
      </c>
      <c r="D269">
        <v>3773</v>
      </c>
      <c r="E269">
        <v>1</v>
      </c>
      <c r="F269">
        <v>0</v>
      </c>
      <c r="G269">
        <v>1</v>
      </c>
      <c r="H269">
        <v>0</v>
      </c>
      <c r="I269">
        <v>0</v>
      </c>
      <c r="J269">
        <v>1</v>
      </c>
      <c r="K269">
        <v>0</v>
      </c>
      <c r="L269">
        <v>0</v>
      </c>
      <c r="M269">
        <v>0</v>
      </c>
      <c r="N269">
        <v>1</v>
      </c>
      <c r="O269">
        <v>0</v>
      </c>
      <c r="P269">
        <v>0</v>
      </c>
      <c r="Q269">
        <v>0</v>
      </c>
      <c r="R269">
        <v>0</v>
      </c>
      <c r="S269">
        <v>1</v>
      </c>
      <c r="T269">
        <v>0</v>
      </c>
      <c r="U269">
        <v>0</v>
      </c>
      <c r="V269">
        <v>0</v>
      </c>
      <c r="W269">
        <v>0</v>
      </c>
      <c r="X269">
        <v>1</v>
      </c>
      <c r="Y269">
        <v>0</v>
      </c>
      <c r="Z269">
        <v>0</v>
      </c>
    </row>
    <row r="270" spans="1:26" x14ac:dyDescent="0.25">
      <c r="A270">
        <v>11</v>
      </c>
      <c r="B270">
        <v>4</v>
      </c>
      <c r="C270">
        <v>1</v>
      </c>
      <c r="D270">
        <v>3773</v>
      </c>
      <c r="E270">
        <v>9</v>
      </c>
      <c r="F270">
        <v>1</v>
      </c>
      <c r="G270">
        <v>0</v>
      </c>
      <c r="H270">
        <v>0</v>
      </c>
      <c r="I270">
        <v>0</v>
      </c>
      <c r="J270">
        <v>1</v>
      </c>
      <c r="K270">
        <v>0</v>
      </c>
      <c r="L270">
        <v>0</v>
      </c>
      <c r="M270">
        <v>0</v>
      </c>
      <c r="N270">
        <v>1</v>
      </c>
      <c r="O270">
        <v>0</v>
      </c>
      <c r="P270">
        <v>0</v>
      </c>
      <c r="Q270">
        <v>0</v>
      </c>
      <c r="R270">
        <v>0</v>
      </c>
      <c r="S270">
        <v>1</v>
      </c>
      <c r="T270">
        <v>0</v>
      </c>
      <c r="U270">
        <v>0</v>
      </c>
      <c r="V270">
        <v>0</v>
      </c>
      <c r="W270">
        <v>0</v>
      </c>
      <c r="X270">
        <v>1</v>
      </c>
      <c r="Y270">
        <v>0</v>
      </c>
      <c r="Z270">
        <v>0</v>
      </c>
    </row>
    <row r="271" spans="1:26" x14ac:dyDescent="0.25">
      <c r="A271">
        <v>15</v>
      </c>
      <c r="B271">
        <v>3</v>
      </c>
      <c r="C271">
        <v>1</v>
      </c>
      <c r="D271">
        <v>3933</v>
      </c>
      <c r="E271">
        <v>5</v>
      </c>
      <c r="F271">
        <v>1</v>
      </c>
      <c r="G271">
        <v>0</v>
      </c>
      <c r="H271">
        <v>0</v>
      </c>
      <c r="I271">
        <v>0</v>
      </c>
      <c r="J271">
        <v>0</v>
      </c>
      <c r="K271">
        <v>1</v>
      </c>
      <c r="L271">
        <v>0</v>
      </c>
      <c r="M271">
        <v>0</v>
      </c>
      <c r="N271">
        <v>0</v>
      </c>
      <c r="O271">
        <v>0</v>
      </c>
      <c r="P271">
        <v>1</v>
      </c>
      <c r="Q271">
        <v>0</v>
      </c>
      <c r="R271">
        <v>0</v>
      </c>
      <c r="S271">
        <v>1</v>
      </c>
      <c r="T271">
        <v>0</v>
      </c>
      <c r="U271">
        <v>0</v>
      </c>
      <c r="V271">
        <v>0</v>
      </c>
      <c r="W271">
        <v>0</v>
      </c>
      <c r="X271">
        <v>1</v>
      </c>
      <c r="Y271">
        <v>0</v>
      </c>
      <c r="Z271">
        <v>0</v>
      </c>
    </row>
    <row r="272" spans="1:26" x14ac:dyDescent="0.25">
      <c r="A272">
        <v>9</v>
      </c>
      <c r="B272">
        <v>3</v>
      </c>
      <c r="C272">
        <v>0</v>
      </c>
      <c r="D272">
        <v>4027</v>
      </c>
      <c r="E272">
        <v>2</v>
      </c>
      <c r="F272">
        <v>0</v>
      </c>
      <c r="G272">
        <v>0</v>
      </c>
      <c r="H272">
        <v>1</v>
      </c>
      <c r="I272">
        <v>0</v>
      </c>
      <c r="J272">
        <v>0</v>
      </c>
      <c r="K272">
        <v>0</v>
      </c>
      <c r="L272">
        <v>1</v>
      </c>
      <c r="M272">
        <v>0</v>
      </c>
      <c r="N272">
        <v>0</v>
      </c>
      <c r="O272">
        <v>0</v>
      </c>
      <c r="P272">
        <v>1</v>
      </c>
      <c r="Q272">
        <v>0</v>
      </c>
      <c r="R272">
        <v>0</v>
      </c>
      <c r="S272">
        <v>1</v>
      </c>
      <c r="T272">
        <v>0</v>
      </c>
      <c r="U272">
        <v>0</v>
      </c>
      <c r="V272">
        <v>0</v>
      </c>
      <c r="W272">
        <v>0</v>
      </c>
      <c r="X272">
        <v>1</v>
      </c>
      <c r="Y272">
        <v>0</v>
      </c>
      <c r="Z272">
        <v>0</v>
      </c>
    </row>
    <row r="273" spans="1:26" x14ac:dyDescent="0.25">
      <c r="A273">
        <v>24</v>
      </c>
      <c r="B273">
        <v>18</v>
      </c>
      <c r="C273">
        <v>1</v>
      </c>
      <c r="D273">
        <v>1282</v>
      </c>
      <c r="E273">
        <v>0</v>
      </c>
      <c r="F273">
        <v>0</v>
      </c>
      <c r="G273">
        <v>0</v>
      </c>
      <c r="H273">
        <v>0</v>
      </c>
      <c r="I273">
        <v>1</v>
      </c>
      <c r="J273">
        <v>0</v>
      </c>
      <c r="K273">
        <v>1</v>
      </c>
      <c r="L273">
        <v>0</v>
      </c>
      <c r="M273">
        <v>0</v>
      </c>
      <c r="N273">
        <v>0</v>
      </c>
      <c r="O273">
        <v>0</v>
      </c>
      <c r="P273">
        <v>1</v>
      </c>
      <c r="Q273">
        <v>0</v>
      </c>
      <c r="R273">
        <v>1</v>
      </c>
      <c r="S273">
        <v>0</v>
      </c>
      <c r="T273">
        <v>0</v>
      </c>
      <c r="U273">
        <v>0</v>
      </c>
      <c r="V273">
        <v>0</v>
      </c>
      <c r="W273">
        <v>0</v>
      </c>
      <c r="X273">
        <v>1</v>
      </c>
      <c r="Y273">
        <v>0</v>
      </c>
      <c r="Z273">
        <v>0</v>
      </c>
    </row>
    <row r="274" spans="1:26" x14ac:dyDescent="0.25">
      <c r="A274">
        <v>33</v>
      </c>
      <c r="B274">
        <v>11</v>
      </c>
      <c r="C274">
        <v>1</v>
      </c>
      <c r="D274">
        <v>826</v>
      </c>
      <c r="E274">
        <v>4</v>
      </c>
      <c r="F274">
        <v>0</v>
      </c>
      <c r="G274">
        <v>0</v>
      </c>
      <c r="H274">
        <v>1</v>
      </c>
      <c r="I274">
        <v>0</v>
      </c>
      <c r="J274">
        <v>1</v>
      </c>
      <c r="K274">
        <v>0</v>
      </c>
      <c r="L274">
        <v>0</v>
      </c>
      <c r="M274">
        <v>0</v>
      </c>
      <c r="N274">
        <v>0</v>
      </c>
      <c r="O274">
        <v>1</v>
      </c>
      <c r="P274">
        <v>0</v>
      </c>
      <c r="Q274">
        <v>0</v>
      </c>
      <c r="R274">
        <v>0</v>
      </c>
      <c r="S274">
        <v>1</v>
      </c>
      <c r="T274">
        <v>0</v>
      </c>
      <c r="U274">
        <v>0</v>
      </c>
      <c r="V274">
        <v>0</v>
      </c>
      <c r="W274">
        <v>0</v>
      </c>
      <c r="X274">
        <v>0</v>
      </c>
      <c r="Y274">
        <v>0</v>
      </c>
      <c r="Z274">
        <v>1</v>
      </c>
    </row>
    <row r="275" spans="1:26" x14ac:dyDescent="0.25">
      <c r="A275">
        <v>11</v>
      </c>
      <c r="B275">
        <v>8</v>
      </c>
      <c r="C275">
        <v>0</v>
      </c>
      <c r="D275">
        <v>315</v>
      </c>
      <c r="E275">
        <v>6</v>
      </c>
      <c r="F275">
        <v>0</v>
      </c>
      <c r="G275">
        <v>0</v>
      </c>
      <c r="H275">
        <v>1</v>
      </c>
      <c r="I275">
        <v>0</v>
      </c>
      <c r="J275">
        <v>1</v>
      </c>
      <c r="K275">
        <v>0</v>
      </c>
      <c r="L275">
        <v>0</v>
      </c>
      <c r="M275">
        <v>0</v>
      </c>
      <c r="N275">
        <v>1</v>
      </c>
      <c r="O275">
        <v>0</v>
      </c>
      <c r="P275">
        <v>0</v>
      </c>
      <c r="Q275">
        <v>0</v>
      </c>
      <c r="R275">
        <v>0</v>
      </c>
      <c r="S275">
        <v>1</v>
      </c>
      <c r="T275">
        <v>0</v>
      </c>
      <c r="U275">
        <v>0</v>
      </c>
      <c r="V275">
        <v>0</v>
      </c>
      <c r="W275">
        <v>1</v>
      </c>
      <c r="X275">
        <v>0</v>
      </c>
      <c r="Y275">
        <v>0</v>
      </c>
      <c r="Z275">
        <v>0</v>
      </c>
    </row>
    <row r="276" spans="1:26" x14ac:dyDescent="0.25">
      <c r="A276">
        <v>13</v>
      </c>
      <c r="B276">
        <v>7</v>
      </c>
      <c r="C276">
        <v>0</v>
      </c>
      <c r="D276">
        <v>4027</v>
      </c>
      <c r="E276">
        <v>5</v>
      </c>
      <c r="F276">
        <v>0</v>
      </c>
      <c r="G276">
        <v>1</v>
      </c>
      <c r="H276">
        <v>0</v>
      </c>
      <c r="I276">
        <v>0</v>
      </c>
      <c r="J276">
        <v>0</v>
      </c>
      <c r="K276">
        <v>0</v>
      </c>
      <c r="L276">
        <v>1</v>
      </c>
      <c r="M276">
        <v>0</v>
      </c>
      <c r="N276">
        <v>0</v>
      </c>
      <c r="O276">
        <v>0</v>
      </c>
      <c r="P276">
        <v>1</v>
      </c>
      <c r="Q276">
        <v>0</v>
      </c>
      <c r="R276">
        <v>1</v>
      </c>
      <c r="S276">
        <v>0</v>
      </c>
      <c r="T276">
        <v>0</v>
      </c>
      <c r="U276">
        <v>0</v>
      </c>
      <c r="V276">
        <v>0</v>
      </c>
      <c r="W276">
        <v>1</v>
      </c>
      <c r="X276">
        <v>0</v>
      </c>
      <c r="Y276">
        <v>0</v>
      </c>
      <c r="Z276">
        <v>0</v>
      </c>
    </row>
    <row r="277" spans="1:26" x14ac:dyDescent="0.25">
      <c r="A277">
        <v>26</v>
      </c>
      <c r="B277">
        <v>6</v>
      </c>
      <c r="C277">
        <v>1</v>
      </c>
      <c r="D277">
        <v>188</v>
      </c>
      <c r="E277">
        <v>1</v>
      </c>
      <c r="F277">
        <v>1</v>
      </c>
      <c r="G277">
        <v>0</v>
      </c>
      <c r="H277">
        <v>0</v>
      </c>
      <c r="I277">
        <v>0</v>
      </c>
      <c r="J277">
        <v>0</v>
      </c>
      <c r="K277">
        <v>1</v>
      </c>
      <c r="L277">
        <v>0</v>
      </c>
      <c r="M277">
        <v>0</v>
      </c>
      <c r="N277">
        <v>0</v>
      </c>
      <c r="O277">
        <v>1</v>
      </c>
      <c r="P277">
        <v>0</v>
      </c>
      <c r="Q277">
        <v>0</v>
      </c>
      <c r="R277">
        <v>0</v>
      </c>
      <c r="S277">
        <v>1</v>
      </c>
      <c r="T277">
        <v>0</v>
      </c>
      <c r="U277">
        <v>0</v>
      </c>
      <c r="V277">
        <v>0</v>
      </c>
      <c r="W277">
        <v>1</v>
      </c>
      <c r="X277">
        <v>0</v>
      </c>
      <c r="Y277">
        <v>0</v>
      </c>
      <c r="Z277">
        <v>0</v>
      </c>
    </row>
    <row r="278" spans="1:26" x14ac:dyDescent="0.25">
      <c r="A278">
        <v>13</v>
      </c>
      <c r="B278">
        <v>6</v>
      </c>
      <c r="C278">
        <v>0</v>
      </c>
      <c r="D278">
        <v>3933</v>
      </c>
      <c r="E278">
        <v>1</v>
      </c>
      <c r="F278">
        <v>0</v>
      </c>
      <c r="G278">
        <v>0</v>
      </c>
      <c r="H278">
        <v>0</v>
      </c>
      <c r="I278">
        <v>1</v>
      </c>
      <c r="J278">
        <v>0</v>
      </c>
      <c r="K278">
        <v>0</v>
      </c>
      <c r="L278">
        <v>1</v>
      </c>
      <c r="M278">
        <v>0</v>
      </c>
      <c r="N278">
        <v>0</v>
      </c>
      <c r="O278">
        <v>0</v>
      </c>
      <c r="P278">
        <v>1</v>
      </c>
      <c r="Q278">
        <v>0</v>
      </c>
      <c r="R278">
        <v>1</v>
      </c>
      <c r="S278">
        <v>0</v>
      </c>
      <c r="T278">
        <v>0</v>
      </c>
      <c r="U278">
        <v>0</v>
      </c>
      <c r="V278">
        <v>1</v>
      </c>
      <c r="W278">
        <v>0</v>
      </c>
      <c r="X278">
        <v>0</v>
      </c>
      <c r="Y278">
        <v>0</v>
      </c>
      <c r="Z278">
        <v>0</v>
      </c>
    </row>
    <row r="279" spans="1:26" x14ac:dyDescent="0.25">
      <c r="A279">
        <v>6</v>
      </c>
      <c r="B279">
        <v>6</v>
      </c>
      <c r="C279">
        <v>0</v>
      </c>
      <c r="D279">
        <v>4027</v>
      </c>
      <c r="E279">
        <v>10</v>
      </c>
      <c r="F279">
        <v>1</v>
      </c>
      <c r="G279">
        <v>0</v>
      </c>
      <c r="H279">
        <v>0</v>
      </c>
      <c r="I279">
        <v>0</v>
      </c>
      <c r="J279">
        <v>0</v>
      </c>
      <c r="K279">
        <v>0</v>
      </c>
      <c r="L279">
        <v>1</v>
      </c>
      <c r="M279">
        <v>0</v>
      </c>
      <c r="N279">
        <v>0</v>
      </c>
      <c r="O279">
        <v>0</v>
      </c>
      <c r="P279">
        <v>1</v>
      </c>
      <c r="Q279">
        <v>0</v>
      </c>
      <c r="R279">
        <v>0</v>
      </c>
      <c r="S279">
        <v>1</v>
      </c>
      <c r="T279">
        <v>0</v>
      </c>
      <c r="U279">
        <v>0</v>
      </c>
      <c r="V279">
        <v>0</v>
      </c>
      <c r="W279">
        <v>0</v>
      </c>
      <c r="X279">
        <v>0</v>
      </c>
      <c r="Y279">
        <v>0</v>
      </c>
      <c r="Z279">
        <v>1</v>
      </c>
    </row>
    <row r="280" spans="1:26" x14ac:dyDescent="0.25">
      <c r="A280">
        <v>25</v>
      </c>
      <c r="B280">
        <v>5</v>
      </c>
      <c r="C280">
        <v>1</v>
      </c>
      <c r="D280">
        <v>716</v>
      </c>
      <c r="E280">
        <v>8</v>
      </c>
      <c r="F280">
        <v>1</v>
      </c>
      <c r="G280">
        <v>0</v>
      </c>
      <c r="H280">
        <v>0</v>
      </c>
      <c r="I280">
        <v>0</v>
      </c>
      <c r="J280">
        <v>1</v>
      </c>
      <c r="K280">
        <v>0</v>
      </c>
      <c r="L280">
        <v>0</v>
      </c>
      <c r="M280">
        <v>1</v>
      </c>
      <c r="N280">
        <v>1</v>
      </c>
      <c r="O280">
        <v>0</v>
      </c>
      <c r="P280">
        <v>0</v>
      </c>
      <c r="Q280">
        <v>0</v>
      </c>
      <c r="R280">
        <v>0</v>
      </c>
      <c r="S280">
        <v>1</v>
      </c>
      <c r="T280">
        <v>0</v>
      </c>
      <c r="U280">
        <v>0</v>
      </c>
      <c r="V280">
        <v>0</v>
      </c>
      <c r="W280">
        <v>0</v>
      </c>
      <c r="X280">
        <v>1</v>
      </c>
      <c r="Y280">
        <v>0</v>
      </c>
      <c r="Z280">
        <v>0</v>
      </c>
    </row>
    <row r="281" spans="1:26" x14ac:dyDescent="0.25">
      <c r="A281">
        <v>21</v>
      </c>
      <c r="B281">
        <v>5</v>
      </c>
      <c r="C281">
        <v>0</v>
      </c>
      <c r="D281">
        <v>2700</v>
      </c>
      <c r="E281">
        <v>8</v>
      </c>
      <c r="F281">
        <v>0</v>
      </c>
      <c r="G281">
        <v>0</v>
      </c>
      <c r="H281">
        <v>1</v>
      </c>
      <c r="I281">
        <v>0</v>
      </c>
      <c r="J281">
        <v>1</v>
      </c>
      <c r="K281">
        <v>0</v>
      </c>
      <c r="L281">
        <v>0</v>
      </c>
      <c r="M281">
        <v>1</v>
      </c>
      <c r="N281">
        <v>0</v>
      </c>
      <c r="O281">
        <v>0</v>
      </c>
      <c r="P281">
        <v>1</v>
      </c>
      <c r="Q281">
        <v>0</v>
      </c>
      <c r="R281">
        <v>0</v>
      </c>
      <c r="S281">
        <v>1</v>
      </c>
      <c r="T281">
        <v>0</v>
      </c>
      <c r="U281">
        <v>1</v>
      </c>
      <c r="V281">
        <v>0</v>
      </c>
      <c r="W281">
        <v>0</v>
      </c>
      <c r="X281">
        <v>0</v>
      </c>
      <c r="Y281">
        <v>0</v>
      </c>
      <c r="Z281">
        <v>0</v>
      </c>
    </row>
    <row r="282" spans="1:26" x14ac:dyDescent="0.25">
      <c r="A282">
        <v>15</v>
      </c>
      <c r="B282">
        <v>5</v>
      </c>
      <c r="C282">
        <v>1</v>
      </c>
      <c r="D282">
        <v>2034</v>
      </c>
      <c r="E282">
        <v>4</v>
      </c>
      <c r="F282">
        <v>1</v>
      </c>
      <c r="G282">
        <v>0</v>
      </c>
      <c r="H282">
        <v>0</v>
      </c>
      <c r="I282">
        <v>0</v>
      </c>
      <c r="J282">
        <v>1</v>
      </c>
      <c r="K282">
        <v>0</v>
      </c>
      <c r="L282">
        <v>0</v>
      </c>
      <c r="M282">
        <v>0</v>
      </c>
      <c r="N282">
        <v>0</v>
      </c>
      <c r="O282">
        <v>0</v>
      </c>
      <c r="P282">
        <v>1</v>
      </c>
      <c r="Q282">
        <v>0</v>
      </c>
      <c r="R282">
        <v>0</v>
      </c>
      <c r="S282">
        <v>1</v>
      </c>
      <c r="T282">
        <v>0</v>
      </c>
      <c r="U282">
        <v>0</v>
      </c>
      <c r="V282">
        <v>0</v>
      </c>
      <c r="W282">
        <v>1</v>
      </c>
      <c r="X282">
        <v>0</v>
      </c>
      <c r="Y282">
        <v>0</v>
      </c>
      <c r="Z282">
        <v>0</v>
      </c>
    </row>
    <row r="283" spans="1:26" x14ac:dyDescent="0.25">
      <c r="A283">
        <v>19</v>
      </c>
      <c r="B283">
        <v>3</v>
      </c>
      <c r="C283">
        <v>1</v>
      </c>
      <c r="D283">
        <v>2916</v>
      </c>
      <c r="E283">
        <v>1</v>
      </c>
      <c r="F283">
        <v>1</v>
      </c>
      <c r="G283">
        <v>0</v>
      </c>
      <c r="H283">
        <v>0</v>
      </c>
      <c r="I283">
        <v>0</v>
      </c>
      <c r="J283">
        <v>0</v>
      </c>
      <c r="K283">
        <v>0</v>
      </c>
      <c r="L283">
        <v>1</v>
      </c>
      <c r="M283">
        <v>0</v>
      </c>
      <c r="N283">
        <v>0</v>
      </c>
      <c r="O283">
        <v>1</v>
      </c>
      <c r="P283">
        <v>0</v>
      </c>
      <c r="Q283">
        <v>0</v>
      </c>
      <c r="R283">
        <v>0</v>
      </c>
      <c r="S283">
        <v>1</v>
      </c>
      <c r="T283">
        <v>0</v>
      </c>
      <c r="U283">
        <v>0</v>
      </c>
      <c r="V283">
        <v>0</v>
      </c>
      <c r="W283">
        <v>0</v>
      </c>
      <c r="X283">
        <v>0</v>
      </c>
      <c r="Y283">
        <v>0</v>
      </c>
      <c r="Z283">
        <v>1</v>
      </c>
    </row>
    <row r="284" spans="1:26" x14ac:dyDescent="0.25">
      <c r="A284">
        <v>17</v>
      </c>
      <c r="B284">
        <v>3</v>
      </c>
      <c r="C284">
        <v>0</v>
      </c>
      <c r="D284">
        <v>787</v>
      </c>
      <c r="E284">
        <v>2</v>
      </c>
      <c r="F284">
        <v>1</v>
      </c>
      <c r="G284">
        <v>0</v>
      </c>
      <c r="H284">
        <v>0</v>
      </c>
      <c r="I284">
        <v>0</v>
      </c>
      <c r="J284">
        <v>1</v>
      </c>
      <c r="K284">
        <v>0</v>
      </c>
      <c r="L284">
        <v>0</v>
      </c>
      <c r="M284">
        <v>1</v>
      </c>
      <c r="N284">
        <v>1</v>
      </c>
      <c r="O284">
        <v>0</v>
      </c>
      <c r="P284">
        <v>0</v>
      </c>
      <c r="Q284">
        <v>0</v>
      </c>
      <c r="R284">
        <v>0</v>
      </c>
      <c r="S284">
        <v>1</v>
      </c>
      <c r="T284">
        <v>0</v>
      </c>
      <c r="U284">
        <v>1</v>
      </c>
      <c r="V284">
        <v>0</v>
      </c>
      <c r="W284">
        <v>0</v>
      </c>
      <c r="X284">
        <v>0</v>
      </c>
      <c r="Y284">
        <v>0</v>
      </c>
      <c r="Z284">
        <v>0</v>
      </c>
    </row>
    <row r="285" spans="1:26" x14ac:dyDescent="0.25">
      <c r="A285">
        <v>14</v>
      </c>
      <c r="B285">
        <v>3</v>
      </c>
      <c r="C285">
        <v>1</v>
      </c>
      <c r="D285">
        <v>3348</v>
      </c>
      <c r="E285">
        <v>2</v>
      </c>
      <c r="F285">
        <v>1</v>
      </c>
      <c r="G285">
        <v>0</v>
      </c>
      <c r="H285">
        <v>0</v>
      </c>
      <c r="I285">
        <v>0</v>
      </c>
      <c r="J285">
        <v>0</v>
      </c>
      <c r="K285">
        <v>1</v>
      </c>
      <c r="L285">
        <v>0</v>
      </c>
      <c r="M285">
        <v>0</v>
      </c>
      <c r="N285">
        <v>0</v>
      </c>
      <c r="O285">
        <v>0</v>
      </c>
      <c r="P285">
        <v>1</v>
      </c>
      <c r="Q285">
        <v>0</v>
      </c>
      <c r="R285">
        <v>0</v>
      </c>
      <c r="S285">
        <v>1</v>
      </c>
      <c r="T285">
        <v>0</v>
      </c>
      <c r="U285">
        <v>0</v>
      </c>
      <c r="V285">
        <v>0</v>
      </c>
      <c r="W285">
        <v>0</v>
      </c>
      <c r="X285">
        <v>1</v>
      </c>
      <c r="Y285">
        <v>0</v>
      </c>
      <c r="Z285">
        <v>0</v>
      </c>
    </row>
    <row r="286" spans="1:26" x14ac:dyDescent="0.25">
      <c r="A286">
        <v>23</v>
      </c>
      <c r="B286">
        <v>23</v>
      </c>
      <c r="C286">
        <v>1</v>
      </c>
      <c r="D286">
        <v>315</v>
      </c>
      <c r="E286">
        <v>1</v>
      </c>
      <c r="F286">
        <v>0</v>
      </c>
      <c r="G286">
        <v>1</v>
      </c>
      <c r="H286">
        <v>0</v>
      </c>
      <c r="I286">
        <v>0</v>
      </c>
      <c r="J286">
        <v>0</v>
      </c>
      <c r="K286">
        <v>1</v>
      </c>
      <c r="L286">
        <v>0</v>
      </c>
      <c r="M286">
        <v>0</v>
      </c>
      <c r="N286">
        <v>1</v>
      </c>
      <c r="O286">
        <v>0</v>
      </c>
      <c r="P286">
        <v>0</v>
      </c>
      <c r="Q286">
        <v>0</v>
      </c>
      <c r="R286">
        <v>0</v>
      </c>
      <c r="S286">
        <v>1</v>
      </c>
      <c r="T286">
        <v>0</v>
      </c>
      <c r="U286">
        <v>0</v>
      </c>
      <c r="V286">
        <v>0</v>
      </c>
      <c r="W286">
        <v>1</v>
      </c>
      <c r="X286">
        <v>0</v>
      </c>
      <c r="Y286">
        <v>0</v>
      </c>
      <c r="Z286">
        <v>0</v>
      </c>
    </row>
    <row r="287" spans="1:26" x14ac:dyDescent="0.25">
      <c r="A287">
        <v>23</v>
      </c>
      <c r="B287">
        <v>17</v>
      </c>
      <c r="C287">
        <v>0</v>
      </c>
      <c r="D287">
        <v>3003</v>
      </c>
      <c r="E287">
        <v>1</v>
      </c>
      <c r="F287">
        <v>0</v>
      </c>
      <c r="G287">
        <v>0</v>
      </c>
      <c r="H287">
        <v>0</v>
      </c>
      <c r="I287">
        <v>1</v>
      </c>
      <c r="J287">
        <v>0</v>
      </c>
      <c r="K287">
        <v>1</v>
      </c>
      <c r="L287">
        <v>0</v>
      </c>
      <c r="M287">
        <v>0</v>
      </c>
      <c r="N287">
        <v>0</v>
      </c>
      <c r="O287">
        <v>1</v>
      </c>
      <c r="P287">
        <v>0</v>
      </c>
      <c r="Q287">
        <v>0</v>
      </c>
      <c r="R287">
        <v>0</v>
      </c>
      <c r="S287">
        <v>1</v>
      </c>
      <c r="T287">
        <v>1</v>
      </c>
      <c r="U287">
        <v>0</v>
      </c>
      <c r="V287">
        <v>0</v>
      </c>
      <c r="W287">
        <v>0</v>
      </c>
      <c r="X287">
        <v>0</v>
      </c>
      <c r="Y287">
        <v>0</v>
      </c>
      <c r="Z287">
        <v>0</v>
      </c>
    </row>
    <row r="288" spans="1:26" x14ac:dyDescent="0.25">
      <c r="A288">
        <v>38</v>
      </c>
      <c r="B288">
        <v>13</v>
      </c>
      <c r="C288">
        <v>0</v>
      </c>
      <c r="D288">
        <v>826</v>
      </c>
      <c r="E288">
        <v>5</v>
      </c>
      <c r="F288">
        <v>0</v>
      </c>
      <c r="G288">
        <v>1</v>
      </c>
      <c r="H288">
        <v>0</v>
      </c>
      <c r="I288">
        <v>0</v>
      </c>
      <c r="J288">
        <v>1</v>
      </c>
      <c r="K288">
        <v>0</v>
      </c>
      <c r="L288">
        <v>0</v>
      </c>
      <c r="M288">
        <v>0</v>
      </c>
      <c r="N288">
        <v>0</v>
      </c>
      <c r="O288">
        <v>1</v>
      </c>
      <c r="P288">
        <v>0</v>
      </c>
      <c r="Q288">
        <v>0</v>
      </c>
      <c r="R288">
        <v>0</v>
      </c>
      <c r="S288">
        <v>1</v>
      </c>
      <c r="T288">
        <v>0</v>
      </c>
      <c r="U288">
        <v>0</v>
      </c>
      <c r="V288">
        <v>0</v>
      </c>
      <c r="W288">
        <v>1</v>
      </c>
      <c r="X288">
        <v>0</v>
      </c>
      <c r="Y288">
        <v>0</v>
      </c>
      <c r="Z288">
        <v>0</v>
      </c>
    </row>
    <row r="289" spans="1:26" x14ac:dyDescent="0.25">
      <c r="A289">
        <v>16</v>
      </c>
      <c r="B289">
        <v>10</v>
      </c>
      <c r="C289">
        <v>1</v>
      </c>
      <c r="D289">
        <v>4027</v>
      </c>
      <c r="E289">
        <v>9</v>
      </c>
      <c r="F289">
        <v>1</v>
      </c>
      <c r="G289">
        <v>0</v>
      </c>
      <c r="H289">
        <v>0</v>
      </c>
      <c r="I289">
        <v>0</v>
      </c>
      <c r="J289">
        <v>0</v>
      </c>
      <c r="K289">
        <v>1</v>
      </c>
      <c r="L289">
        <v>0</v>
      </c>
      <c r="M289">
        <v>0</v>
      </c>
      <c r="N289">
        <v>0</v>
      </c>
      <c r="O289">
        <v>0</v>
      </c>
      <c r="P289">
        <v>1</v>
      </c>
      <c r="Q289">
        <v>1</v>
      </c>
      <c r="R289">
        <v>0</v>
      </c>
      <c r="S289">
        <v>0</v>
      </c>
      <c r="T289">
        <v>0</v>
      </c>
      <c r="U289">
        <v>0</v>
      </c>
      <c r="V289">
        <v>0</v>
      </c>
      <c r="W289">
        <v>0</v>
      </c>
      <c r="X289">
        <v>1</v>
      </c>
      <c r="Y289">
        <v>0</v>
      </c>
      <c r="Z289">
        <v>0</v>
      </c>
    </row>
    <row r="290" spans="1:26" x14ac:dyDescent="0.25">
      <c r="A290">
        <v>22</v>
      </c>
      <c r="B290">
        <v>9</v>
      </c>
      <c r="C290">
        <v>0</v>
      </c>
      <c r="D290">
        <v>2916</v>
      </c>
      <c r="E290">
        <v>3</v>
      </c>
      <c r="F290">
        <v>0</v>
      </c>
      <c r="G290">
        <v>1</v>
      </c>
      <c r="H290">
        <v>0</v>
      </c>
      <c r="I290">
        <v>0</v>
      </c>
      <c r="J290">
        <v>0</v>
      </c>
      <c r="K290">
        <v>1</v>
      </c>
      <c r="L290">
        <v>0</v>
      </c>
      <c r="M290">
        <v>0</v>
      </c>
      <c r="N290">
        <v>0</v>
      </c>
      <c r="O290">
        <v>1</v>
      </c>
      <c r="P290">
        <v>0</v>
      </c>
      <c r="Q290">
        <v>0</v>
      </c>
      <c r="R290">
        <v>1</v>
      </c>
      <c r="S290">
        <v>0</v>
      </c>
      <c r="T290">
        <v>0</v>
      </c>
      <c r="U290">
        <v>0</v>
      </c>
      <c r="V290">
        <v>0</v>
      </c>
      <c r="W290">
        <v>0</v>
      </c>
      <c r="X290">
        <v>0</v>
      </c>
      <c r="Y290">
        <v>0</v>
      </c>
      <c r="Z290">
        <v>1</v>
      </c>
    </row>
    <row r="291" spans="1:26" x14ac:dyDescent="0.25">
      <c r="A291">
        <v>31</v>
      </c>
      <c r="B291">
        <v>8</v>
      </c>
      <c r="C291">
        <v>0</v>
      </c>
      <c r="D291">
        <v>1467</v>
      </c>
      <c r="E291">
        <v>1</v>
      </c>
      <c r="F291">
        <v>0</v>
      </c>
      <c r="G291">
        <v>0</v>
      </c>
      <c r="H291">
        <v>0</v>
      </c>
      <c r="I291">
        <v>1</v>
      </c>
      <c r="J291">
        <v>1</v>
      </c>
      <c r="K291">
        <v>0</v>
      </c>
      <c r="L291">
        <v>0</v>
      </c>
      <c r="M291">
        <v>1</v>
      </c>
      <c r="N291">
        <v>0</v>
      </c>
      <c r="O291">
        <v>1</v>
      </c>
      <c r="P291">
        <v>0</v>
      </c>
      <c r="Q291">
        <v>1</v>
      </c>
      <c r="R291">
        <v>0</v>
      </c>
      <c r="S291">
        <v>0</v>
      </c>
      <c r="T291">
        <v>0</v>
      </c>
      <c r="U291">
        <v>0</v>
      </c>
      <c r="V291">
        <v>0</v>
      </c>
      <c r="W291">
        <v>1</v>
      </c>
      <c r="X291">
        <v>0</v>
      </c>
      <c r="Y291">
        <v>0</v>
      </c>
      <c r="Z291">
        <v>0</v>
      </c>
    </row>
    <row r="292" spans="1:26" x14ac:dyDescent="0.25">
      <c r="A292">
        <v>20</v>
      </c>
      <c r="B292">
        <v>8</v>
      </c>
      <c r="C292">
        <v>0</v>
      </c>
      <c r="D292">
        <v>3003</v>
      </c>
      <c r="E292">
        <v>5</v>
      </c>
      <c r="F292">
        <v>1</v>
      </c>
      <c r="G292">
        <v>0</v>
      </c>
      <c r="H292">
        <v>0</v>
      </c>
      <c r="I292">
        <v>0</v>
      </c>
      <c r="J292">
        <v>1</v>
      </c>
      <c r="K292">
        <v>0</v>
      </c>
      <c r="L292">
        <v>0</v>
      </c>
      <c r="M292">
        <v>0</v>
      </c>
      <c r="N292">
        <v>0</v>
      </c>
      <c r="O292">
        <v>1</v>
      </c>
      <c r="P292">
        <v>0</v>
      </c>
      <c r="Q292">
        <v>0</v>
      </c>
      <c r="R292">
        <v>0</v>
      </c>
      <c r="S292">
        <v>1</v>
      </c>
      <c r="T292">
        <v>0</v>
      </c>
      <c r="U292">
        <v>0</v>
      </c>
      <c r="V292">
        <v>1</v>
      </c>
      <c r="W292">
        <v>0</v>
      </c>
      <c r="X292">
        <v>0</v>
      </c>
      <c r="Y292">
        <v>0</v>
      </c>
      <c r="Z292">
        <v>0</v>
      </c>
    </row>
    <row r="293" spans="1:26" x14ac:dyDescent="0.25">
      <c r="A293">
        <v>20</v>
      </c>
      <c r="B293">
        <v>7</v>
      </c>
      <c r="C293">
        <v>0</v>
      </c>
      <c r="D293">
        <v>3003</v>
      </c>
      <c r="E293">
        <v>2</v>
      </c>
      <c r="F293">
        <v>0</v>
      </c>
      <c r="G293">
        <v>0</v>
      </c>
      <c r="H293">
        <v>1</v>
      </c>
      <c r="I293">
        <v>0</v>
      </c>
      <c r="J293">
        <v>0</v>
      </c>
      <c r="K293">
        <v>0</v>
      </c>
      <c r="L293">
        <v>1</v>
      </c>
      <c r="M293">
        <v>0</v>
      </c>
      <c r="N293">
        <v>0</v>
      </c>
      <c r="O293">
        <v>1</v>
      </c>
      <c r="P293">
        <v>0</v>
      </c>
      <c r="Q293">
        <v>1</v>
      </c>
      <c r="R293">
        <v>0</v>
      </c>
      <c r="S293">
        <v>0</v>
      </c>
      <c r="T293">
        <v>1</v>
      </c>
      <c r="U293">
        <v>0</v>
      </c>
      <c r="V293">
        <v>0</v>
      </c>
      <c r="W293">
        <v>0</v>
      </c>
      <c r="X293">
        <v>0</v>
      </c>
      <c r="Y293">
        <v>0</v>
      </c>
      <c r="Z293">
        <v>0</v>
      </c>
    </row>
    <row r="294" spans="1:26" x14ac:dyDescent="0.25">
      <c r="A294">
        <v>12</v>
      </c>
      <c r="B294">
        <v>7</v>
      </c>
      <c r="C294">
        <v>0</v>
      </c>
      <c r="D294">
        <v>2700</v>
      </c>
      <c r="E294">
        <v>4</v>
      </c>
      <c r="F294">
        <v>0</v>
      </c>
      <c r="G294">
        <v>0</v>
      </c>
      <c r="H294">
        <v>0</v>
      </c>
      <c r="I294">
        <v>1</v>
      </c>
      <c r="J294">
        <v>1</v>
      </c>
      <c r="K294">
        <v>0</v>
      </c>
      <c r="L294">
        <v>0</v>
      </c>
      <c r="M294">
        <v>1</v>
      </c>
      <c r="N294">
        <v>0</v>
      </c>
      <c r="O294">
        <v>0</v>
      </c>
      <c r="P294">
        <v>1</v>
      </c>
      <c r="Q294">
        <v>0</v>
      </c>
      <c r="R294">
        <v>0</v>
      </c>
      <c r="S294">
        <v>1</v>
      </c>
      <c r="T294">
        <v>0</v>
      </c>
      <c r="U294">
        <v>1</v>
      </c>
      <c r="V294">
        <v>0</v>
      </c>
      <c r="W294">
        <v>0</v>
      </c>
      <c r="X294">
        <v>0</v>
      </c>
      <c r="Y294">
        <v>0</v>
      </c>
      <c r="Z294">
        <v>0</v>
      </c>
    </row>
    <row r="295" spans="1:26" x14ac:dyDescent="0.25">
      <c r="A295">
        <v>12</v>
      </c>
      <c r="B295">
        <v>7</v>
      </c>
      <c r="C295">
        <v>0</v>
      </c>
      <c r="D295">
        <v>3773</v>
      </c>
      <c r="E295">
        <v>5</v>
      </c>
      <c r="F295">
        <v>0</v>
      </c>
      <c r="G295">
        <v>0</v>
      </c>
      <c r="H295">
        <v>1</v>
      </c>
      <c r="I295">
        <v>0</v>
      </c>
      <c r="J295">
        <v>0</v>
      </c>
      <c r="K295">
        <v>1</v>
      </c>
      <c r="L295">
        <v>0</v>
      </c>
      <c r="M295">
        <v>0</v>
      </c>
      <c r="N295">
        <v>1</v>
      </c>
      <c r="O295">
        <v>0</v>
      </c>
      <c r="P295">
        <v>0</v>
      </c>
      <c r="Q295">
        <v>0</v>
      </c>
      <c r="R295">
        <v>0</v>
      </c>
      <c r="S295">
        <v>1</v>
      </c>
      <c r="T295">
        <v>0</v>
      </c>
      <c r="U295">
        <v>0</v>
      </c>
      <c r="V295">
        <v>0</v>
      </c>
      <c r="W295">
        <v>0</v>
      </c>
      <c r="X295">
        <v>0</v>
      </c>
      <c r="Y295">
        <v>1</v>
      </c>
      <c r="Z295">
        <v>0</v>
      </c>
    </row>
    <row r="296" spans="1:26" x14ac:dyDescent="0.25">
      <c r="A296">
        <v>32</v>
      </c>
      <c r="B296">
        <v>6</v>
      </c>
      <c r="C296">
        <v>1</v>
      </c>
      <c r="D296">
        <v>3025</v>
      </c>
      <c r="E296">
        <v>10</v>
      </c>
      <c r="F296">
        <v>1</v>
      </c>
      <c r="G296">
        <v>0</v>
      </c>
      <c r="H296">
        <v>0</v>
      </c>
      <c r="I296">
        <v>0</v>
      </c>
      <c r="J296">
        <v>0</v>
      </c>
      <c r="K296">
        <v>1</v>
      </c>
      <c r="L296">
        <v>0</v>
      </c>
      <c r="M296">
        <v>0</v>
      </c>
      <c r="N296">
        <v>0</v>
      </c>
      <c r="O296">
        <v>0</v>
      </c>
      <c r="P296">
        <v>1</v>
      </c>
      <c r="Q296">
        <v>0</v>
      </c>
      <c r="R296">
        <v>0</v>
      </c>
      <c r="S296">
        <v>1</v>
      </c>
      <c r="T296">
        <v>1</v>
      </c>
      <c r="U296">
        <v>0</v>
      </c>
      <c r="V296">
        <v>0</v>
      </c>
      <c r="W296">
        <v>0</v>
      </c>
      <c r="X296">
        <v>0</v>
      </c>
      <c r="Y296">
        <v>0</v>
      </c>
      <c r="Z296">
        <v>0</v>
      </c>
    </row>
    <row r="297" spans="1:26" x14ac:dyDescent="0.25">
      <c r="A297">
        <v>10</v>
      </c>
      <c r="B297">
        <v>6</v>
      </c>
      <c r="C297">
        <v>1</v>
      </c>
      <c r="D297">
        <v>1467</v>
      </c>
      <c r="E297">
        <v>4</v>
      </c>
      <c r="F297">
        <v>1</v>
      </c>
      <c r="G297">
        <v>0</v>
      </c>
      <c r="H297">
        <v>0</v>
      </c>
      <c r="I297">
        <v>0</v>
      </c>
      <c r="J297">
        <v>0</v>
      </c>
      <c r="K297">
        <v>0</v>
      </c>
      <c r="L297">
        <v>1</v>
      </c>
      <c r="M297">
        <v>1</v>
      </c>
      <c r="N297">
        <v>0</v>
      </c>
      <c r="O297">
        <v>1</v>
      </c>
      <c r="P297">
        <v>0</v>
      </c>
      <c r="Q297">
        <v>0</v>
      </c>
      <c r="R297">
        <v>1</v>
      </c>
      <c r="S297">
        <v>0</v>
      </c>
      <c r="T297">
        <v>0</v>
      </c>
      <c r="U297">
        <v>0</v>
      </c>
      <c r="V297">
        <v>1</v>
      </c>
      <c r="W297">
        <v>0</v>
      </c>
      <c r="X297">
        <v>0</v>
      </c>
      <c r="Y297">
        <v>0</v>
      </c>
      <c r="Z297">
        <v>0</v>
      </c>
    </row>
    <row r="298" spans="1:26" x14ac:dyDescent="0.25">
      <c r="A298">
        <v>32</v>
      </c>
      <c r="B298">
        <v>5</v>
      </c>
      <c r="C298">
        <v>0</v>
      </c>
      <c r="D298">
        <v>3933</v>
      </c>
      <c r="E298">
        <v>6</v>
      </c>
      <c r="F298">
        <v>0</v>
      </c>
      <c r="G298">
        <v>1</v>
      </c>
      <c r="H298">
        <v>0</v>
      </c>
      <c r="I298">
        <v>0</v>
      </c>
      <c r="J298">
        <v>1</v>
      </c>
      <c r="K298">
        <v>0</v>
      </c>
      <c r="L298">
        <v>0</v>
      </c>
      <c r="M298">
        <v>0</v>
      </c>
      <c r="N298">
        <v>0</v>
      </c>
      <c r="O298">
        <v>0</v>
      </c>
      <c r="P298">
        <v>1</v>
      </c>
      <c r="Q298">
        <v>0</v>
      </c>
      <c r="R298">
        <v>0</v>
      </c>
      <c r="S298">
        <v>1</v>
      </c>
      <c r="T298">
        <v>0</v>
      </c>
      <c r="U298">
        <v>0</v>
      </c>
      <c r="V298">
        <v>0</v>
      </c>
      <c r="W298">
        <v>1</v>
      </c>
      <c r="X298">
        <v>0</v>
      </c>
      <c r="Y298">
        <v>0</v>
      </c>
      <c r="Z298">
        <v>0</v>
      </c>
    </row>
    <row r="299" spans="1:26" x14ac:dyDescent="0.25">
      <c r="A299">
        <v>9</v>
      </c>
      <c r="B299">
        <v>5</v>
      </c>
      <c r="C299">
        <v>0</v>
      </c>
      <c r="D299">
        <v>1228</v>
      </c>
      <c r="E299">
        <v>9</v>
      </c>
      <c r="F299">
        <v>0</v>
      </c>
      <c r="G299">
        <v>0</v>
      </c>
      <c r="H299">
        <v>0</v>
      </c>
      <c r="I299">
        <v>1</v>
      </c>
      <c r="J299">
        <v>1</v>
      </c>
      <c r="K299">
        <v>0</v>
      </c>
      <c r="L299">
        <v>0</v>
      </c>
      <c r="M299">
        <v>0</v>
      </c>
      <c r="N299">
        <v>1</v>
      </c>
      <c r="O299">
        <v>0</v>
      </c>
      <c r="P299">
        <v>0</v>
      </c>
      <c r="Q299">
        <v>0</v>
      </c>
      <c r="R299">
        <v>0</v>
      </c>
      <c r="S299">
        <v>1</v>
      </c>
      <c r="T299">
        <v>0</v>
      </c>
      <c r="U299">
        <v>0</v>
      </c>
      <c r="V299">
        <v>0</v>
      </c>
      <c r="W299">
        <v>0</v>
      </c>
      <c r="X299">
        <v>0</v>
      </c>
      <c r="Y299">
        <v>0</v>
      </c>
      <c r="Z299">
        <v>1</v>
      </c>
    </row>
    <row r="300" spans="1:26" x14ac:dyDescent="0.25">
      <c r="A300">
        <v>5</v>
      </c>
      <c r="B300">
        <v>3</v>
      </c>
      <c r="C300">
        <v>0</v>
      </c>
      <c r="D300">
        <v>1467</v>
      </c>
      <c r="E300">
        <v>1</v>
      </c>
      <c r="F300">
        <v>0</v>
      </c>
      <c r="G300">
        <v>0</v>
      </c>
      <c r="H300">
        <v>0</v>
      </c>
      <c r="I300">
        <v>1</v>
      </c>
      <c r="J300">
        <v>1</v>
      </c>
      <c r="K300">
        <v>0</v>
      </c>
      <c r="L300">
        <v>0</v>
      </c>
      <c r="M300">
        <v>1</v>
      </c>
      <c r="N300">
        <v>0</v>
      </c>
      <c r="O300">
        <v>1</v>
      </c>
      <c r="P300">
        <v>0</v>
      </c>
      <c r="Q300">
        <v>0</v>
      </c>
      <c r="R300">
        <v>0</v>
      </c>
      <c r="S300">
        <v>1</v>
      </c>
      <c r="T300">
        <v>0</v>
      </c>
      <c r="U300">
        <v>0</v>
      </c>
      <c r="V300">
        <v>0</v>
      </c>
      <c r="W300">
        <v>0</v>
      </c>
      <c r="X300">
        <v>1</v>
      </c>
      <c r="Y300">
        <v>0</v>
      </c>
      <c r="Z300">
        <v>0</v>
      </c>
    </row>
    <row r="301" spans="1:26" x14ac:dyDescent="0.25">
      <c r="A301">
        <v>31</v>
      </c>
      <c r="B301">
        <v>12</v>
      </c>
      <c r="C301">
        <v>1</v>
      </c>
      <c r="D301">
        <v>3348</v>
      </c>
      <c r="E301">
        <v>4</v>
      </c>
      <c r="F301">
        <v>0</v>
      </c>
      <c r="G301">
        <v>0</v>
      </c>
      <c r="H301">
        <v>1</v>
      </c>
      <c r="I301">
        <v>0</v>
      </c>
      <c r="J301">
        <v>0</v>
      </c>
      <c r="K301">
        <v>1</v>
      </c>
      <c r="L301">
        <v>0</v>
      </c>
      <c r="M301">
        <v>0</v>
      </c>
      <c r="N301">
        <v>0</v>
      </c>
      <c r="O301">
        <v>0</v>
      </c>
      <c r="P301">
        <v>1</v>
      </c>
      <c r="Q301">
        <v>0</v>
      </c>
      <c r="R301">
        <v>0</v>
      </c>
      <c r="S301">
        <v>1</v>
      </c>
      <c r="T301">
        <v>1</v>
      </c>
      <c r="U301">
        <v>0</v>
      </c>
      <c r="V301">
        <v>0</v>
      </c>
      <c r="W301">
        <v>0</v>
      </c>
      <c r="X301">
        <v>0</v>
      </c>
      <c r="Y301">
        <v>0</v>
      </c>
      <c r="Z301">
        <v>0</v>
      </c>
    </row>
    <row r="302" spans="1:26" x14ac:dyDescent="0.25">
      <c r="A302">
        <v>18</v>
      </c>
      <c r="B302">
        <v>9</v>
      </c>
      <c r="C302">
        <v>1</v>
      </c>
      <c r="D302">
        <v>2959</v>
      </c>
      <c r="E302">
        <v>1</v>
      </c>
      <c r="F302">
        <v>0</v>
      </c>
      <c r="G302">
        <v>0</v>
      </c>
      <c r="H302">
        <v>0</v>
      </c>
      <c r="I302">
        <v>1</v>
      </c>
      <c r="J302">
        <v>0</v>
      </c>
      <c r="K302">
        <v>0</v>
      </c>
      <c r="L302">
        <v>1</v>
      </c>
      <c r="M302">
        <v>0</v>
      </c>
      <c r="N302">
        <v>0</v>
      </c>
      <c r="O302">
        <v>0</v>
      </c>
      <c r="P302">
        <v>1</v>
      </c>
      <c r="Q302">
        <v>0</v>
      </c>
      <c r="R302">
        <v>1</v>
      </c>
      <c r="S302">
        <v>0</v>
      </c>
      <c r="T302">
        <v>0</v>
      </c>
      <c r="U302">
        <v>0</v>
      </c>
      <c r="V302">
        <v>0</v>
      </c>
      <c r="W302">
        <v>0</v>
      </c>
      <c r="X302">
        <v>0</v>
      </c>
      <c r="Y302">
        <v>0</v>
      </c>
      <c r="Z302">
        <v>1</v>
      </c>
    </row>
    <row r="303" spans="1:26" x14ac:dyDescent="0.25">
      <c r="A303">
        <v>30</v>
      </c>
      <c r="B303">
        <v>8</v>
      </c>
      <c r="C303">
        <v>0</v>
      </c>
      <c r="D303">
        <v>2959</v>
      </c>
      <c r="E303">
        <v>1</v>
      </c>
      <c r="F303">
        <v>0</v>
      </c>
      <c r="G303">
        <v>0</v>
      </c>
      <c r="H303">
        <v>1</v>
      </c>
      <c r="I303">
        <v>0</v>
      </c>
      <c r="J303">
        <v>1</v>
      </c>
      <c r="K303">
        <v>0</v>
      </c>
      <c r="L303">
        <v>0</v>
      </c>
      <c r="M303">
        <v>0</v>
      </c>
      <c r="N303">
        <v>0</v>
      </c>
      <c r="O303">
        <v>0</v>
      </c>
      <c r="P303">
        <v>1</v>
      </c>
      <c r="Q303">
        <v>0</v>
      </c>
      <c r="R303">
        <v>0</v>
      </c>
      <c r="S303">
        <v>1</v>
      </c>
      <c r="T303">
        <v>0</v>
      </c>
      <c r="U303">
        <v>0</v>
      </c>
      <c r="V303">
        <v>0</v>
      </c>
      <c r="W303">
        <v>0</v>
      </c>
      <c r="X303">
        <v>0</v>
      </c>
      <c r="Y303">
        <v>0</v>
      </c>
      <c r="Z303">
        <v>1</v>
      </c>
    </row>
    <row r="304" spans="1:26" x14ac:dyDescent="0.25">
      <c r="A304">
        <v>19</v>
      </c>
      <c r="B304">
        <v>8</v>
      </c>
      <c r="C304">
        <v>0</v>
      </c>
      <c r="D304">
        <v>3025</v>
      </c>
      <c r="E304">
        <v>3</v>
      </c>
      <c r="F304">
        <v>0</v>
      </c>
      <c r="G304">
        <v>1</v>
      </c>
      <c r="H304">
        <v>0</v>
      </c>
      <c r="I304">
        <v>0</v>
      </c>
      <c r="J304">
        <v>1</v>
      </c>
      <c r="K304">
        <v>0</v>
      </c>
      <c r="L304">
        <v>0</v>
      </c>
      <c r="M304">
        <v>0</v>
      </c>
      <c r="N304">
        <v>0</v>
      </c>
      <c r="O304">
        <v>0</v>
      </c>
      <c r="P304">
        <v>1</v>
      </c>
      <c r="Q304">
        <v>0</v>
      </c>
      <c r="R304">
        <v>1</v>
      </c>
      <c r="S304">
        <v>0</v>
      </c>
      <c r="T304">
        <v>0</v>
      </c>
      <c r="U304">
        <v>0</v>
      </c>
      <c r="V304">
        <v>0</v>
      </c>
      <c r="W304">
        <v>0</v>
      </c>
      <c r="X304">
        <v>0</v>
      </c>
      <c r="Y304">
        <v>0</v>
      </c>
      <c r="Z304">
        <v>1</v>
      </c>
    </row>
    <row r="305" spans="1:26" x14ac:dyDescent="0.25">
      <c r="A305">
        <v>37</v>
      </c>
      <c r="B305">
        <v>7</v>
      </c>
      <c r="C305">
        <v>1</v>
      </c>
      <c r="D305">
        <v>3025</v>
      </c>
      <c r="E305">
        <v>0</v>
      </c>
      <c r="F305">
        <v>0</v>
      </c>
      <c r="G305">
        <v>0</v>
      </c>
      <c r="H305">
        <v>0</v>
      </c>
      <c r="I305">
        <v>1</v>
      </c>
      <c r="J305">
        <v>1</v>
      </c>
      <c r="K305">
        <v>0</v>
      </c>
      <c r="L305">
        <v>0</v>
      </c>
      <c r="M305">
        <v>0</v>
      </c>
      <c r="N305">
        <v>0</v>
      </c>
      <c r="O305">
        <v>0</v>
      </c>
      <c r="P305">
        <v>1</v>
      </c>
      <c r="Q305">
        <v>1</v>
      </c>
      <c r="R305">
        <v>0</v>
      </c>
      <c r="S305">
        <v>0</v>
      </c>
      <c r="T305">
        <v>0</v>
      </c>
      <c r="U305">
        <v>0</v>
      </c>
      <c r="V305">
        <v>0</v>
      </c>
      <c r="W305">
        <v>1</v>
      </c>
      <c r="X305">
        <v>0</v>
      </c>
      <c r="Y305">
        <v>0</v>
      </c>
      <c r="Z305">
        <v>0</v>
      </c>
    </row>
    <row r="306" spans="1:26" x14ac:dyDescent="0.25">
      <c r="A306">
        <v>11</v>
      </c>
      <c r="B306">
        <v>7</v>
      </c>
      <c r="C306">
        <v>0</v>
      </c>
      <c r="D306">
        <v>2700</v>
      </c>
      <c r="E306">
        <v>1</v>
      </c>
      <c r="F306">
        <v>0</v>
      </c>
      <c r="G306">
        <v>0</v>
      </c>
      <c r="H306">
        <v>1</v>
      </c>
      <c r="I306">
        <v>0</v>
      </c>
      <c r="J306">
        <v>0</v>
      </c>
      <c r="K306">
        <v>0</v>
      </c>
      <c r="L306">
        <v>1</v>
      </c>
      <c r="M306">
        <v>1</v>
      </c>
      <c r="N306">
        <v>0</v>
      </c>
      <c r="O306">
        <v>0</v>
      </c>
      <c r="P306">
        <v>1</v>
      </c>
      <c r="Q306">
        <v>0</v>
      </c>
      <c r="R306">
        <v>0</v>
      </c>
      <c r="S306">
        <v>1</v>
      </c>
      <c r="T306">
        <v>0</v>
      </c>
      <c r="U306">
        <v>1</v>
      </c>
      <c r="V306">
        <v>0</v>
      </c>
      <c r="W306">
        <v>0</v>
      </c>
      <c r="X306">
        <v>0</v>
      </c>
      <c r="Y306">
        <v>0</v>
      </c>
      <c r="Z306">
        <v>0</v>
      </c>
    </row>
    <row r="307" spans="1:26" x14ac:dyDescent="0.25">
      <c r="A307">
        <v>10</v>
      </c>
      <c r="B307">
        <v>6</v>
      </c>
      <c r="C307">
        <v>1</v>
      </c>
      <c r="D307">
        <v>2700</v>
      </c>
      <c r="E307">
        <v>5</v>
      </c>
      <c r="F307">
        <v>1</v>
      </c>
      <c r="G307">
        <v>0</v>
      </c>
      <c r="H307">
        <v>0</v>
      </c>
      <c r="I307">
        <v>0</v>
      </c>
      <c r="J307">
        <v>0</v>
      </c>
      <c r="K307">
        <v>0</v>
      </c>
      <c r="L307">
        <v>1</v>
      </c>
      <c r="M307">
        <v>1</v>
      </c>
      <c r="N307">
        <v>0</v>
      </c>
      <c r="O307">
        <v>0</v>
      </c>
      <c r="P307">
        <v>1</v>
      </c>
      <c r="Q307">
        <v>0</v>
      </c>
      <c r="R307">
        <v>1</v>
      </c>
      <c r="S307">
        <v>0</v>
      </c>
      <c r="T307">
        <v>0</v>
      </c>
      <c r="U307">
        <v>0</v>
      </c>
      <c r="V307">
        <v>0</v>
      </c>
      <c r="W307">
        <v>0</v>
      </c>
      <c r="X307">
        <v>0</v>
      </c>
      <c r="Y307">
        <v>1</v>
      </c>
      <c r="Z307">
        <v>0</v>
      </c>
    </row>
    <row r="308" spans="1:26" x14ac:dyDescent="0.25">
      <c r="A308">
        <v>7</v>
      </c>
      <c r="B308">
        <v>4</v>
      </c>
      <c r="C308">
        <v>1</v>
      </c>
      <c r="D308">
        <v>2700</v>
      </c>
      <c r="E308">
        <v>3</v>
      </c>
      <c r="F308">
        <v>0</v>
      </c>
      <c r="G308">
        <v>1</v>
      </c>
      <c r="H308">
        <v>0</v>
      </c>
      <c r="I308">
        <v>0</v>
      </c>
      <c r="J308">
        <v>0</v>
      </c>
      <c r="K308">
        <v>0</v>
      </c>
      <c r="L308">
        <v>1</v>
      </c>
      <c r="M308">
        <v>1</v>
      </c>
      <c r="N308">
        <v>0</v>
      </c>
      <c r="O308">
        <v>0</v>
      </c>
      <c r="P308">
        <v>1</v>
      </c>
      <c r="Q308">
        <v>0</v>
      </c>
      <c r="R308">
        <v>0</v>
      </c>
      <c r="S308">
        <v>1</v>
      </c>
      <c r="T308">
        <v>0</v>
      </c>
      <c r="U308">
        <v>0</v>
      </c>
      <c r="V308">
        <v>0</v>
      </c>
      <c r="W308">
        <v>1</v>
      </c>
      <c r="X308">
        <v>0</v>
      </c>
      <c r="Y308">
        <v>0</v>
      </c>
      <c r="Z308">
        <v>0</v>
      </c>
    </row>
    <row r="309" spans="1:26" x14ac:dyDescent="0.25">
      <c r="A309">
        <v>18</v>
      </c>
      <c r="B309">
        <v>3</v>
      </c>
      <c r="C309">
        <v>0</v>
      </c>
      <c r="D309">
        <v>2916</v>
      </c>
      <c r="E309">
        <v>2</v>
      </c>
      <c r="F309">
        <v>0</v>
      </c>
      <c r="G309">
        <v>0</v>
      </c>
      <c r="H309">
        <v>0</v>
      </c>
      <c r="I309">
        <v>1</v>
      </c>
      <c r="J309">
        <v>0</v>
      </c>
      <c r="K309">
        <v>0</v>
      </c>
      <c r="L309">
        <v>1</v>
      </c>
      <c r="M309">
        <v>0</v>
      </c>
      <c r="N309">
        <v>0</v>
      </c>
      <c r="O309">
        <v>1</v>
      </c>
      <c r="P309">
        <v>0</v>
      </c>
      <c r="Q309">
        <v>0</v>
      </c>
      <c r="R309">
        <v>0</v>
      </c>
      <c r="S309">
        <v>1</v>
      </c>
      <c r="T309">
        <v>0</v>
      </c>
      <c r="U309">
        <v>1</v>
      </c>
      <c r="V309">
        <v>0</v>
      </c>
      <c r="W309">
        <v>0</v>
      </c>
      <c r="X309">
        <v>0</v>
      </c>
      <c r="Y309">
        <v>0</v>
      </c>
      <c r="Z309">
        <v>0</v>
      </c>
    </row>
    <row r="310" spans="1:26" x14ac:dyDescent="0.25">
      <c r="A310">
        <v>39</v>
      </c>
      <c r="B310">
        <v>18</v>
      </c>
      <c r="C310">
        <v>0</v>
      </c>
      <c r="D310">
        <v>1228</v>
      </c>
      <c r="E310">
        <v>4</v>
      </c>
      <c r="F310">
        <v>0</v>
      </c>
      <c r="G310">
        <v>1</v>
      </c>
      <c r="H310">
        <v>0</v>
      </c>
      <c r="I310">
        <v>0</v>
      </c>
      <c r="J310">
        <v>0</v>
      </c>
      <c r="K310">
        <v>1</v>
      </c>
      <c r="L310">
        <v>0</v>
      </c>
      <c r="M310">
        <v>0</v>
      </c>
      <c r="N310">
        <v>1</v>
      </c>
      <c r="O310">
        <v>0</v>
      </c>
      <c r="P310">
        <v>0</v>
      </c>
      <c r="Q310">
        <v>0</v>
      </c>
      <c r="R310">
        <v>1</v>
      </c>
      <c r="S310">
        <v>0</v>
      </c>
      <c r="T310">
        <v>0</v>
      </c>
      <c r="U310">
        <v>0</v>
      </c>
      <c r="V310">
        <v>0</v>
      </c>
      <c r="W310">
        <v>0</v>
      </c>
      <c r="X310">
        <v>1</v>
      </c>
      <c r="Y310">
        <v>0</v>
      </c>
      <c r="Z310">
        <v>0</v>
      </c>
    </row>
    <row r="311" spans="1:26" x14ac:dyDescent="0.25">
      <c r="A311">
        <v>20</v>
      </c>
      <c r="B311">
        <v>16</v>
      </c>
      <c r="C311">
        <v>0</v>
      </c>
      <c r="D311">
        <v>1228</v>
      </c>
      <c r="E311">
        <v>7</v>
      </c>
      <c r="F311">
        <v>1</v>
      </c>
      <c r="G311">
        <v>0</v>
      </c>
      <c r="H311">
        <v>0</v>
      </c>
      <c r="I311">
        <v>0</v>
      </c>
      <c r="J311">
        <v>0</v>
      </c>
      <c r="K311">
        <v>0</v>
      </c>
      <c r="L311">
        <v>1</v>
      </c>
      <c r="M311">
        <v>0</v>
      </c>
      <c r="N311">
        <v>1</v>
      </c>
      <c r="O311">
        <v>0</v>
      </c>
      <c r="P311">
        <v>0</v>
      </c>
      <c r="Q311">
        <v>1</v>
      </c>
      <c r="R311">
        <v>0</v>
      </c>
      <c r="S311">
        <v>0</v>
      </c>
      <c r="T311">
        <v>0</v>
      </c>
      <c r="U311">
        <v>0</v>
      </c>
      <c r="V311">
        <v>0</v>
      </c>
      <c r="W311">
        <v>0</v>
      </c>
      <c r="X311">
        <v>0</v>
      </c>
      <c r="Y311">
        <v>1</v>
      </c>
      <c r="Z311">
        <v>0</v>
      </c>
    </row>
    <row r="312" spans="1:26" x14ac:dyDescent="0.25">
      <c r="A312">
        <v>12</v>
      </c>
      <c r="B312">
        <v>11</v>
      </c>
      <c r="C312">
        <v>0</v>
      </c>
      <c r="D312">
        <v>826</v>
      </c>
      <c r="E312">
        <v>6</v>
      </c>
      <c r="F312">
        <v>0</v>
      </c>
      <c r="G312">
        <v>1</v>
      </c>
      <c r="H312">
        <v>0</v>
      </c>
      <c r="I312">
        <v>0</v>
      </c>
      <c r="J312">
        <v>0</v>
      </c>
      <c r="K312">
        <v>1</v>
      </c>
      <c r="L312">
        <v>0</v>
      </c>
      <c r="M312">
        <v>0</v>
      </c>
      <c r="N312">
        <v>0</v>
      </c>
      <c r="O312">
        <v>1</v>
      </c>
      <c r="P312">
        <v>0</v>
      </c>
      <c r="Q312">
        <v>1</v>
      </c>
      <c r="R312">
        <v>0</v>
      </c>
      <c r="S312">
        <v>0</v>
      </c>
      <c r="T312">
        <v>0</v>
      </c>
      <c r="U312">
        <v>1</v>
      </c>
      <c r="V312">
        <v>0</v>
      </c>
      <c r="W312">
        <v>0</v>
      </c>
      <c r="X312">
        <v>0</v>
      </c>
      <c r="Y312">
        <v>0</v>
      </c>
      <c r="Z312">
        <v>0</v>
      </c>
    </row>
    <row r="313" spans="1:26" x14ac:dyDescent="0.25">
      <c r="A313">
        <v>37</v>
      </c>
      <c r="B313">
        <v>8</v>
      </c>
      <c r="C313">
        <v>0</v>
      </c>
      <c r="D313">
        <v>3025</v>
      </c>
      <c r="E313">
        <v>3</v>
      </c>
      <c r="F313">
        <v>1</v>
      </c>
      <c r="G313">
        <v>0</v>
      </c>
      <c r="H313">
        <v>0</v>
      </c>
      <c r="I313">
        <v>0</v>
      </c>
      <c r="J313">
        <v>0</v>
      </c>
      <c r="K313">
        <v>0</v>
      </c>
      <c r="L313">
        <v>1</v>
      </c>
      <c r="M313">
        <v>0</v>
      </c>
      <c r="N313">
        <v>0</v>
      </c>
      <c r="O313">
        <v>0</v>
      </c>
      <c r="P313">
        <v>1</v>
      </c>
      <c r="Q313">
        <v>0</v>
      </c>
      <c r="R313">
        <v>0</v>
      </c>
      <c r="S313">
        <v>1</v>
      </c>
      <c r="T313">
        <v>0</v>
      </c>
      <c r="U313">
        <v>0</v>
      </c>
      <c r="V313">
        <v>0</v>
      </c>
      <c r="W313">
        <v>0</v>
      </c>
      <c r="X313">
        <v>0</v>
      </c>
      <c r="Y313">
        <v>1</v>
      </c>
      <c r="Z313">
        <v>0</v>
      </c>
    </row>
    <row r="314" spans="1:26" x14ac:dyDescent="0.25">
      <c r="A314">
        <v>8</v>
      </c>
      <c r="B314">
        <v>8</v>
      </c>
      <c r="C314">
        <v>0</v>
      </c>
      <c r="D314">
        <v>3773</v>
      </c>
      <c r="E314">
        <v>4</v>
      </c>
      <c r="F314">
        <v>0</v>
      </c>
      <c r="G314">
        <v>0</v>
      </c>
      <c r="H314">
        <v>0</v>
      </c>
      <c r="I314">
        <v>1</v>
      </c>
      <c r="J314">
        <v>0</v>
      </c>
      <c r="K314">
        <v>1</v>
      </c>
      <c r="L314">
        <v>0</v>
      </c>
      <c r="M314">
        <v>0</v>
      </c>
      <c r="N314">
        <v>1</v>
      </c>
      <c r="O314">
        <v>0</v>
      </c>
      <c r="P314">
        <v>0</v>
      </c>
      <c r="Q314">
        <v>0</v>
      </c>
      <c r="R314">
        <v>0</v>
      </c>
      <c r="S314">
        <v>1</v>
      </c>
      <c r="T314">
        <v>0</v>
      </c>
      <c r="U314">
        <v>0</v>
      </c>
      <c r="V314">
        <v>0</v>
      </c>
      <c r="W314">
        <v>0</v>
      </c>
      <c r="X314">
        <v>0</v>
      </c>
      <c r="Y314">
        <v>0</v>
      </c>
      <c r="Z314">
        <v>1</v>
      </c>
    </row>
    <row r="315" spans="1:26" x14ac:dyDescent="0.25">
      <c r="A315">
        <v>26</v>
      </c>
      <c r="B315">
        <v>7</v>
      </c>
      <c r="C315">
        <v>0</v>
      </c>
      <c r="D315">
        <v>315</v>
      </c>
      <c r="E315">
        <v>0</v>
      </c>
      <c r="F315">
        <v>0</v>
      </c>
      <c r="G315">
        <v>0</v>
      </c>
      <c r="H315">
        <v>0</v>
      </c>
      <c r="I315">
        <v>1</v>
      </c>
      <c r="J315">
        <v>0</v>
      </c>
      <c r="K315">
        <v>1</v>
      </c>
      <c r="L315">
        <v>0</v>
      </c>
      <c r="M315">
        <v>0</v>
      </c>
      <c r="N315">
        <v>1</v>
      </c>
      <c r="O315">
        <v>0</v>
      </c>
      <c r="P315">
        <v>0</v>
      </c>
      <c r="Q315">
        <v>1</v>
      </c>
      <c r="R315">
        <v>0</v>
      </c>
      <c r="S315">
        <v>0</v>
      </c>
      <c r="T315">
        <v>1</v>
      </c>
      <c r="U315">
        <v>0</v>
      </c>
      <c r="V315">
        <v>0</v>
      </c>
      <c r="W315">
        <v>0</v>
      </c>
      <c r="X315">
        <v>0</v>
      </c>
      <c r="Y315">
        <v>0</v>
      </c>
      <c r="Z315">
        <v>0</v>
      </c>
    </row>
    <row r="316" spans="1:26" x14ac:dyDescent="0.25">
      <c r="A316">
        <v>8</v>
      </c>
      <c r="B316">
        <v>7</v>
      </c>
      <c r="C316">
        <v>1</v>
      </c>
      <c r="D316">
        <v>3981</v>
      </c>
      <c r="E316">
        <v>8</v>
      </c>
      <c r="F316">
        <v>0</v>
      </c>
      <c r="G316">
        <v>0</v>
      </c>
      <c r="H316">
        <v>1</v>
      </c>
      <c r="I316">
        <v>0</v>
      </c>
      <c r="J316">
        <v>0</v>
      </c>
      <c r="K316">
        <v>0</v>
      </c>
      <c r="L316">
        <v>1</v>
      </c>
      <c r="M316">
        <v>0</v>
      </c>
      <c r="N316">
        <v>1</v>
      </c>
      <c r="O316">
        <v>0</v>
      </c>
      <c r="P316">
        <v>0</v>
      </c>
      <c r="Q316">
        <v>0</v>
      </c>
      <c r="R316">
        <v>1</v>
      </c>
      <c r="S316">
        <v>0</v>
      </c>
      <c r="T316">
        <v>0</v>
      </c>
      <c r="U316">
        <v>0</v>
      </c>
      <c r="V316">
        <v>0</v>
      </c>
      <c r="W316">
        <v>0</v>
      </c>
      <c r="X316">
        <v>0</v>
      </c>
      <c r="Y316">
        <v>0</v>
      </c>
      <c r="Z316">
        <v>1</v>
      </c>
    </row>
    <row r="317" spans="1:26" x14ac:dyDescent="0.25">
      <c r="A317">
        <v>28</v>
      </c>
      <c r="B317">
        <v>6</v>
      </c>
      <c r="C317">
        <v>0</v>
      </c>
      <c r="D317">
        <v>716</v>
      </c>
      <c r="E317">
        <v>3</v>
      </c>
      <c r="F317">
        <v>0</v>
      </c>
      <c r="G317">
        <v>0</v>
      </c>
      <c r="H317">
        <v>0</v>
      </c>
      <c r="I317">
        <v>1</v>
      </c>
      <c r="J317">
        <v>1</v>
      </c>
      <c r="K317">
        <v>0</v>
      </c>
      <c r="L317">
        <v>0</v>
      </c>
      <c r="M317">
        <v>1</v>
      </c>
      <c r="N317">
        <v>1</v>
      </c>
      <c r="O317">
        <v>0</v>
      </c>
      <c r="P317">
        <v>0</v>
      </c>
      <c r="Q317">
        <v>0</v>
      </c>
      <c r="R317">
        <v>0</v>
      </c>
      <c r="S317">
        <v>1</v>
      </c>
      <c r="T317">
        <v>0</v>
      </c>
      <c r="U317">
        <v>0</v>
      </c>
      <c r="V317">
        <v>0</v>
      </c>
      <c r="W317">
        <v>0</v>
      </c>
      <c r="X317">
        <v>0</v>
      </c>
      <c r="Y317">
        <v>1</v>
      </c>
      <c r="Z317">
        <v>0</v>
      </c>
    </row>
    <row r="318" spans="1:26" x14ac:dyDescent="0.25">
      <c r="A318">
        <v>24</v>
      </c>
      <c r="B318">
        <v>6</v>
      </c>
      <c r="C318">
        <v>0</v>
      </c>
      <c r="D318">
        <v>3981</v>
      </c>
      <c r="E318">
        <v>2</v>
      </c>
      <c r="F318">
        <v>0</v>
      </c>
      <c r="G318">
        <v>1</v>
      </c>
      <c r="H318">
        <v>0</v>
      </c>
      <c r="I318">
        <v>0</v>
      </c>
      <c r="J318">
        <v>0</v>
      </c>
      <c r="K318">
        <v>1</v>
      </c>
      <c r="L318">
        <v>0</v>
      </c>
      <c r="M318">
        <v>0</v>
      </c>
      <c r="N318">
        <v>1</v>
      </c>
      <c r="O318">
        <v>0</v>
      </c>
      <c r="P318">
        <v>0</v>
      </c>
      <c r="Q318">
        <v>0</v>
      </c>
      <c r="R318">
        <v>0</v>
      </c>
      <c r="S318">
        <v>1</v>
      </c>
      <c r="T318">
        <v>0</v>
      </c>
      <c r="U318">
        <v>0</v>
      </c>
      <c r="V318">
        <v>0</v>
      </c>
      <c r="W318">
        <v>0</v>
      </c>
      <c r="X318">
        <v>0</v>
      </c>
      <c r="Y318">
        <v>0</v>
      </c>
      <c r="Z318">
        <v>1</v>
      </c>
    </row>
    <row r="319" spans="1:26" x14ac:dyDescent="0.25">
      <c r="A319">
        <v>20</v>
      </c>
      <c r="B319">
        <v>6</v>
      </c>
      <c r="C319">
        <v>1</v>
      </c>
      <c r="D319">
        <v>4027</v>
      </c>
      <c r="E319">
        <v>0</v>
      </c>
      <c r="F319">
        <v>1</v>
      </c>
      <c r="G319">
        <v>0</v>
      </c>
      <c r="H319">
        <v>0</v>
      </c>
      <c r="I319">
        <v>0</v>
      </c>
      <c r="J319">
        <v>1</v>
      </c>
      <c r="K319">
        <v>0</v>
      </c>
      <c r="L319">
        <v>0</v>
      </c>
      <c r="M319">
        <v>0</v>
      </c>
      <c r="N319">
        <v>0</v>
      </c>
      <c r="O319">
        <v>0</v>
      </c>
      <c r="P319">
        <v>1</v>
      </c>
      <c r="Q319">
        <v>0</v>
      </c>
      <c r="R319">
        <v>0</v>
      </c>
      <c r="S319">
        <v>1</v>
      </c>
      <c r="T319">
        <v>0</v>
      </c>
      <c r="U319">
        <v>0</v>
      </c>
      <c r="V319">
        <v>0</v>
      </c>
      <c r="W319">
        <v>0</v>
      </c>
      <c r="X319">
        <v>0</v>
      </c>
      <c r="Y319">
        <v>0</v>
      </c>
      <c r="Z319">
        <v>1</v>
      </c>
    </row>
    <row r="320" spans="1:26" x14ac:dyDescent="0.25">
      <c r="A320">
        <v>7</v>
      </c>
      <c r="B320">
        <v>6</v>
      </c>
      <c r="C320">
        <v>0</v>
      </c>
      <c r="D320">
        <v>3773</v>
      </c>
      <c r="E320">
        <v>1</v>
      </c>
      <c r="F320">
        <v>0</v>
      </c>
      <c r="G320">
        <v>1</v>
      </c>
      <c r="H320">
        <v>0</v>
      </c>
      <c r="I320">
        <v>0</v>
      </c>
      <c r="J320">
        <v>1</v>
      </c>
      <c r="K320">
        <v>0</v>
      </c>
      <c r="L320">
        <v>0</v>
      </c>
      <c r="M320">
        <v>0</v>
      </c>
      <c r="N320">
        <v>1</v>
      </c>
      <c r="O320">
        <v>0</v>
      </c>
      <c r="P320">
        <v>0</v>
      </c>
      <c r="Q320">
        <v>0</v>
      </c>
      <c r="R320">
        <v>0</v>
      </c>
      <c r="S320">
        <v>1</v>
      </c>
      <c r="T320">
        <v>0</v>
      </c>
      <c r="U320">
        <v>0</v>
      </c>
      <c r="V320">
        <v>0</v>
      </c>
      <c r="W320">
        <v>0</v>
      </c>
      <c r="X320">
        <v>0</v>
      </c>
      <c r="Y320">
        <v>0</v>
      </c>
      <c r="Z320">
        <v>1</v>
      </c>
    </row>
    <row r="321" spans="1:26" x14ac:dyDescent="0.25">
      <c r="A321">
        <v>6</v>
      </c>
      <c r="B321">
        <v>6</v>
      </c>
      <c r="C321">
        <v>0</v>
      </c>
      <c r="D321">
        <v>3348</v>
      </c>
      <c r="E321">
        <v>0</v>
      </c>
      <c r="F321">
        <v>0</v>
      </c>
      <c r="G321">
        <v>0</v>
      </c>
      <c r="H321">
        <v>0</v>
      </c>
      <c r="I321">
        <v>1</v>
      </c>
      <c r="J321">
        <v>0</v>
      </c>
      <c r="K321">
        <v>1</v>
      </c>
      <c r="L321">
        <v>0</v>
      </c>
      <c r="M321">
        <v>0</v>
      </c>
      <c r="N321">
        <v>0</v>
      </c>
      <c r="O321">
        <v>0</v>
      </c>
      <c r="P321">
        <v>1</v>
      </c>
      <c r="Q321">
        <v>1</v>
      </c>
      <c r="R321">
        <v>0</v>
      </c>
      <c r="S321">
        <v>0</v>
      </c>
      <c r="T321">
        <v>0</v>
      </c>
      <c r="U321">
        <v>0</v>
      </c>
      <c r="V321">
        <v>0</v>
      </c>
      <c r="W321">
        <v>1</v>
      </c>
      <c r="X321">
        <v>0</v>
      </c>
      <c r="Y321">
        <v>0</v>
      </c>
      <c r="Z321">
        <v>0</v>
      </c>
    </row>
    <row r="322" spans="1:26" x14ac:dyDescent="0.25">
      <c r="A322">
        <v>11</v>
      </c>
      <c r="B322">
        <v>5</v>
      </c>
      <c r="C322">
        <v>1</v>
      </c>
      <c r="D322">
        <v>716</v>
      </c>
      <c r="E322">
        <v>7</v>
      </c>
      <c r="F322">
        <v>0</v>
      </c>
      <c r="G322">
        <v>0</v>
      </c>
      <c r="H322">
        <v>1</v>
      </c>
      <c r="I322">
        <v>0</v>
      </c>
      <c r="J322">
        <v>0</v>
      </c>
      <c r="K322">
        <v>0</v>
      </c>
      <c r="L322">
        <v>1</v>
      </c>
      <c r="M322">
        <v>1</v>
      </c>
      <c r="N322">
        <v>1</v>
      </c>
      <c r="O322">
        <v>0</v>
      </c>
      <c r="P322">
        <v>0</v>
      </c>
      <c r="Q322">
        <v>1</v>
      </c>
      <c r="R322">
        <v>0</v>
      </c>
      <c r="S322">
        <v>0</v>
      </c>
      <c r="T322">
        <v>0</v>
      </c>
      <c r="U322">
        <v>1</v>
      </c>
      <c r="V322">
        <v>0</v>
      </c>
      <c r="W322">
        <v>0</v>
      </c>
      <c r="X322">
        <v>0</v>
      </c>
      <c r="Y322">
        <v>0</v>
      </c>
      <c r="Z322">
        <v>0</v>
      </c>
    </row>
    <row r="323" spans="1:26" x14ac:dyDescent="0.25">
      <c r="A323">
        <v>14</v>
      </c>
      <c r="B323">
        <v>4</v>
      </c>
      <c r="C323">
        <v>0</v>
      </c>
      <c r="D323">
        <v>1467</v>
      </c>
      <c r="E323">
        <v>1</v>
      </c>
      <c r="F323">
        <v>0</v>
      </c>
      <c r="G323">
        <v>0</v>
      </c>
      <c r="H323">
        <v>1</v>
      </c>
      <c r="I323">
        <v>0</v>
      </c>
      <c r="J323">
        <v>0</v>
      </c>
      <c r="K323">
        <v>0</v>
      </c>
      <c r="L323">
        <v>1</v>
      </c>
      <c r="M323">
        <v>1</v>
      </c>
      <c r="N323">
        <v>0</v>
      </c>
      <c r="O323">
        <v>1</v>
      </c>
      <c r="P323">
        <v>0</v>
      </c>
      <c r="Q323">
        <v>0</v>
      </c>
      <c r="R323">
        <v>1</v>
      </c>
      <c r="S323">
        <v>0</v>
      </c>
      <c r="T323">
        <v>1</v>
      </c>
      <c r="U323">
        <v>0</v>
      </c>
      <c r="V323">
        <v>0</v>
      </c>
      <c r="W323">
        <v>0</v>
      </c>
      <c r="X323">
        <v>0</v>
      </c>
      <c r="Y323">
        <v>0</v>
      </c>
      <c r="Z323">
        <v>0</v>
      </c>
    </row>
    <row r="324" spans="1:26" x14ac:dyDescent="0.25">
      <c r="A324">
        <v>20</v>
      </c>
      <c r="B324">
        <v>3</v>
      </c>
      <c r="C324">
        <v>1</v>
      </c>
      <c r="D324">
        <v>4027</v>
      </c>
      <c r="E324">
        <v>0</v>
      </c>
      <c r="F324">
        <v>0</v>
      </c>
      <c r="G324">
        <v>0</v>
      </c>
      <c r="H324">
        <v>1</v>
      </c>
      <c r="I324">
        <v>0</v>
      </c>
      <c r="J324">
        <v>0</v>
      </c>
      <c r="K324">
        <v>0</v>
      </c>
      <c r="L324">
        <v>1</v>
      </c>
      <c r="M324">
        <v>0</v>
      </c>
      <c r="N324">
        <v>0</v>
      </c>
      <c r="O324">
        <v>0</v>
      </c>
      <c r="P324">
        <v>1</v>
      </c>
      <c r="Q324">
        <v>0</v>
      </c>
      <c r="R324">
        <v>1</v>
      </c>
      <c r="S324">
        <v>0</v>
      </c>
      <c r="T324">
        <v>0</v>
      </c>
      <c r="U324">
        <v>1</v>
      </c>
      <c r="V324">
        <v>0</v>
      </c>
      <c r="W324">
        <v>0</v>
      </c>
      <c r="X324">
        <v>0</v>
      </c>
      <c r="Y324">
        <v>0</v>
      </c>
      <c r="Z324">
        <v>0</v>
      </c>
    </row>
    <row r="325" spans="1:26" x14ac:dyDescent="0.25">
      <c r="A325">
        <v>5</v>
      </c>
      <c r="B325">
        <v>3</v>
      </c>
      <c r="C325">
        <v>1</v>
      </c>
      <c r="D325">
        <v>2700</v>
      </c>
      <c r="E325">
        <v>4</v>
      </c>
      <c r="F325">
        <v>1</v>
      </c>
      <c r="G325">
        <v>0</v>
      </c>
      <c r="H325">
        <v>0</v>
      </c>
      <c r="I325">
        <v>0</v>
      </c>
      <c r="J325">
        <v>0</v>
      </c>
      <c r="K325">
        <v>1</v>
      </c>
      <c r="L325">
        <v>0</v>
      </c>
      <c r="M325">
        <v>1</v>
      </c>
      <c r="N325">
        <v>0</v>
      </c>
      <c r="O325">
        <v>0</v>
      </c>
      <c r="P325">
        <v>1</v>
      </c>
      <c r="Q325">
        <v>0</v>
      </c>
      <c r="R325">
        <v>0</v>
      </c>
      <c r="S325">
        <v>1</v>
      </c>
      <c r="T325">
        <v>0</v>
      </c>
      <c r="U325">
        <v>0</v>
      </c>
      <c r="V325">
        <v>0</v>
      </c>
      <c r="W325">
        <v>0</v>
      </c>
      <c r="X325">
        <v>0</v>
      </c>
      <c r="Y325">
        <v>1</v>
      </c>
      <c r="Z325">
        <v>0</v>
      </c>
    </row>
    <row r="326" spans="1:26" x14ac:dyDescent="0.25">
      <c r="A326">
        <v>5</v>
      </c>
      <c r="B326">
        <v>3</v>
      </c>
      <c r="C326">
        <v>1</v>
      </c>
      <c r="D326">
        <v>3025</v>
      </c>
      <c r="E326">
        <v>2</v>
      </c>
      <c r="F326">
        <v>0</v>
      </c>
      <c r="G326">
        <v>0</v>
      </c>
      <c r="H326">
        <v>0</v>
      </c>
      <c r="I326">
        <v>1</v>
      </c>
      <c r="J326">
        <v>0</v>
      </c>
      <c r="K326">
        <v>0</v>
      </c>
      <c r="L326">
        <v>1</v>
      </c>
      <c r="M326">
        <v>0</v>
      </c>
      <c r="N326">
        <v>0</v>
      </c>
      <c r="O326">
        <v>0</v>
      </c>
      <c r="P326">
        <v>1</v>
      </c>
      <c r="Q326">
        <v>1</v>
      </c>
      <c r="R326">
        <v>0</v>
      </c>
      <c r="S326">
        <v>0</v>
      </c>
      <c r="T326">
        <v>0</v>
      </c>
      <c r="U326">
        <v>0</v>
      </c>
      <c r="V326">
        <v>0</v>
      </c>
      <c r="W326">
        <v>0</v>
      </c>
      <c r="X326">
        <v>1</v>
      </c>
      <c r="Y326">
        <v>0</v>
      </c>
      <c r="Z326">
        <v>0</v>
      </c>
    </row>
    <row r="327" spans="1:26" x14ac:dyDescent="0.25">
      <c r="A327">
        <v>27</v>
      </c>
      <c r="B327">
        <v>0</v>
      </c>
      <c r="C327">
        <v>0</v>
      </c>
      <c r="D327">
        <v>1467</v>
      </c>
      <c r="E327">
        <v>0</v>
      </c>
      <c r="F327">
        <v>0</v>
      </c>
      <c r="G327">
        <v>0</v>
      </c>
      <c r="H327">
        <v>0</v>
      </c>
      <c r="I327">
        <v>1</v>
      </c>
      <c r="J327">
        <v>0</v>
      </c>
      <c r="K327">
        <v>0</v>
      </c>
      <c r="L327">
        <v>1</v>
      </c>
      <c r="M327">
        <v>1</v>
      </c>
      <c r="N327">
        <v>0</v>
      </c>
      <c r="O327">
        <v>1</v>
      </c>
      <c r="P327">
        <v>0</v>
      </c>
      <c r="Q327">
        <v>0</v>
      </c>
      <c r="R327">
        <v>0</v>
      </c>
      <c r="S327">
        <v>1</v>
      </c>
      <c r="T327">
        <v>0</v>
      </c>
      <c r="U327">
        <v>0</v>
      </c>
      <c r="V327">
        <v>0</v>
      </c>
      <c r="W327">
        <v>0</v>
      </c>
      <c r="X327">
        <v>0</v>
      </c>
      <c r="Y327">
        <v>1</v>
      </c>
      <c r="Z327">
        <v>0</v>
      </c>
    </row>
    <row r="328" spans="1:26" x14ac:dyDescent="0.25">
      <c r="A328">
        <v>10</v>
      </c>
      <c r="B328">
        <v>0</v>
      </c>
      <c r="C328">
        <v>1</v>
      </c>
      <c r="D328">
        <v>1228</v>
      </c>
      <c r="E328">
        <v>1</v>
      </c>
      <c r="F328">
        <v>0</v>
      </c>
      <c r="G328">
        <v>1</v>
      </c>
      <c r="H328">
        <v>0</v>
      </c>
      <c r="I328">
        <v>0</v>
      </c>
      <c r="J328">
        <v>0</v>
      </c>
      <c r="K328">
        <v>1</v>
      </c>
      <c r="L328">
        <v>0</v>
      </c>
      <c r="M328">
        <v>0</v>
      </c>
      <c r="N328">
        <v>1</v>
      </c>
      <c r="O328">
        <v>0</v>
      </c>
      <c r="P328">
        <v>0</v>
      </c>
      <c r="Q328">
        <v>0</v>
      </c>
      <c r="R328">
        <v>1</v>
      </c>
      <c r="S328">
        <v>0</v>
      </c>
      <c r="T328">
        <v>0</v>
      </c>
      <c r="U328">
        <v>0</v>
      </c>
      <c r="V328">
        <v>0</v>
      </c>
      <c r="W328">
        <v>0</v>
      </c>
      <c r="X328">
        <v>0</v>
      </c>
      <c r="Y328">
        <v>0</v>
      </c>
      <c r="Z328">
        <v>1</v>
      </c>
    </row>
    <row r="329" spans="1:26" x14ac:dyDescent="0.25">
      <c r="A329">
        <v>33</v>
      </c>
      <c r="B329">
        <v>13</v>
      </c>
      <c r="C329">
        <v>1</v>
      </c>
      <c r="D329">
        <v>1282</v>
      </c>
      <c r="E329">
        <v>5</v>
      </c>
      <c r="F329">
        <v>1</v>
      </c>
      <c r="G329">
        <v>0</v>
      </c>
      <c r="H329">
        <v>0</v>
      </c>
      <c r="I329">
        <v>0</v>
      </c>
      <c r="J329">
        <v>1</v>
      </c>
      <c r="K329">
        <v>0</v>
      </c>
      <c r="L329">
        <v>0</v>
      </c>
      <c r="M329">
        <v>0</v>
      </c>
      <c r="N329">
        <v>0</v>
      </c>
      <c r="O329">
        <v>0</v>
      </c>
      <c r="P329">
        <v>1</v>
      </c>
      <c r="Q329">
        <v>0</v>
      </c>
      <c r="R329">
        <v>0</v>
      </c>
      <c r="S329">
        <v>1</v>
      </c>
      <c r="T329">
        <v>0</v>
      </c>
      <c r="U329">
        <v>0</v>
      </c>
      <c r="V329">
        <v>0</v>
      </c>
      <c r="W329">
        <v>0</v>
      </c>
      <c r="X329">
        <v>0</v>
      </c>
      <c r="Y329">
        <v>0</v>
      </c>
      <c r="Z329">
        <v>1</v>
      </c>
    </row>
    <row r="330" spans="1:26" x14ac:dyDescent="0.25">
      <c r="A330">
        <v>13</v>
      </c>
      <c r="B330">
        <v>12</v>
      </c>
      <c r="C330">
        <v>0</v>
      </c>
      <c r="D330">
        <v>3981</v>
      </c>
      <c r="E330">
        <v>4</v>
      </c>
      <c r="F330">
        <v>0</v>
      </c>
      <c r="G330">
        <v>0</v>
      </c>
      <c r="H330">
        <v>1</v>
      </c>
      <c r="I330">
        <v>0</v>
      </c>
      <c r="J330">
        <v>1</v>
      </c>
      <c r="K330">
        <v>0</v>
      </c>
      <c r="L330">
        <v>0</v>
      </c>
      <c r="M330">
        <v>0</v>
      </c>
      <c r="N330">
        <v>1</v>
      </c>
      <c r="O330">
        <v>0</v>
      </c>
      <c r="P330">
        <v>0</v>
      </c>
      <c r="Q330">
        <v>1</v>
      </c>
      <c r="R330">
        <v>0</v>
      </c>
      <c r="S330">
        <v>0</v>
      </c>
      <c r="T330">
        <v>0</v>
      </c>
      <c r="U330">
        <v>0</v>
      </c>
      <c r="V330">
        <v>0</v>
      </c>
      <c r="W330">
        <v>0</v>
      </c>
      <c r="X330">
        <v>0</v>
      </c>
      <c r="Y330">
        <v>0</v>
      </c>
      <c r="Z330">
        <v>1</v>
      </c>
    </row>
    <row r="331" spans="1:26" x14ac:dyDescent="0.25">
      <c r="A331">
        <v>27</v>
      </c>
      <c r="B331">
        <v>9</v>
      </c>
      <c r="C331">
        <v>0</v>
      </c>
      <c r="D331">
        <v>2884</v>
      </c>
      <c r="E331">
        <v>2</v>
      </c>
      <c r="F331">
        <v>0</v>
      </c>
      <c r="G331">
        <v>0</v>
      </c>
      <c r="H331">
        <v>0</v>
      </c>
      <c r="I331">
        <v>1</v>
      </c>
      <c r="J331">
        <v>0</v>
      </c>
      <c r="K331">
        <v>1</v>
      </c>
      <c r="L331">
        <v>0</v>
      </c>
      <c r="M331">
        <v>1</v>
      </c>
      <c r="N331">
        <v>0</v>
      </c>
      <c r="O331">
        <v>1</v>
      </c>
      <c r="P331">
        <v>0</v>
      </c>
      <c r="Q331">
        <v>1</v>
      </c>
      <c r="R331">
        <v>0</v>
      </c>
      <c r="S331">
        <v>0</v>
      </c>
      <c r="T331">
        <v>1</v>
      </c>
      <c r="U331">
        <v>0</v>
      </c>
      <c r="V331">
        <v>0</v>
      </c>
      <c r="W331">
        <v>0</v>
      </c>
      <c r="X331">
        <v>0</v>
      </c>
      <c r="Y331">
        <v>0</v>
      </c>
      <c r="Z331">
        <v>0</v>
      </c>
    </row>
    <row r="332" spans="1:26" x14ac:dyDescent="0.25">
      <c r="A332">
        <v>18</v>
      </c>
      <c r="B332">
        <v>9</v>
      </c>
      <c r="C332">
        <v>0</v>
      </c>
      <c r="D332">
        <v>732</v>
      </c>
      <c r="E332">
        <v>7</v>
      </c>
      <c r="F332">
        <v>0</v>
      </c>
      <c r="G332">
        <v>0</v>
      </c>
      <c r="H332">
        <v>0</v>
      </c>
      <c r="I332">
        <v>1</v>
      </c>
      <c r="J332">
        <v>1</v>
      </c>
      <c r="K332">
        <v>0</v>
      </c>
      <c r="L332">
        <v>0</v>
      </c>
      <c r="M332">
        <v>0</v>
      </c>
      <c r="N332">
        <v>1</v>
      </c>
      <c r="O332">
        <v>0</v>
      </c>
      <c r="P332">
        <v>0</v>
      </c>
      <c r="Q332">
        <v>1</v>
      </c>
      <c r="R332">
        <v>0</v>
      </c>
      <c r="S332">
        <v>0</v>
      </c>
      <c r="T332">
        <v>0</v>
      </c>
      <c r="U332">
        <v>1</v>
      </c>
      <c r="V332">
        <v>0</v>
      </c>
      <c r="W332">
        <v>0</v>
      </c>
      <c r="X332">
        <v>0</v>
      </c>
      <c r="Y332">
        <v>0</v>
      </c>
      <c r="Z332">
        <v>0</v>
      </c>
    </row>
    <row r="333" spans="1:26" x14ac:dyDescent="0.25">
      <c r="A333">
        <v>33</v>
      </c>
      <c r="B333">
        <v>8</v>
      </c>
      <c r="C333">
        <v>1</v>
      </c>
      <c r="D333">
        <v>1467</v>
      </c>
      <c r="E333">
        <v>7</v>
      </c>
      <c r="F333">
        <v>0</v>
      </c>
      <c r="G333">
        <v>0</v>
      </c>
      <c r="H333">
        <v>0</v>
      </c>
      <c r="I333">
        <v>1</v>
      </c>
      <c r="J333">
        <v>1</v>
      </c>
      <c r="K333">
        <v>0</v>
      </c>
      <c r="L333">
        <v>0</v>
      </c>
      <c r="M333">
        <v>1</v>
      </c>
      <c r="N333">
        <v>0</v>
      </c>
      <c r="O333">
        <v>1</v>
      </c>
      <c r="P333">
        <v>0</v>
      </c>
      <c r="Q333">
        <v>0</v>
      </c>
      <c r="R333">
        <v>1</v>
      </c>
      <c r="S333">
        <v>0</v>
      </c>
      <c r="T333">
        <v>0</v>
      </c>
      <c r="U333">
        <v>0</v>
      </c>
      <c r="V333">
        <v>1</v>
      </c>
      <c r="W333">
        <v>0</v>
      </c>
      <c r="X333">
        <v>0</v>
      </c>
      <c r="Y333">
        <v>0</v>
      </c>
      <c r="Z333">
        <v>0</v>
      </c>
    </row>
    <row r="334" spans="1:26" x14ac:dyDescent="0.25">
      <c r="A334">
        <v>13</v>
      </c>
      <c r="B334">
        <v>7</v>
      </c>
      <c r="C334">
        <v>1</v>
      </c>
      <c r="D334">
        <v>2034</v>
      </c>
      <c r="E334">
        <v>5</v>
      </c>
      <c r="F334">
        <v>0</v>
      </c>
      <c r="G334">
        <v>0</v>
      </c>
      <c r="H334">
        <v>0</v>
      </c>
      <c r="I334">
        <v>1</v>
      </c>
      <c r="J334">
        <v>0</v>
      </c>
      <c r="K334">
        <v>0</v>
      </c>
      <c r="L334">
        <v>1</v>
      </c>
      <c r="M334">
        <v>0</v>
      </c>
      <c r="N334">
        <v>0</v>
      </c>
      <c r="O334">
        <v>0</v>
      </c>
      <c r="P334">
        <v>1</v>
      </c>
      <c r="Q334">
        <v>1</v>
      </c>
      <c r="R334">
        <v>0</v>
      </c>
      <c r="S334">
        <v>0</v>
      </c>
      <c r="T334">
        <v>0</v>
      </c>
      <c r="U334">
        <v>0</v>
      </c>
      <c r="V334">
        <v>0</v>
      </c>
      <c r="W334">
        <v>1</v>
      </c>
      <c r="X334">
        <v>0</v>
      </c>
      <c r="Y334">
        <v>0</v>
      </c>
      <c r="Z334">
        <v>0</v>
      </c>
    </row>
    <row r="335" spans="1:26" x14ac:dyDescent="0.25">
      <c r="A335">
        <v>11</v>
      </c>
      <c r="B335">
        <v>5</v>
      </c>
      <c r="C335">
        <v>0</v>
      </c>
      <c r="D335">
        <v>2884</v>
      </c>
      <c r="E335">
        <v>1</v>
      </c>
      <c r="F335">
        <v>1</v>
      </c>
      <c r="G335">
        <v>0</v>
      </c>
      <c r="H335">
        <v>0</v>
      </c>
      <c r="I335">
        <v>0</v>
      </c>
      <c r="J335">
        <v>0</v>
      </c>
      <c r="K335">
        <v>0</v>
      </c>
      <c r="L335">
        <v>1</v>
      </c>
      <c r="M335">
        <v>1</v>
      </c>
      <c r="N335">
        <v>0</v>
      </c>
      <c r="O335">
        <v>1</v>
      </c>
      <c r="P335">
        <v>0</v>
      </c>
      <c r="Q335">
        <v>1</v>
      </c>
      <c r="R335">
        <v>0</v>
      </c>
      <c r="S335">
        <v>0</v>
      </c>
      <c r="T335">
        <v>0</v>
      </c>
      <c r="U335">
        <v>0</v>
      </c>
      <c r="V335">
        <v>0</v>
      </c>
      <c r="W335">
        <v>0</v>
      </c>
      <c r="X335">
        <v>1</v>
      </c>
      <c r="Y335">
        <v>0</v>
      </c>
      <c r="Z335">
        <v>0</v>
      </c>
    </row>
    <row r="336" spans="1:26" x14ac:dyDescent="0.25">
      <c r="A336">
        <v>8</v>
      </c>
      <c r="B336">
        <v>5</v>
      </c>
      <c r="C336">
        <v>0</v>
      </c>
      <c r="D336">
        <v>3003</v>
      </c>
      <c r="E336">
        <v>8</v>
      </c>
      <c r="F336">
        <v>0</v>
      </c>
      <c r="G336">
        <v>0</v>
      </c>
      <c r="H336">
        <v>0</v>
      </c>
      <c r="I336">
        <v>1</v>
      </c>
      <c r="J336">
        <v>0</v>
      </c>
      <c r="K336">
        <v>0</v>
      </c>
      <c r="L336">
        <v>1</v>
      </c>
      <c r="M336">
        <v>0</v>
      </c>
      <c r="N336">
        <v>0</v>
      </c>
      <c r="O336">
        <v>1</v>
      </c>
      <c r="P336">
        <v>0</v>
      </c>
      <c r="Q336">
        <v>0</v>
      </c>
      <c r="R336">
        <v>1</v>
      </c>
      <c r="S336">
        <v>0</v>
      </c>
      <c r="T336">
        <v>1</v>
      </c>
      <c r="U336">
        <v>0</v>
      </c>
      <c r="V336">
        <v>0</v>
      </c>
      <c r="W336">
        <v>0</v>
      </c>
      <c r="X336">
        <v>0</v>
      </c>
      <c r="Y336">
        <v>0</v>
      </c>
      <c r="Z336">
        <v>0</v>
      </c>
    </row>
    <row r="337" spans="1:26" x14ac:dyDescent="0.25">
      <c r="A337">
        <v>93</v>
      </c>
      <c r="B337">
        <v>4</v>
      </c>
      <c r="C337">
        <v>1</v>
      </c>
      <c r="D337">
        <v>3025</v>
      </c>
      <c r="E337">
        <v>2</v>
      </c>
      <c r="F337">
        <v>0</v>
      </c>
      <c r="G337">
        <v>0</v>
      </c>
      <c r="H337">
        <v>0</v>
      </c>
      <c r="I337">
        <v>1</v>
      </c>
      <c r="J337">
        <v>0</v>
      </c>
      <c r="K337">
        <v>1</v>
      </c>
      <c r="L337">
        <v>0</v>
      </c>
      <c r="M337">
        <v>0</v>
      </c>
      <c r="N337">
        <v>0</v>
      </c>
      <c r="O337">
        <v>0</v>
      </c>
      <c r="P337">
        <v>1</v>
      </c>
      <c r="Q337">
        <v>0</v>
      </c>
      <c r="R337">
        <v>0</v>
      </c>
      <c r="S337">
        <v>1</v>
      </c>
      <c r="T337">
        <v>0</v>
      </c>
      <c r="U337">
        <v>0</v>
      </c>
      <c r="V337">
        <v>1</v>
      </c>
      <c r="W337">
        <v>0</v>
      </c>
      <c r="X337">
        <v>0</v>
      </c>
      <c r="Y337">
        <v>0</v>
      </c>
      <c r="Z337">
        <v>0</v>
      </c>
    </row>
    <row r="338" spans="1:26" x14ac:dyDescent="0.25">
      <c r="A338">
        <v>17</v>
      </c>
      <c r="B338">
        <v>4</v>
      </c>
      <c r="C338">
        <v>1</v>
      </c>
      <c r="D338">
        <v>3025</v>
      </c>
      <c r="E338">
        <v>0</v>
      </c>
      <c r="F338">
        <v>0</v>
      </c>
      <c r="G338">
        <v>0</v>
      </c>
      <c r="H338">
        <v>1</v>
      </c>
      <c r="I338">
        <v>0</v>
      </c>
      <c r="J338">
        <v>0</v>
      </c>
      <c r="K338">
        <v>0</v>
      </c>
      <c r="L338">
        <v>1</v>
      </c>
      <c r="M338">
        <v>0</v>
      </c>
      <c r="N338">
        <v>0</v>
      </c>
      <c r="O338">
        <v>0</v>
      </c>
      <c r="P338">
        <v>1</v>
      </c>
      <c r="Q338">
        <v>0</v>
      </c>
      <c r="R338">
        <v>1</v>
      </c>
      <c r="S338">
        <v>0</v>
      </c>
      <c r="T338">
        <v>0</v>
      </c>
      <c r="U338">
        <v>0</v>
      </c>
      <c r="V338">
        <v>1</v>
      </c>
      <c r="W338">
        <v>0</v>
      </c>
      <c r="X338">
        <v>0</v>
      </c>
      <c r="Y338">
        <v>0</v>
      </c>
      <c r="Z338">
        <v>0</v>
      </c>
    </row>
    <row r="339" spans="1:26" x14ac:dyDescent="0.25">
      <c r="A339">
        <v>15</v>
      </c>
      <c r="B339">
        <v>4</v>
      </c>
      <c r="C339">
        <v>1</v>
      </c>
      <c r="D339">
        <v>826</v>
      </c>
      <c r="E339">
        <v>1</v>
      </c>
      <c r="F339">
        <v>0</v>
      </c>
      <c r="G339">
        <v>0</v>
      </c>
      <c r="H339">
        <v>0</v>
      </c>
      <c r="I339">
        <v>1</v>
      </c>
      <c r="J339">
        <v>0</v>
      </c>
      <c r="K339">
        <v>0</v>
      </c>
      <c r="L339">
        <v>1</v>
      </c>
      <c r="M339">
        <v>0</v>
      </c>
      <c r="N339">
        <v>0</v>
      </c>
      <c r="O339">
        <v>1</v>
      </c>
      <c r="P339">
        <v>0</v>
      </c>
      <c r="Q339">
        <v>0</v>
      </c>
      <c r="R339">
        <v>1</v>
      </c>
      <c r="S339">
        <v>0</v>
      </c>
      <c r="T339">
        <v>0</v>
      </c>
      <c r="U339">
        <v>0</v>
      </c>
      <c r="V339">
        <v>0</v>
      </c>
      <c r="W339">
        <v>1</v>
      </c>
      <c r="X339">
        <v>0</v>
      </c>
      <c r="Y339">
        <v>0</v>
      </c>
      <c r="Z339">
        <v>0</v>
      </c>
    </row>
    <row r="340" spans="1:26" x14ac:dyDescent="0.25">
      <c r="A340">
        <v>7</v>
      </c>
      <c r="B340">
        <v>4</v>
      </c>
      <c r="C340">
        <v>1</v>
      </c>
      <c r="D340">
        <v>1282</v>
      </c>
      <c r="E340">
        <v>7</v>
      </c>
      <c r="F340">
        <v>0</v>
      </c>
      <c r="G340">
        <v>0</v>
      </c>
      <c r="H340">
        <v>1</v>
      </c>
      <c r="I340">
        <v>0</v>
      </c>
      <c r="J340">
        <v>0</v>
      </c>
      <c r="K340">
        <v>1</v>
      </c>
      <c r="L340">
        <v>0</v>
      </c>
      <c r="M340">
        <v>0</v>
      </c>
      <c r="N340">
        <v>0</v>
      </c>
      <c r="O340">
        <v>0</v>
      </c>
      <c r="P340">
        <v>1</v>
      </c>
      <c r="Q340">
        <v>1</v>
      </c>
      <c r="R340">
        <v>0</v>
      </c>
      <c r="S340">
        <v>0</v>
      </c>
      <c r="T340">
        <v>0</v>
      </c>
      <c r="U340">
        <v>0</v>
      </c>
      <c r="V340">
        <v>0</v>
      </c>
      <c r="W340">
        <v>1</v>
      </c>
      <c r="X340">
        <v>0</v>
      </c>
      <c r="Y340">
        <v>0</v>
      </c>
      <c r="Z340">
        <v>0</v>
      </c>
    </row>
    <row r="341" spans="1:26" x14ac:dyDescent="0.25">
      <c r="A341">
        <v>24</v>
      </c>
      <c r="B341">
        <v>3</v>
      </c>
      <c r="C341">
        <v>0</v>
      </c>
      <c r="D341">
        <v>3773</v>
      </c>
      <c r="E341">
        <v>3</v>
      </c>
      <c r="F341">
        <v>0</v>
      </c>
      <c r="G341">
        <v>0</v>
      </c>
      <c r="H341">
        <v>1</v>
      </c>
      <c r="I341">
        <v>0</v>
      </c>
      <c r="J341">
        <v>1</v>
      </c>
      <c r="K341">
        <v>0</v>
      </c>
      <c r="L341">
        <v>0</v>
      </c>
      <c r="M341">
        <v>0</v>
      </c>
      <c r="N341">
        <v>1</v>
      </c>
      <c r="O341">
        <v>0</v>
      </c>
      <c r="P341">
        <v>0</v>
      </c>
      <c r="Q341">
        <v>1</v>
      </c>
      <c r="R341">
        <v>0</v>
      </c>
      <c r="S341">
        <v>0</v>
      </c>
      <c r="T341">
        <v>0</v>
      </c>
      <c r="U341">
        <v>0</v>
      </c>
      <c r="V341">
        <v>1</v>
      </c>
      <c r="W341">
        <v>0</v>
      </c>
      <c r="X341">
        <v>0</v>
      </c>
      <c r="Y341">
        <v>0</v>
      </c>
      <c r="Z341">
        <v>0</v>
      </c>
    </row>
    <row r="342" spans="1:26" x14ac:dyDescent="0.25">
      <c r="A342">
        <v>13</v>
      </c>
      <c r="B342">
        <v>3</v>
      </c>
      <c r="C342">
        <v>0</v>
      </c>
      <c r="D342">
        <v>1467</v>
      </c>
      <c r="E342">
        <v>3</v>
      </c>
      <c r="F342">
        <v>0</v>
      </c>
      <c r="G342">
        <v>0</v>
      </c>
      <c r="H342">
        <v>1</v>
      </c>
      <c r="I342">
        <v>0</v>
      </c>
      <c r="J342">
        <v>1</v>
      </c>
      <c r="K342">
        <v>0</v>
      </c>
      <c r="L342">
        <v>0</v>
      </c>
      <c r="M342">
        <v>1</v>
      </c>
      <c r="N342">
        <v>0</v>
      </c>
      <c r="O342">
        <v>1</v>
      </c>
      <c r="P342">
        <v>0</v>
      </c>
      <c r="Q342">
        <v>0</v>
      </c>
      <c r="R342">
        <v>0</v>
      </c>
      <c r="S342">
        <v>1</v>
      </c>
      <c r="T342">
        <v>0</v>
      </c>
      <c r="U342">
        <v>0</v>
      </c>
      <c r="V342">
        <v>0</v>
      </c>
      <c r="W342">
        <v>0</v>
      </c>
      <c r="X342">
        <v>0</v>
      </c>
      <c r="Y342">
        <v>0</v>
      </c>
      <c r="Z342">
        <v>1</v>
      </c>
    </row>
    <row r="343" spans="1:26" x14ac:dyDescent="0.25">
      <c r="A343">
        <v>7</v>
      </c>
      <c r="B343">
        <v>3</v>
      </c>
      <c r="C343">
        <v>1</v>
      </c>
      <c r="D343">
        <v>2959</v>
      </c>
      <c r="E343">
        <v>5</v>
      </c>
      <c r="F343">
        <v>1</v>
      </c>
      <c r="G343">
        <v>0</v>
      </c>
      <c r="H343">
        <v>0</v>
      </c>
      <c r="I343">
        <v>0</v>
      </c>
      <c r="J343">
        <v>0</v>
      </c>
      <c r="K343">
        <v>1</v>
      </c>
      <c r="L343">
        <v>0</v>
      </c>
      <c r="M343">
        <v>0</v>
      </c>
      <c r="N343">
        <v>0</v>
      </c>
      <c r="O343">
        <v>0</v>
      </c>
      <c r="P343">
        <v>1</v>
      </c>
      <c r="Q343">
        <v>0</v>
      </c>
      <c r="R343">
        <v>0</v>
      </c>
      <c r="S343">
        <v>1</v>
      </c>
      <c r="T343">
        <v>0</v>
      </c>
      <c r="U343">
        <v>0</v>
      </c>
      <c r="V343">
        <v>0</v>
      </c>
      <c r="W343">
        <v>1</v>
      </c>
      <c r="X343">
        <v>0</v>
      </c>
      <c r="Y343">
        <v>0</v>
      </c>
      <c r="Z343">
        <v>0</v>
      </c>
    </row>
    <row r="344" spans="1:26" x14ac:dyDescent="0.25">
      <c r="A344">
        <v>4</v>
      </c>
      <c r="B344">
        <v>3</v>
      </c>
      <c r="C344">
        <v>0</v>
      </c>
      <c r="D344">
        <v>2959</v>
      </c>
      <c r="E344">
        <v>8</v>
      </c>
      <c r="F344">
        <v>1</v>
      </c>
      <c r="G344">
        <v>0</v>
      </c>
      <c r="H344">
        <v>0</v>
      </c>
      <c r="I344">
        <v>0</v>
      </c>
      <c r="J344">
        <v>0</v>
      </c>
      <c r="K344">
        <v>0</v>
      </c>
      <c r="L344">
        <v>1</v>
      </c>
      <c r="M344">
        <v>0</v>
      </c>
      <c r="N344">
        <v>0</v>
      </c>
      <c r="O344">
        <v>0</v>
      </c>
      <c r="P344">
        <v>1</v>
      </c>
      <c r="Q344">
        <v>0</v>
      </c>
      <c r="R344">
        <v>0</v>
      </c>
      <c r="S344">
        <v>1</v>
      </c>
      <c r="T344">
        <v>0</v>
      </c>
      <c r="U344">
        <v>0</v>
      </c>
      <c r="V344">
        <v>0</v>
      </c>
      <c r="W344">
        <v>0</v>
      </c>
      <c r="X344">
        <v>0</v>
      </c>
      <c r="Y344">
        <v>1</v>
      </c>
      <c r="Z344">
        <v>0</v>
      </c>
    </row>
    <row r="345" spans="1:26" x14ac:dyDescent="0.25">
      <c r="A345">
        <v>3</v>
      </c>
      <c r="B345">
        <v>3</v>
      </c>
      <c r="C345">
        <v>0</v>
      </c>
      <c r="D345">
        <v>315</v>
      </c>
      <c r="E345">
        <v>1</v>
      </c>
      <c r="F345">
        <v>1</v>
      </c>
      <c r="G345">
        <v>0</v>
      </c>
      <c r="H345">
        <v>0</v>
      </c>
      <c r="I345">
        <v>0</v>
      </c>
      <c r="J345">
        <v>0</v>
      </c>
      <c r="K345">
        <v>1</v>
      </c>
      <c r="L345">
        <v>0</v>
      </c>
      <c r="M345">
        <v>0</v>
      </c>
      <c r="N345">
        <v>1</v>
      </c>
      <c r="O345">
        <v>0</v>
      </c>
      <c r="P345">
        <v>0</v>
      </c>
      <c r="Q345">
        <v>0</v>
      </c>
      <c r="R345">
        <v>0</v>
      </c>
      <c r="S345">
        <v>1</v>
      </c>
      <c r="T345">
        <v>0</v>
      </c>
      <c r="U345">
        <v>0</v>
      </c>
      <c r="V345">
        <v>1</v>
      </c>
      <c r="W345">
        <v>0</v>
      </c>
      <c r="X345">
        <v>0</v>
      </c>
      <c r="Y345">
        <v>0</v>
      </c>
      <c r="Z345">
        <v>0</v>
      </c>
    </row>
    <row r="346" spans="1:26" x14ac:dyDescent="0.25">
      <c r="A346">
        <v>20</v>
      </c>
      <c r="B346">
        <v>0</v>
      </c>
      <c r="C346">
        <v>1</v>
      </c>
      <c r="D346">
        <v>4027</v>
      </c>
      <c r="E346">
        <v>2</v>
      </c>
      <c r="F346">
        <v>0</v>
      </c>
      <c r="G346">
        <v>0</v>
      </c>
      <c r="H346">
        <v>0</v>
      </c>
      <c r="I346">
        <v>1</v>
      </c>
      <c r="J346">
        <v>0</v>
      </c>
      <c r="K346">
        <v>0</v>
      </c>
      <c r="L346">
        <v>1</v>
      </c>
      <c r="M346">
        <v>0</v>
      </c>
      <c r="N346">
        <v>0</v>
      </c>
      <c r="O346">
        <v>0</v>
      </c>
      <c r="P346">
        <v>1</v>
      </c>
      <c r="Q346">
        <v>1</v>
      </c>
      <c r="R346">
        <v>0</v>
      </c>
      <c r="S346">
        <v>0</v>
      </c>
      <c r="T346">
        <v>1</v>
      </c>
      <c r="U346">
        <v>0</v>
      </c>
      <c r="V346">
        <v>0</v>
      </c>
      <c r="W346">
        <v>0</v>
      </c>
      <c r="X346">
        <v>0</v>
      </c>
      <c r="Y346">
        <v>0</v>
      </c>
      <c r="Z346">
        <v>0</v>
      </c>
    </row>
    <row r="347" spans="1:26" x14ac:dyDescent="0.25">
      <c r="A347">
        <v>6</v>
      </c>
      <c r="B347">
        <v>0</v>
      </c>
      <c r="C347">
        <v>1</v>
      </c>
      <c r="D347">
        <v>732</v>
      </c>
      <c r="E347">
        <v>10</v>
      </c>
      <c r="F347">
        <v>0</v>
      </c>
      <c r="G347">
        <v>0</v>
      </c>
      <c r="H347">
        <v>1</v>
      </c>
      <c r="I347">
        <v>0</v>
      </c>
      <c r="J347">
        <v>0</v>
      </c>
      <c r="K347">
        <v>0</v>
      </c>
      <c r="L347">
        <v>1</v>
      </c>
      <c r="M347">
        <v>0</v>
      </c>
      <c r="N347">
        <v>1</v>
      </c>
      <c r="O347">
        <v>0</v>
      </c>
      <c r="P347">
        <v>0</v>
      </c>
      <c r="Q347">
        <v>0</v>
      </c>
      <c r="R347">
        <v>0</v>
      </c>
      <c r="S347">
        <v>1</v>
      </c>
      <c r="T347">
        <v>0</v>
      </c>
      <c r="U347">
        <v>0</v>
      </c>
      <c r="V347">
        <v>0</v>
      </c>
      <c r="W347">
        <v>0</v>
      </c>
      <c r="X347">
        <v>0</v>
      </c>
      <c r="Y347">
        <v>0</v>
      </c>
      <c r="Z347">
        <v>1</v>
      </c>
    </row>
    <row r="348" spans="1:26" x14ac:dyDescent="0.25">
      <c r="A348">
        <v>3</v>
      </c>
      <c r="B348">
        <v>0</v>
      </c>
      <c r="C348">
        <v>0</v>
      </c>
      <c r="D348">
        <v>3933</v>
      </c>
      <c r="E348">
        <v>3</v>
      </c>
      <c r="F348">
        <v>0</v>
      </c>
      <c r="G348">
        <v>0</v>
      </c>
      <c r="H348">
        <v>1</v>
      </c>
      <c r="I348">
        <v>0</v>
      </c>
      <c r="J348">
        <v>0</v>
      </c>
      <c r="K348">
        <v>1</v>
      </c>
      <c r="L348">
        <v>0</v>
      </c>
      <c r="M348">
        <v>0</v>
      </c>
      <c r="N348">
        <v>0</v>
      </c>
      <c r="O348">
        <v>0</v>
      </c>
      <c r="P348">
        <v>1</v>
      </c>
      <c r="Q348">
        <v>0</v>
      </c>
      <c r="R348">
        <v>1</v>
      </c>
      <c r="S348">
        <v>0</v>
      </c>
      <c r="T348">
        <v>0</v>
      </c>
      <c r="U348">
        <v>0</v>
      </c>
      <c r="V348">
        <v>0</v>
      </c>
      <c r="W348">
        <v>0</v>
      </c>
      <c r="X348">
        <v>0</v>
      </c>
      <c r="Y348">
        <v>1</v>
      </c>
      <c r="Z348">
        <v>0</v>
      </c>
    </row>
    <row r="349" spans="1:26" x14ac:dyDescent="0.25">
      <c r="A349">
        <v>15</v>
      </c>
      <c r="B349">
        <v>14</v>
      </c>
      <c r="C349">
        <v>0</v>
      </c>
      <c r="D349">
        <v>2884</v>
      </c>
      <c r="E349">
        <v>9</v>
      </c>
      <c r="F349">
        <v>0</v>
      </c>
      <c r="G349">
        <v>0</v>
      </c>
      <c r="H349">
        <v>1</v>
      </c>
      <c r="I349">
        <v>0</v>
      </c>
      <c r="J349">
        <v>1</v>
      </c>
      <c r="K349">
        <v>0</v>
      </c>
      <c r="L349">
        <v>0</v>
      </c>
      <c r="M349">
        <v>1</v>
      </c>
      <c r="N349">
        <v>0</v>
      </c>
      <c r="O349">
        <v>1</v>
      </c>
      <c r="P349">
        <v>0</v>
      </c>
      <c r="Q349">
        <v>0</v>
      </c>
      <c r="R349">
        <v>0</v>
      </c>
      <c r="S349">
        <v>1</v>
      </c>
      <c r="T349">
        <v>0</v>
      </c>
      <c r="U349">
        <v>0</v>
      </c>
      <c r="V349">
        <v>0</v>
      </c>
      <c r="W349">
        <v>0</v>
      </c>
      <c r="X349">
        <v>0</v>
      </c>
      <c r="Y349">
        <v>1</v>
      </c>
      <c r="Z349">
        <v>0</v>
      </c>
    </row>
    <row r="350" spans="1:26" x14ac:dyDescent="0.25">
      <c r="A350">
        <v>23</v>
      </c>
      <c r="B350">
        <v>12</v>
      </c>
      <c r="C350">
        <v>1</v>
      </c>
      <c r="D350">
        <v>787</v>
      </c>
      <c r="E350">
        <v>7</v>
      </c>
      <c r="F350">
        <v>0</v>
      </c>
      <c r="G350">
        <v>1</v>
      </c>
      <c r="H350">
        <v>0</v>
      </c>
      <c r="I350">
        <v>0</v>
      </c>
      <c r="J350">
        <v>0</v>
      </c>
      <c r="K350">
        <v>1</v>
      </c>
      <c r="L350">
        <v>0</v>
      </c>
      <c r="M350">
        <v>1</v>
      </c>
      <c r="N350">
        <v>1</v>
      </c>
      <c r="O350">
        <v>0</v>
      </c>
      <c r="P350">
        <v>0</v>
      </c>
      <c r="Q350">
        <v>1</v>
      </c>
      <c r="R350">
        <v>0</v>
      </c>
      <c r="S350">
        <v>0</v>
      </c>
      <c r="T350">
        <v>0</v>
      </c>
      <c r="U350">
        <v>0</v>
      </c>
      <c r="V350">
        <v>1</v>
      </c>
      <c r="W350">
        <v>0</v>
      </c>
      <c r="X350">
        <v>0</v>
      </c>
      <c r="Y350">
        <v>0</v>
      </c>
      <c r="Z350">
        <v>0</v>
      </c>
    </row>
    <row r="351" spans="1:26" x14ac:dyDescent="0.25">
      <c r="A351">
        <v>20</v>
      </c>
      <c r="B351">
        <v>12</v>
      </c>
      <c r="C351">
        <v>1</v>
      </c>
      <c r="D351">
        <v>732</v>
      </c>
      <c r="E351">
        <v>1</v>
      </c>
      <c r="F351">
        <v>0</v>
      </c>
      <c r="G351">
        <v>1</v>
      </c>
      <c r="H351">
        <v>0</v>
      </c>
      <c r="I351">
        <v>0</v>
      </c>
      <c r="J351">
        <v>0</v>
      </c>
      <c r="K351">
        <v>1</v>
      </c>
      <c r="L351">
        <v>0</v>
      </c>
      <c r="M351">
        <v>0</v>
      </c>
      <c r="N351">
        <v>1</v>
      </c>
      <c r="O351">
        <v>0</v>
      </c>
      <c r="P351">
        <v>0</v>
      </c>
      <c r="Q351">
        <v>1</v>
      </c>
      <c r="R351">
        <v>0</v>
      </c>
      <c r="S351">
        <v>0</v>
      </c>
      <c r="T351">
        <v>0</v>
      </c>
      <c r="U351">
        <v>0</v>
      </c>
      <c r="V351">
        <v>0</v>
      </c>
      <c r="W351">
        <v>0</v>
      </c>
      <c r="X351">
        <v>0</v>
      </c>
      <c r="Y351">
        <v>0</v>
      </c>
      <c r="Z351">
        <v>1</v>
      </c>
    </row>
    <row r="352" spans="1:26" x14ac:dyDescent="0.25">
      <c r="A352">
        <v>34</v>
      </c>
      <c r="B352">
        <v>10</v>
      </c>
      <c r="C352">
        <v>0</v>
      </c>
      <c r="D352">
        <v>2034</v>
      </c>
      <c r="E352">
        <v>4</v>
      </c>
      <c r="F352">
        <v>0</v>
      </c>
      <c r="G352">
        <v>0</v>
      </c>
      <c r="H352">
        <v>0</v>
      </c>
      <c r="I352">
        <v>1</v>
      </c>
      <c r="J352">
        <v>1</v>
      </c>
      <c r="K352">
        <v>0</v>
      </c>
      <c r="L352">
        <v>0</v>
      </c>
      <c r="M352">
        <v>0</v>
      </c>
      <c r="N352">
        <v>0</v>
      </c>
      <c r="O352">
        <v>0</v>
      </c>
      <c r="P352">
        <v>1</v>
      </c>
      <c r="Q352">
        <v>0</v>
      </c>
      <c r="R352">
        <v>1</v>
      </c>
      <c r="S352">
        <v>0</v>
      </c>
      <c r="T352">
        <v>0</v>
      </c>
      <c r="U352">
        <v>0</v>
      </c>
      <c r="V352">
        <v>0</v>
      </c>
      <c r="W352">
        <v>0</v>
      </c>
      <c r="X352">
        <v>1</v>
      </c>
      <c r="Y352">
        <v>0</v>
      </c>
      <c r="Z352">
        <v>0</v>
      </c>
    </row>
    <row r="353" spans="1:26" x14ac:dyDescent="0.25">
      <c r="A353">
        <v>56</v>
      </c>
      <c r="B353">
        <v>8</v>
      </c>
      <c r="C353">
        <v>0</v>
      </c>
      <c r="D353">
        <v>3981</v>
      </c>
      <c r="E353">
        <v>1</v>
      </c>
      <c r="F353">
        <v>0</v>
      </c>
      <c r="G353">
        <v>0</v>
      </c>
      <c r="H353">
        <v>1</v>
      </c>
      <c r="I353">
        <v>0</v>
      </c>
      <c r="J353">
        <v>1</v>
      </c>
      <c r="K353">
        <v>0</v>
      </c>
      <c r="L353">
        <v>0</v>
      </c>
      <c r="M353">
        <v>0</v>
      </c>
      <c r="N353">
        <v>1</v>
      </c>
      <c r="O353">
        <v>0</v>
      </c>
      <c r="P353">
        <v>0</v>
      </c>
      <c r="Q353">
        <v>0</v>
      </c>
      <c r="R353">
        <v>0</v>
      </c>
      <c r="S353">
        <v>1</v>
      </c>
      <c r="T353">
        <v>0</v>
      </c>
      <c r="U353">
        <v>0</v>
      </c>
      <c r="V353">
        <v>0</v>
      </c>
      <c r="W353">
        <v>0</v>
      </c>
      <c r="X353">
        <v>0</v>
      </c>
      <c r="Y353">
        <v>1</v>
      </c>
      <c r="Z353">
        <v>0</v>
      </c>
    </row>
    <row r="354" spans="1:26" x14ac:dyDescent="0.25">
      <c r="A354">
        <v>10</v>
      </c>
      <c r="B354">
        <v>7</v>
      </c>
      <c r="C354">
        <v>1</v>
      </c>
      <c r="D354">
        <v>3348</v>
      </c>
      <c r="E354">
        <v>3</v>
      </c>
      <c r="F354">
        <v>0</v>
      </c>
      <c r="G354">
        <v>0</v>
      </c>
      <c r="H354">
        <v>0</v>
      </c>
      <c r="I354">
        <v>1</v>
      </c>
      <c r="J354">
        <v>0</v>
      </c>
      <c r="K354">
        <v>0</v>
      </c>
      <c r="L354">
        <v>1</v>
      </c>
      <c r="M354">
        <v>0</v>
      </c>
      <c r="N354">
        <v>0</v>
      </c>
      <c r="O354">
        <v>0</v>
      </c>
      <c r="P354">
        <v>1</v>
      </c>
      <c r="Q354">
        <v>0</v>
      </c>
      <c r="R354">
        <v>0</v>
      </c>
      <c r="S354">
        <v>1</v>
      </c>
      <c r="T354">
        <v>0</v>
      </c>
      <c r="U354">
        <v>0</v>
      </c>
      <c r="V354">
        <v>0</v>
      </c>
      <c r="W354">
        <v>0</v>
      </c>
      <c r="X354">
        <v>0</v>
      </c>
      <c r="Y354">
        <v>1</v>
      </c>
      <c r="Z354">
        <v>0</v>
      </c>
    </row>
    <row r="355" spans="1:26" x14ac:dyDescent="0.25">
      <c r="A355">
        <v>9</v>
      </c>
      <c r="B355">
        <v>7</v>
      </c>
      <c r="C355">
        <v>1</v>
      </c>
      <c r="D355">
        <v>2959</v>
      </c>
      <c r="E355">
        <v>5</v>
      </c>
      <c r="F355">
        <v>0</v>
      </c>
      <c r="G355">
        <v>0</v>
      </c>
      <c r="H355">
        <v>0</v>
      </c>
      <c r="I355">
        <v>1</v>
      </c>
      <c r="J355">
        <v>1</v>
      </c>
      <c r="K355">
        <v>0</v>
      </c>
      <c r="L355">
        <v>0</v>
      </c>
      <c r="M355">
        <v>0</v>
      </c>
      <c r="N355">
        <v>0</v>
      </c>
      <c r="O355">
        <v>0</v>
      </c>
      <c r="P355">
        <v>1</v>
      </c>
      <c r="Q355">
        <v>1</v>
      </c>
      <c r="R355">
        <v>0</v>
      </c>
      <c r="S355">
        <v>0</v>
      </c>
      <c r="T355">
        <v>0</v>
      </c>
      <c r="U355">
        <v>0</v>
      </c>
      <c r="V355">
        <v>0</v>
      </c>
      <c r="W355">
        <v>0</v>
      </c>
      <c r="X355">
        <v>0</v>
      </c>
      <c r="Y355">
        <v>0</v>
      </c>
      <c r="Z355">
        <v>1</v>
      </c>
    </row>
    <row r="356" spans="1:26" x14ac:dyDescent="0.25">
      <c r="A356">
        <v>11</v>
      </c>
      <c r="B356">
        <v>6</v>
      </c>
      <c r="C356">
        <v>1</v>
      </c>
      <c r="D356">
        <v>1228</v>
      </c>
      <c r="E356">
        <v>1</v>
      </c>
      <c r="F356">
        <v>0</v>
      </c>
      <c r="G356">
        <v>1</v>
      </c>
      <c r="H356">
        <v>0</v>
      </c>
      <c r="I356">
        <v>0</v>
      </c>
      <c r="J356">
        <v>1</v>
      </c>
      <c r="K356">
        <v>0</v>
      </c>
      <c r="L356">
        <v>0</v>
      </c>
      <c r="M356">
        <v>0</v>
      </c>
      <c r="N356">
        <v>1</v>
      </c>
      <c r="O356">
        <v>0</v>
      </c>
      <c r="P356">
        <v>0</v>
      </c>
      <c r="Q356">
        <v>0</v>
      </c>
      <c r="R356">
        <v>0</v>
      </c>
      <c r="S356">
        <v>1</v>
      </c>
      <c r="T356">
        <v>0</v>
      </c>
      <c r="U356">
        <v>1</v>
      </c>
      <c r="V356">
        <v>0</v>
      </c>
      <c r="W356">
        <v>0</v>
      </c>
      <c r="X356">
        <v>0</v>
      </c>
      <c r="Y356">
        <v>0</v>
      </c>
      <c r="Z356">
        <v>0</v>
      </c>
    </row>
    <row r="357" spans="1:26" x14ac:dyDescent="0.25">
      <c r="A357">
        <v>6</v>
      </c>
      <c r="B357">
        <v>6</v>
      </c>
      <c r="C357">
        <v>1</v>
      </c>
      <c r="D357">
        <v>2959</v>
      </c>
      <c r="E357">
        <v>7</v>
      </c>
      <c r="F357">
        <v>0</v>
      </c>
      <c r="G357">
        <v>0</v>
      </c>
      <c r="H357">
        <v>0</v>
      </c>
      <c r="I357">
        <v>1</v>
      </c>
      <c r="J357">
        <v>0</v>
      </c>
      <c r="K357">
        <v>0</v>
      </c>
      <c r="L357">
        <v>1</v>
      </c>
      <c r="M357">
        <v>0</v>
      </c>
      <c r="N357">
        <v>0</v>
      </c>
      <c r="O357">
        <v>0</v>
      </c>
      <c r="P357">
        <v>1</v>
      </c>
      <c r="Q357">
        <v>0</v>
      </c>
      <c r="R357">
        <v>1</v>
      </c>
      <c r="S357">
        <v>0</v>
      </c>
      <c r="T357">
        <v>0</v>
      </c>
      <c r="U357">
        <v>0</v>
      </c>
      <c r="V357">
        <v>0</v>
      </c>
      <c r="W357">
        <v>0</v>
      </c>
      <c r="X357">
        <v>0</v>
      </c>
      <c r="Y357">
        <v>1</v>
      </c>
      <c r="Z357">
        <v>0</v>
      </c>
    </row>
    <row r="358" spans="1:26" x14ac:dyDescent="0.25">
      <c r="A358">
        <v>7</v>
      </c>
      <c r="B358">
        <v>5</v>
      </c>
      <c r="C358">
        <v>0</v>
      </c>
      <c r="D358">
        <v>3003</v>
      </c>
      <c r="E358">
        <v>9</v>
      </c>
      <c r="F358">
        <v>0</v>
      </c>
      <c r="G358">
        <v>1</v>
      </c>
      <c r="H358">
        <v>0</v>
      </c>
      <c r="I358">
        <v>0</v>
      </c>
      <c r="J358">
        <v>0</v>
      </c>
      <c r="K358">
        <v>0</v>
      </c>
      <c r="L358">
        <v>1</v>
      </c>
      <c r="M358">
        <v>0</v>
      </c>
      <c r="N358">
        <v>0</v>
      </c>
      <c r="O358">
        <v>1</v>
      </c>
      <c r="P358">
        <v>0</v>
      </c>
      <c r="Q358">
        <v>0</v>
      </c>
      <c r="R358">
        <v>1</v>
      </c>
      <c r="S358">
        <v>0</v>
      </c>
      <c r="T358">
        <v>0</v>
      </c>
      <c r="U358">
        <v>0</v>
      </c>
      <c r="V358">
        <v>0</v>
      </c>
      <c r="W358">
        <v>0</v>
      </c>
      <c r="X358">
        <v>0</v>
      </c>
      <c r="Y358">
        <v>1</v>
      </c>
      <c r="Z358">
        <v>0</v>
      </c>
    </row>
    <row r="359" spans="1:26" x14ac:dyDescent="0.25">
      <c r="A359">
        <v>16</v>
      </c>
      <c r="B359">
        <v>4</v>
      </c>
      <c r="C359">
        <v>1</v>
      </c>
      <c r="D359">
        <v>787</v>
      </c>
      <c r="E359">
        <v>4</v>
      </c>
      <c r="F359">
        <v>0</v>
      </c>
      <c r="G359">
        <v>0</v>
      </c>
      <c r="H359">
        <v>1</v>
      </c>
      <c r="I359">
        <v>0</v>
      </c>
      <c r="J359">
        <v>0</v>
      </c>
      <c r="K359">
        <v>0</v>
      </c>
      <c r="L359">
        <v>1</v>
      </c>
      <c r="M359">
        <v>1</v>
      </c>
      <c r="N359">
        <v>1</v>
      </c>
      <c r="O359">
        <v>0</v>
      </c>
      <c r="P359">
        <v>0</v>
      </c>
      <c r="Q359">
        <v>0</v>
      </c>
      <c r="R359">
        <v>0</v>
      </c>
      <c r="S359">
        <v>1</v>
      </c>
      <c r="T359">
        <v>0</v>
      </c>
      <c r="U359">
        <v>0</v>
      </c>
      <c r="V359">
        <v>1</v>
      </c>
      <c r="W359">
        <v>0</v>
      </c>
      <c r="X359">
        <v>0</v>
      </c>
      <c r="Y359">
        <v>0</v>
      </c>
      <c r="Z359">
        <v>0</v>
      </c>
    </row>
    <row r="360" spans="1:26" x14ac:dyDescent="0.25">
      <c r="A360">
        <v>14</v>
      </c>
      <c r="B360">
        <v>3</v>
      </c>
      <c r="C360">
        <v>0</v>
      </c>
      <c r="D360">
        <v>2916</v>
      </c>
      <c r="E360">
        <v>7</v>
      </c>
      <c r="F360">
        <v>1</v>
      </c>
      <c r="G360">
        <v>0</v>
      </c>
      <c r="H360">
        <v>0</v>
      </c>
      <c r="I360">
        <v>0</v>
      </c>
      <c r="J360">
        <v>0</v>
      </c>
      <c r="K360">
        <v>0</v>
      </c>
      <c r="L360">
        <v>1</v>
      </c>
      <c r="M360">
        <v>0</v>
      </c>
      <c r="N360">
        <v>0</v>
      </c>
      <c r="O360">
        <v>1</v>
      </c>
      <c r="P360">
        <v>0</v>
      </c>
      <c r="Q360">
        <v>0</v>
      </c>
      <c r="R360">
        <v>0</v>
      </c>
      <c r="S360">
        <v>1</v>
      </c>
      <c r="T360">
        <v>0</v>
      </c>
      <c r="U360">
        <v>0</v>
      </c>
      <c r="V360">
        <v>1</v>
      </c>
      <c r="W360">
        <v>0</v>
      </c>
      <c r="X360">
        <v>0</v>
      </c>
      <c r="Y360">
        <v>0</v>
      </c>
      <c r="Z360">
        <v>0</v>
      </c>
    </row>
    <row r="361" spans="1:26" x14ac:dyDescent="0.25">
      <c r="A361">
        <v>12</v>
      </c>
      <c r="B361">
        <v>3</v>
      </c>
      <c r="C361">
        <v>0</v>
      </c>
      <c r="D361">
        <v>2884</v>
      </c>
      <c r="E361">
        <v>4</v>
      </c>
      <c r="F361">
        <v>1</v>
      </c>
      <c r="G361">
        <v>0</v>
      </c>
      <c r="H361">
        <v>0</v>
      </c>
      <c r="I361">
        <v>0</v>
      </c>
      <c r="J361">
        <v>1</v>
      </c>
      <c r="K361">
        <v>0</v>
      </c>
      <c r="L361">
        <v>0</v>
      </c>
      <c r="M361">
        <v>1</v>
      </c>
      <c r="N361">
        <v>0</v>
      </c>
      <c r="O361">
        <v>1</v>
      </c>
      <c r="P361">
        <v>0</v>
      </c>
      <c r="Q361">
        <v>0</v>
      </c>
      <c r="R361">
        <v>0</v>
      </c>
      <c r="S361">
        <v>1</v>
      </c>
      <c r="T361">
        <v>0</v>
      </c>
      <c r="U361">
        <v>0</v>
      </c>
      <c r="V361">
        <v>1</v>
      </c>
      <c r="W361">
        <v>0</v>
      </c>
      <c r="X361">
        <v>0</v>
      </c>
      <c r="Y361">
        <v>0</v>
      </c>
      <c r="Z361">
        <v>0</v>
      </c>
    </row>
    <row r="362" spans="1:26" x14ac:dyDescent="0.25">
      <c r="A362">
        <v>10</v>
      </c>
      <c r="B362">
        <v>3</v>
      </c>
      <c r="C362">
        <v>1</v>
      </c>
      <c r="D362">
        <v>3025</v>
      </c>
      <c r="E362">
        <v>6</v>
      </c>
      <c r="F362">
        <v>0</v>
      </c>
      <c r="G362">
        <v>0</v>
      </c>
      <c r="H362">
        <v>1</v>
      </c>
      <c r="I362">
        <v>0</v>
      </c>
      <c r="J362">
        <v>0</v>
      </c>
      <c r="K362">
        <v>1</v>
      </c>
      <c r="L362">
        <v>0</v>
      </c>
      <c r="M362">
        <v>0</v>
      </c>
      <c r="N362">
        <v>0</v>
      </c>
      <c r="O362">
        <v>0</v>
      </c>
      <c r="P362">
        <v>1</v>
      </c>
      <c r="Q362">
        <v>0</v>
      </c>
      <c r="R362">
        <v>0</v>
      </c>
      <c r="S362">
        <v>1</v>
      </c>
      <c r="T362">
        <v>0</v>
      </c>
      <c r="U362">
        <v>0</v>
      </c>
      <c r="V362">
        <v>0</v>
      </c>
      <c r="W362">
        <v>0</v>
      </c>
      <c r="X362">
        <v>0</v>
      </c>
      <c r="Y362">
        <v>0</v>
      </c>
      <c r="Z362">
        <v>1</v>
      </c>
    </row>
    <row r="363" spans="1:26" x14ac:dyDescent="0.25">
      <c r="A363">
        <v>7</v>
      </c>
      <c r="B363">
        <v>3</v>
      </c>
      <c r="C363">
        <v>0</v>
      </c>
      <c r="D363">
        <v>716</v>
      </c>
      <c r="E363">
        <v>3</v>
      </c>
      <c r="F363">
        <v>0</v>
      </c>
      <c r="G363">
        <v>1</v>
      </c>
      <c r="H363">
        <v>0</v>
      </c>
      <c r="I363">
        <v>0</v>
      </c>
      <c r="J363">
        <v>1</v>
      </c>
      <c r="K363">
        <v>0</v>
      </c>
      <c r="L363">
        <v>0</v>
      </c>
      <c r="M363">
        <v>1</v>
      </c>
      <c r="N363">
        <v>1</v>
      </c>
      <c r="O363">
        <v>0</v>
      </c>
      <c r="P363">
        <v>0</v>
      </c>
      <c r="Q363">
        <v>0</v>
      </c>
      <c r="R363">
        <v>0</v>
      </c>
      <c r="S363">
        <v>1</v>
      </c>
      <c r="T363">
        <v>1</v>
      </c>
      <c r="U363">
        <v>0</v>
      </c>
      <c r="V363">
        <v>0</v>
      </c>
      <c r="W363">
        <v>0</v>
      </c>
      <c r="X363">
        <v>0</v>
      </c>
      <c r="Y363">
        <v>0</v>
      </c>
      <c r="Z363">
        <v>0</v>
      </c>
    </row>
    <row r="364" spans="1:26" x14ac:dyDescent="0.25">
      <c r="A364">
        <v>6</v>
      </c>
      <c r="B364">
        <v>3</v>
      </c>
      <c r="C364">
        <v>0</v>
      </c>
      <c r="D364">
        <v>3981</v>
      </c>
      <c r="E364">
        <v>1</v>
      </c>
      <c r="F364">
        <v>0</v>
      </c>
      <c r="G364">
        <v>1</v>
      </c>
      <c r="H364">
        <v>0</v>
      </c>
      <c r="I364">
        <v>0</v>
      </c>
      <c r="J364">
        <v>1</v>
      </c>
      <c r="K364">
        <v>0</v>
      </c>
      <c r="L364">
        <v>0</v>
      </c>
      <c r="M364">
        <v>0</v>
      </c>
      <c r="N364">
        <v>1</v>
      </c>
      <c r="O364">
        <v>0</v>
      </c>
      <c r="P364">
        <v>0</v>
      </c>
      <c r="Q364">
        <v>1</v>
      </c>
      <c r="R364">
        <v>0</v>
      </c>
      <c r="S364">
        <v>0</v>
      </c>
      <c r="T364">
        <v>0</v>
      </c>
      <c r="U364">
        <v>0</v>
      </c>
      <c r="V364">
        <v>0</v>
      </c>
      <c r="W364">
        <v>0</v>
      </c>
      <c r="X364">
        <v>1</v>
      </c>
      <c r="Y364">
        <v>0</v>
      </c>
      <c r="Z364">
        <v>0</v>
      </c>
    </row>
    <row r="365" spans="1:26" x14ac:dyDescent="0.25">
      <c r="A365">
        <v>21</v>
      </c>
      <c r="B365">
        <v>18</v>
      </c>
      <c r="C365">
        <v>0</v>
      </c>
      <c r="D365">
        <v>3003</v>
      </c>
      <c r="E365">
        <v>0</v>
      </c>
      <c r="F365">
        <v>1</v>
      </c>
      <c r="G365">
        <v>0</v>
      </c>
      <c r="H365">
        <v>0</v>
      </c>
      <c r="I365">
        <v>0</v>
      </c>
      <c r="J365">
        <v>1</v>
      </c>
      <c r="K365">
        <v>0</v>
      </c>
      <c r="L365">
        <v>0</v>
      </c>
      <c r="M365">
        <v>0</v>
      </c>
      <c r="N365">
        <v>0</v>
      </c>
      <c r="O365">
        <v>1</v>
      </c>
      <c r="P365">
        <v>0</v>
      </c>
      <c r="Q365">
        <v>0</v>
      </c>
      <c r="R365">
        <v>1</v>
      </c>
      <c r="S365">
        <v>0</v>
      </c>
      <c r="T365">
        <v>0</v>
      </c>
      <c r="U365">
        <v>0</v>
      </c>
      <c r="V365">
        <v>0</v>
      </c>
      <c r="W365">
        <v>1</v>
      </c>
      <c r="X365">
        <v>0</v>
      </c>
      <c r="Y365">
        <v>0</v>
      </c>
      <c r="Z365">
        <v>0</v>
      </c>
    </row>
    <row r="366" spans="1:26" x14ac:dyDescent="0.25">
      <c r="A366">
        <v>12</v>
      </c>
      <c r="B366">
        <v>12</v>
      </c>
      <c r="C366">
        <v>0</v>
      </c>
      <c r="D366">
        <v>716</v>
      </c>
      <c r="E366">
        <v>4</v>
      </c>
      <c r="F366">
        <v>1</v>
      </c>
      <c r="G366">
        <v>0</v>
      </c>
      <c r="H366">
        <v>0</v>
      </c>
      <c r="I366">
        <v>0</v>
      </c>
      <c r="J366">
        <v>1</v>
      </c>
      <c r="K366">
        <v>0</v>
      </c>
      <c r="L366">
        <v>0</v>
      </c>
      <c r="M366">
        <v>1</v>
      </c>
      <c r="N366">
        <v>1</v>
      </c>
      <c r="O366">
        <v>0</v>
      </c>
      <c r="P366">
        <v>0</v>
      </c>
      <c r="Q366">
        <v>0</v>
      </c>
      <c r="R366">
        <v>1</v>
      </c>
      <c r="S366">
        <v>0</v>
      </c>
      <c r="T366">
        <v>1</v>
      </c>
      <c r="U366">
        <v>0</v>
      </c>
      <c r="V366">
        <v>0</v>
      </c>
      <c r="W366">
        <v>0</v>
      </c>
      <c r="X366">
        <v>0</v>
      </c>
      <c r="Y366">
        <v>0</v>
      </c>
      <c r="Z366">
        <v>0</v>
      </c>
    </row>
    <row r="367" spans="1:26" x14ac:dyDescent="0.25">
      <c r="A367">
        <v>11</v>
      </c>
      <c r="B367">
        <v>10</v>
      </c>
      <c r="C367">
        <v>1</v>
      </c>
      <c r="D367">
        <v>2034</v>
      </c>
      <c r="E367">
        <v>7</v>
      </c>
      <c r="F367">
        <v>1</v>
      </c>
      <c r="G367">
        <v>0</v>
      </c>
      <c r="H367">
        <v>0</v>
      </c>
      <c r="I367">
        <v>0</v>
      </c>
      <c r="J367">
        <v>1</v>
      </c>
      <c r="K367">
        <v>0</v>
      </c>
      <c r="L367">
        <v>0</v>
      </c>
      <c r="M367">
        <v>0</v>
      </c>
      <c r="N367">
        <v>0</v>
      </c>
      <c r="O367">
        <v>0</v>
      </c>
      <c r="P367">
        <v>1</v>
      </c>
      <c r="Q367">
        <v>0</v>
      </c>
      <c r="R367">
        <v>0</v>
      </c>
      <c r="S367">
        <v>1</v>
      </c>
      <c r="T367">
        <v>0</v>
      </c>
      <c r="U367">
        <v>0</v>
      </c>
      <c r="V367">
        <v>0</v>
      </c>
      <c r="W367">
        <v>0</v>
      </c>
      <c r="X367">
        <v>0</v>
      </c>
      <c r="Y367">
        <v>1</v>
      </c>
      <c r="Z367">
        <v>0</v>
      </c>
    </row>
    <row r="368" spans="1:26" x14ac:dyDescent="0.25">
      <c r="A368">
        <v>11</v>
      </c>
      <c r="B368">
        <v>9</v>
      </c>
      <c r="C368">
        <v>0</v>
      </c>
      <c r="D368">
        <v>2884</v>
      </c>
      <c r="E368">
        <v>0</v>
      </c>
      <c r="F368">
        <v>0</v>
      </c>
      <c r="G368">
        <v>0</v>
      </c>
      <c r="H368">
        <v>0</v>
      </c>
      <c r="I368">
        <v>1</v>
      </c>
      <c r="J368">
        <v>0</v>
      </c>
      <c r="K368">
        <v>0</v>
      </c>
      <c r="L368">
        <v>1</v>
      </c>
      <c r="M368">
        <v>1</v>
      </c>
      <c r="N368">
        <v>0</v>
      </c>
      <c r="O368">
        <v>1</v>
      </c>
      <c r="P368">
        <v>0</v>
      </c>
      <c r="Q368">
        <v>0</v>
      </c>
      <c r="R368">
        <v>1</v>
      </c>
      <c r="S368">
        <v>0</v>
      </c>
      <c r="T368">
        <v>1</v>
      </c>
      <c r="U368">
        <v>0</v>
      </c>
      <c r="V368">
        <v>0</v>
      </c>
      <c r="W368">
        <v>0</v>
      </c>
      <c r="X368">
        <v>0</v>
      </c>
      <c r="Y368">
        <v>0</v>
      </c>
      <c r="Z368">
        <v>0</v>
      </c>
    </row>
    <row r="369" spans="1:26" x14ac:dyDescent="0.25">
      <c r="A369">
        <v>9</v>
      </c>
      <c r="B369">
        <v>9</v>
      </c>
      <c r="C369">
        <v>0</v>
      </c>
      <c r="D369">
        <v>188</v>
      </c>
      <c r="E369">
        <v>1</v>
      </c>
      <c r="F369">
        <v>0</v>
      </c>
      <c r="G369">
        <v>0</v>
      </c>
      <c r="H369">
        <v>1</v>
      </c>
      <c r="I369">
        <v>0</v>
      </c>
      <c r="J369">
        <v>1</v>
      </c>
      <c r="K369">
        <v>0</v>
      </c>
      <c r="L369">
        <v>0</v>
      </c>
      <c r="M369">
        <v>0</v>
      </c>
      <c r="N369">
        <v>0</v>
      </c>
      <c r="O369">
        <v>1</v>
      </c>
      <c r="P369">
        <v>0</v>
      </c>
      <c r="Q369">
        <v>0</v>
      </c>
      <c r="R369">
        <v>0</v>
      </c>
      <c r="S369">
        <v>1</v>
      </c>
      <c r="T369">
        <v>0</v>
      </c>
      <c r="U369">
        <v>0</v>
      </c>
      <c r="V369">
        <v>0</v>
      </c>
      <c r="W369">
        <v>0</v>
      </c>
      <c r="X369">
        <v>0</v>
      </c>
      <c r="Y369">
        <v>0</v>
      </c>
      <c r="Z369">
        <v>1</v>
      </c>
    </row>
    <row r="370" spans="1:26" x14ac:dyDescent="0.25">
      <c r="A370">
        <v>24</v>
      </c>
      <c r="B370">
        <v>7</v>
      </c>
      <c r="C370">
        <v>0</v>
      </c>
      <c r="D370">
        <v>2916</v>
      </c>
      <c r="E370">
        <v>1</v>
      </c>
      <c r="F370">
        <v>1</v>
      </c>
      <c r="G370">
        <v>0</v>
      </c>
      <c r="H370">
        <v>0</v>
      </c>
      <c r="I370">
        <v>0</v>
      </c>
      <c r="J370">
        <v>1</v>
      </c>
      <c r="K370">
        <v>0</v>
      </c>
      <c r="L370">
        <v>0</v>
      </c>
      <c r="M370">
        <v>0</v>
      </c>
      <c r="N370">
        <v>0</v>
      </c>
      <c r="O370">
        <v>1</v>
      </c>
      <c r="P370">
        <v>0</v>
      </c>
      <c r="Q370">
        <v>0</v>
      </c>
      <c r="R370">
        <v>0</v>
      </c>
      <c r="S370">
        <v>1</v>
      </c>
      <c r="T370">
        <v>0</v>
      </c>
      <c r="U370">
        <v>0</v>
      </c>
      <c r="V370">
        <v>0</v>
      </c>
      <c r="W370">
        <v>0</v>
      </c>
      <c r="X370">
        <v>1</v>
      </c>
      <c r="Y370">
        <v>0</v>
      </c>
      <c r="Z370">
        <v>0</v>
      </c>
    </row>
    <row r="371" spans="1:26" x14ac:dyDescent="0.25">
      <c r="A371">
        <v>16</v>
      </c>
      <c r="B371">
        <v>7</v>
      </c>
      <c r="C371">
        <v>0</v>
      </c>
      <c r="D371">
        <v>1282</v>
      </c>
      <c r="E371">
        <v>7</v>
      </c>
      <c r="F371">
        <v>0</v>
      </c>
      <c r="G371">
        <v>0</v>
      </c>
      <c r="H371">
        <v>1</v>
      </c>
      <c r="I371">
        <v>0</v>
      </c>
      <c r="J371">
        <v>0</v>
      </c>
      <c r="K371">
        <v>0</v>
      </c>
      <c r="L371">
        <v>1</v>
      </c>
      <c r="M371">
        <v>0</v>
      </c>
      <c r="N371">
        <v>0</v>
      </c>
      <c r="O371">
        <v>0</v>
      </c>
      <c r="P371">
        <v>1</v>
      </c>
      <c r="Q371">
        <v>1</v>
      </c>
      <c r="R371">
        <v>0</v>
      </c>
      <c r="S371">
        <v>0</v>
      </c>
      <c r="T371">
        <v>0</v>
      </c>
      <c r="U371">
        <v>1</v>
      </c>
      <c r="V371">
        <v>0</v>
      </c>
      <c r="W371">
        <v>0</v>
      </c>
      <c r="X371">
        <v>0</v>
      </c>
      <c r="Y371">
        <v>0</v>
      </c>
      <c r="Z371">
        <v>0</v>
      </c>
    </row>
    <row r="372" spans="1:26" x14ac:dyDescent="0.25">
      <c r="A372">
        <v>14</v>
      </c>
      <c r="B372">
        <v>7</v>
      </c>
      <c r="C372">
        <v>1</v>
      </c>
      <c r="D372">
        <v>2916</v>
      </c>
      <c r="E372">
        <v>2</v>
      </c>
      <c r="F372">
        <v>0</v>
      </c>
      <c r="G372">
        <v>0</v>
      </c>
      <c r="H372">
        <v>1</v>
      </c>
      <c r="I372">
        <v>0</v>
      </c>
      <c r="J372">
        <v>0</v>
      </c>
      <c r="K372">
        <v>0</v>
      </c>
      <c r="L372">
        <v>1</v>
      </c>
      <c r="M372">
        <v>0</v>
      </c>
      <c r="N372">
        <v>0</v>
      </c>
      <c r="O372">
        <v>1</v>
      </c>
      <c r="P372">
        <v>0</v>
      </c>
      <c r="Q372">
        <v>0</v>
      </c>
      <c r="R372">
        <v>0</v>
      </c>
      <c r="S372">
        <v>1</v>
      </c>
      <c r="T372">
        <v>1</v>
      </c>
      <c r="U372">
        <v>0</v>
      </c>
      <c r="V372">
        <v>0</v>
      </c>
      <c r="W372">
        <v>0</v>
      </c>
      <c r="X372">
        <v>0</v>
      </c>
      <c r="Y372">
        <v>0</v>
      </c>
      <c r="Z372">
        <v>0</v>
      </c>
    </row>
    <row r="373" spans="1:26" x14ac:dyDescent="0.25">
      <c r="A373">
        <v>22</v>
      </c>
      <c r="B373">
        <v>6</v>
      </c>
      <c r="C373">
        <v>1</v>
      </c>
      <c r="D373">
        <v>1467</v>
      </c>
      <c r="E373">
        <v>1</v>
      </c>
      <c r="F373">
        <v>0</v>
      </c>
      <c r="G373">
        <v>0</v>
      </c>
      <c r="H373">
        <v>0</v>
      </c>
      <c r="I373">
        <v>1</v>
      </c>
      <c r="J373">
        <v>1</v>
      </c>
      <c r="K373">
        <v>0</v>
      </c>
      <c r="L373">
        <v>0</v>
      </c>
      <c r="M373">
        <v>1</v>
      </c>
      <c r="N373">
        <v>0</v>
      </c>
      <c r="O373">
        <v>1</v>
      </c>
      <c r="P373">
        <v>0</v>
      </c>
      <c r="Q373">
        <v>0</v>
      </c>
      <c r="R373">
        <v>1</v>
      </c>
      <c r="S373">
        <v>0</v>
      </c>
      <c r="T373">
        <v>0</v>
      </c>
      <c r="U373">
        <v>0</v>
      </c>
      <c r="V373">
        <v>0</v>
      </c>
      <c r="W373">
        <v>0</v>
      </c>
      <c r="X373">
        <v>0</v>
      </c>
      <c r="Y373">
        <v>1</v>
      </c>
      <c r="Z373">
        <v>0</v>
      </c>
    </row>
    <row r="374" spans="1:26" x14ac:dyDescent="0.25">
      <c r="A374">
        <v>7</v>
      </c>
      <c r="B374">
        <v>5</v>
      </c>
      <c r="C374">
        <v>1</v>
      </c>
      <c r="D374">
        <v>4027</v>
      </c>
      <c r="E374">
        <v>1</v>
      </c>
      <c r="F374">
        <v>0</v>
      </c>
      <c r="G374">
        <v>1</v>
      </c>
      <c r="H374">
        <v>0</v>
      </c>
      <c r="I374">
        <v>0</v>
      </c>
      <c r="J374">
        <v>0</v>
      </c>
      <c r="K374">
        <v>0</v>
      </c>
      <c r="L374">
        <v>1</v>
      </c>
      <c r="M374">
        <v>0</v>
      </c>
      <c r="N374">
        <v>0</v>
      </c>
      <c r="O374">
        <v>0</v>
      </c>
      <c r="P374">
        <v>1</v>
      </c>
      <c r="Q374">
        <v>0</v>
      </c>
      <c r="R374">
        <v>0</v>
      </c>
      <c r="S374">
        <v>1</v>
      </c>
      <c r="T374">
        <v>0</v>
      </c>
      <c r="U374">
        <v>1</v>
      </c>
      <c r="V374">
        <v>0</v>
      </c>
      <c r="W374">
        <v>0</v>
      </c>
      <c r="X374">
        <v>0</v>
      </c>
      <c r="Y374">
        <v>0</v>
      </c>
      <c r="Z374">
        <v>0</v>
      </c>
    </row>
    <row r="375" spans="1:26" x14ac:dyDescent="0.25">
      <c r="A375">
        <v>6</v>
      </c>
      <c r="B375">
        <v>5</v>
      </c>
      <c r="C375">
        <v>1</v>
      </c>
      <c r="D375">
        <v>732</v>
      </c>
      <c r="E375">
        <v>4</v>
      </c>
      <c r="F375">
        <v>0</v>
      </c>
      <c r="G375">
        <v>1</v>
      </c>
      <c r="H375">
        <v>0</v>
      </c>
      <c r="I375">
        <v>0</v>
      </c>
      <c r="J375">
        <v>0</v>
      </c>
      <c r="K375">
        <v>1</v>
      </c>
      <c r="L375">
        <v>0</v>
      </c>
      <c r="M375">
        <v>0</v>
      </c>
      <c r="N375">
        <v>1</v>
      </c>
      <c r="O375">
        <v>0</v>
      </c>
      <c r="P375">
        <v>0</v>
      </c>
      <c r="Q375">
        <v>0</v>
      </c>
      <c r="R375">
        <v>0</v>
      </c>
      <c r="S375">
        <v>1</v>
      </c>
      <c r="T375">
        <v>0</v>
      </c>
      <c r="U375">
        <v>0</v>
      </c>
      <c r="V375">
        <v>0</v>
      </c>
      <c r="W375">
        <v>0</v>
      </c>
      <c r="X375">
        <v>0</v>
      </c>
      <c r="Y375">
        <v>1</v>
      </c>
      <c r="Z375">
        <v>0</v>
      </c>
    </row>
    <row r="376" spans="1:26" x14ac:dyDescent="0.25">
      <c r="A376">
        <v>15</v>
      </c>
      <c r="B376">
        <v>4</v>
      </c>
      <c r="C376">
        <v>1</v>
      </c>
      <c r="D376">
        <v>1467</v>
      </c>
      <c r="E376">
        <v>0</v>
      </c>
      <c r="F376">
        <v>0</v>
      </c>
      <c r="G376">
        <v>1</v>
      </c>
      <c r="H376">
        <v>0</v>
      </c>
      <c r="I376">
        <v>0</v>
      </c>
      <c r="J376">
        <v>0</v>
      </c>
      <c r="K376">
        <v>0</v>
      </c>
      <c r="L376">
        <v>1</v>
      </c>
      <c r="M376">
        <v>1</v>
      </c>
      <c r="N376">
        <v>0</v>
      </c>
      <c r="O376">
        <v>1</v>
      </c>
      <c r="P376">
        <v>0</v>
      </c>
      <c r="Q376">
        <v>1</v>
      </c>
      <c r="R376">
        <v>0</v>
      </c>
      <c r="S376">
        <v>0</v>
      </c>
      <c r="T376">
        <v>1</v>
      </c>
      <c r="U376">
        <v>0</v>
      </c>
      <c r="V376">
        <v>0</v>
      </c>
      <c r="W376">
        <v>0</v>
      </c>
      <c r="X376">
        <v>0</v>
      </c>
      <c r="Y376">
        <v>0</v>
      </c>
      <c r="Z376">
        <v>0</v>
      </c>
    </row>
    <row r="377" spans="1:26" x14ac:dyDescent="0.25">
      <c r="A377">
        <v>13</v>
      </c>
      <c r="B377">
        <v>4</v>
      </c>
      <c r="C377">
        <v>1</v>
      </c>
      <c r="D377">
        <v>716</v>
      </c>
      <c r="E377">
        <v>0</v>
      </c>
      <c r="F377">
        <v>0</v>
      </c>
      <c r="G377">
        <v>0</v>
      </c>
      <c r="H377">
        <v>0</v>
      </c>
      <c r="I377">
        <v>1</v>
      </c>
      <c r="J377">
        <v>0</v>
      </c>
      <c r="K377">
        <v>0</v>
      </c>
      <c r="L377">
        <v>1</v>
      </c>
      <c r="M377">
        <v>1</v>
      </c>
      <c r="N377">
        <v>1</v>
      </c>
      <c r="O377">
        <v>0</v>
      </c>
      <c r="P377">
        <v>0</v>
      </c>
      <c r="Q377">
        <v>0</v>
      </c>
      <c r="R377">
        <v>0</v>
      </c>
      <c r="S377">
        <v>1</v>
      </c>
      <c r="T377">
        <v>0</v>
      </c>
      <c r="U377">
        <v>0</v>
      </c>
      <c r="V377">
        <v>0</v>
      </c>
      <c r="W377">
        <v>0</v>
      </c>
      <c r="X377">
        <v>0</v>
      </c>
      <c r="Y377">
        <v>0</v>
      </c>
      <c r="Z377">
        <v>1</v>
      </c>
    </row>
    <row r="378" spans="1:26" x14ac:dyDescent="0.25">
      <c r="A378">
        <v>12</v>
      </c>
      <c r="B378">
        <v>4</v>
      </c>
      <c r="C378">
        <v>1</v>
      </c>
      <c r="D378">
        <v>787</v>
      </c>
      <c r="E378">
        <v>2</v>
      </c>
      <c r="F378">
        <v>0</v>
      </c>
      <c r="G378">
        <v>1</v>
      </c>
      <c r="H378">
        <v>0</v>
      </c>
      <c r="I378">
        <v>0</v>
      </c>
      <c r="J378">
        <v>0</v>
      </c>
      <c r="K378">
        <v>0</v>
      </c>
      <c r="L378">
        <v>1</v>
      </c>
      <c r="M378">
        <v>1</v>
      </c>
      <c r="N378">
        <v>1</v>
      </c>
      <c r="O378">
        <v>0</v>
      </c>
      <c r="P378">
        <v>0</v>
      </c>
      <c r="Q378">
        <v>0</v>
      </c>
      <c r="R378">
        <v>0</v>
      </c>
      <c r="S378">
        <v>1</v>
      </c>
      <c r="T378">
        <v>0</v>
      </c>
      <c r="U378">
        <v>1</v>
      </c>
      <c r="V378">
        <v>0</v>
      </c>
      <c r="W378">
        <v>0</v>
      </c>
      <c r="X378">
        <v>0</v>
      </c>
      <c r="Y378">
        <v>0</v>
      </c>
      <c r="Z378">
        <v>0</v>
      </c>
    </row>
    <row r="379" spans="1:26" x14ac:dyDescent="0.25">
      <c r="A379">
        <v>6</v>
      </c>
      <c r="B379">
        <v>4</v>
      </c>
      <c r="C379">
        <v>1</v>
      </c>
      <c r="D379">
        <v>2916</v>
      </c>
      <c r="E379">
        <v>0</v>
      </c>
      <c r="F379">
        <v>0</v>
      </c>
      <c r="G379">
        <v>0</v>
      </c>
      <c r="H379">
        <v>0</v>
      </c>
      <c r="I379">
        <v>1</v>
      </c>
      <c r="J379">
        <v>0</v>
      </c>
      <c r="K379">
        <v>0</v>
      </c>
      <c r="L379">
        <v>1</v>
      </c>
      <c r="M379">
        <v>0</v>
      </c>
      <c r="N379">
        <v>0</v>
      </c>
      <c r="O379">
        <v>1</v>
      </c>
      <c r="P379">
        <v>0</v>
      </c>
      <c r="Q379">
        <v>0</v>
      </c>
      <c r="R379">
        <v>0</v>
      </c>
      <c r="S379">
        <v>1</v>
      </c>
      <c r="T379">
        <v>0</v>
      </c>
      <c r="U379">
        <v>0</v>
      </c>
      <c r="V379">
        <v>1</v>
      </c>
      <c r="W379">
        <v>0</v>
      </c>
      <c r="X379">
        <v>0</v>
      </c>
      <c r="Y379">
        <v>0</v>
      </c>
      <c r="Z379">
        <v>0</v>
      </c>
    </row>
    <row r="380" spans="1:26" x14ac:dyDescent="0.25">
      <c r="A380">
        <v>27</v>
      </c>
      <c r="B380">
        <v>11</v>
      </c>
      <c r="C380">
        <v>0</v>
      </c>
      <c r="D380">
        <v>2884</v>
      </c>
      <c r="E380">
        <v>2</v>
      </c>
      <c r="F380">
        <v>0</v>
      </c>
      <c r="G380">
        <v>0</v>
      </c>
      <c r="H380">
        <v>0</v>
      </c>
      <c r="I380">
        <v>1</v>
      </c>
      <c r="J380">
        <v>0</v>
      </c>
      <c r="K380">
        <v>0</v>
      </c>
      <c r="L380">
        <v>1</v>
      </c>
      <c r="M380">
        <v>1</v>
      </c>
      <c r="N380">
        <v>0</v>
      </c>
      <c r="O380">
        <v>1</v>
      </c>
      <c r="P380">
        <v>0</v>
      </c>
      <c r="Q380">
        <v>0</v>
      </c>
      <c r="R380">
        <v>0</v>
      </c>
      <c r="S380">
        <v>1</v>
      </c>
      <c r="T380">
        <v>0</v>
      </c>
      <c r="U380">
        <v>1</v>
      </c>
      <c r="V380">
        <v>0</v>
      </c>
      <c r="W380">
        <v>0</v>
      </c>
      <c r="X380">
        <v>0</v>
      </c>
      <c r="Y380">
        <v>0</v>
      </c>
      <c r="Z380">
        <v>0</v>
      </c>
    </row>
    <row r="381" spans="1:26" x14ac:dyDescent="0.25">
      <c r="A381">
        <v>9</v>
      </c>
      <c r="B381">
        <v>8</v>
      </c>
      <c r="C381">
        <v>1</v>
      </c>
      <c r="D381">
        <v>716</v>
      </c>
      <c r="E381">
        <v>4</v>
      </c>
      <c r="F381">
        <v>1</v>
      </c>
      <c r="G381">
        <v>0</v>
      </c>
      <c r="H381">
        <v>0</v>
      </c>
      <c r="I381">
        <v>0</v>
      </c>
      <c r="J381">
        <v>0</v>
      </c>
      <c r="K381">
        <v>1</v>
      </c>
      <c r="L381">
        <v>0</v>
      </c>
      <c r="M381">
        <v>1</v>
      </c>
      <c r="N381">
        <v>1</v>
      </c>
      <c r="O381">
        <v>0</v>
      </c>
      <c r="P381">
        <v>0</v>
      </c>
      <c r="Q381">
        <v>0</v>
      </c>
      <c r="R381">
        <v>0</v>
      </c>
      <c r="S381">
        <v>1</v>
      </c>
      <c r="T381">
        <v>0</v>
      </c>
      <c r="U381">
        <v>0</v>
      </c>
      <c r="V381">
        <v>0</v>
      </c>
      <c r="W381">
        <v>1</v>
      </c>
      <c r="X381">
        <v>0</v>
      </c>
      <c r="Y381">
        <v>0</v>
      </c>
      <c r="Z381">
        <v>0</v>
      </c>
    </row>
    <row r="382" spans="1:26" x14ac:dyDescent="0.25">
      <c r="A382">
        <v>19</v>
      </c>
      <c r="B382">
        <v>7</v>
      </c>
      <c r="C382">
        <v>1</v>
      </c>
      <c r="D382">
        <v>4027</v>
      </c>
      <c r="E382">
        <v>5</v>
      </c>
      <c r="F382">
        <v>0</v>
      </c>
      <c r="G382">
        <v>0</v>
      </c>
      <c r="H382">
        <v>1</v>
      </c>
      <c r="I382">
        <v>0</v>
      </c>
      <c r="J382">
        <v>0</v>
      </c>
      <c r="K382">
        <v>0</v>
      </c>
      <c r="L382">
        <v>1</v>
      </c>
      <c r="M382">
        <v>0</v>
      </c>
      <c r="N382">
        <v>0</v>
      </c>
      <c r="O382">
        <v>0</v>
      </c>
      <c r="P382">
        <v>1</v>
      </c>
      <c r="Q382">
        <v>0</v>
      </c>
      <c r="R382">
        <v>0</v>
      </c>
      <c r="S382">
        <v>1</v>
      </c>
      <c r="T382">
        <v>0</v>
      </c>
      <c r="U382">
        <v>0</v>
      </c>
      <c r="V382">
        <v>0</v>
      </c>
      <c r="W382">
        <v>0</v>
      </c>
      <c r="X382">
        <v>0</v>
      </c>
      <c r="Y382">
        <v>0</v>
      </c>
      <c r="Z382">
        <v>1</v>
      </c>
    </row>
    <row r="383" spans="1:26" x14ac:dyDescent="0.25">
      <c r="A383">
        <v>9</v>
      </c>
      <c r="B383">
        <v>6</v>
      </c>
      <c r="C383">
        <v>0</v>
      </c>
      <c r="D383">
        <v>826</v>
      </c>
      <c r="E383">
        <v>9</v>
      </c>
      <c r="F383">
        <v>1</v>
      </c>
      <c r="G383">
        <v>0</v>
      </c>
      <c r="H383">
        <v>0</v>
      </c>
      <c r="I383">
        <v>0</v>
      </c>
      <c r="J383">
        <v>0</v>
      </c>
      <c r="K383">
        <v>1</v>
      </c>
      <c r="L383">
        <v>0</v>
      </c>
      <c r="M383">
        <v>0</v>
      </c>
      <c r="N383">
        <v>0</v>
      </c>
      <c r="O383">
        <v>1</v>
      </c>
      <c r="P383">
        <v>0</v>
      </c>
      <c r="Q383">
        <v>0</v>
      </c>
      <c r="R383">
        <v>0</v>
      </c>
      <c r="S383">
        <v>1</v>
      </c>
      <c r="T383">
        <v>0</v>
      </c>
      <c r="U383">
        <v>0</v>
      </c>
      <c r="V383">
        <v>0</v>
      </c>
      <c r="W383">
        <v>0</v>
      </c>
      <c r="X383">
        <v>0</v>
      </c>
      <c r="Y383">
        <v>0</v>
      </c>
      <c r="Z383">
        <v>1</v>
      </c>
    </row>
    <row r="384" spans="1:26" x14ac:dyDescent="0.25">
      <c r="A384">
        <v>26</v>
      </c>
      <c r="B384">
        <v>5</v>
      </c>
      <c r="C384">
        <v>0</v>
      </c>
      <c r="D384">
        <v>787</v>
      </c>
      <c r="E384">
        <v>1</v>
      </c>
      <c r="F384">
        <v>0</v>
      </c>
      <c r="G384">
        <v>0</v>
      </c>
      <c r="H384">
        <v>1</v>
      </c>
      <c r="I384">
        <v>0</v>
      </c>
      <c r="J384">
        <v>0</v>
      </c>
      <c r="K384">
        <v>1</v>
      </c>
      <c r="L384">
        <v>0</v>
      </c>
      <c r="M384">
        <v>1</v>
      </c>
      <c r="N384">
        <v>1</v>
      </c>
      <c r="O384">
        <v>0</v>
      </c>
      <c r="P384">
        <v>0</v>
      </c>
      <c r="Q384">
        <v>1</v>
      </c>
      <c r="R384">
        <v>0</v>
      </c>
      <c r="S384">
        <v>0</v>
      </c>
      <c r="T384">
        <v>0</v>
      </c>
      <c r="U384">
        <v>0</v>
      </c>
      <c r="V384">
        <v>0</v>
      </c>
      <c r="W384">
        <v>0</v>
      </c>
      <c r="X384">
        <v>1</v>
      </c>
      <c r="Y384">
        <v>0</v>
      </c>
      <c r="Z384">
        <v>0</v>
      </c>
    </row>
    <row r="385" spans="1:26" x14ac:dyDescent="0.25">
      <c r="A385">
        <v>19</v>
      </c>
      <c r="B385">
        <v>5</v>
      </c>
      <c r="C385">
        <v>1</v>
      </c>
      <c r="D385">
        <v>2700</v>
      </c>
      <c r="E385">
        <v>3</v>
      </c>
      <c r="F385">
        <v>0</v>
      </c>
      <c r="G385">
        <v>0</v>
      </c>
      <c r="H385">
        <v>1</v>
      </c>
      <c r="I385">
        <v>0</v>
      </c>
      <c r="J385">
        <v>0</v>
      </c>
      <c r="K385">
        <v>0</v>
      </c>
      <c r="L385">
        <v>1</v>
      </c>
      <c r="M385">
        <v>1</v>
      </c>
      <c r="N385">
        <v>0</v>
      </c>
      <c r="O385">
        <v>0</v>
      </c>
      <c r="P385">
        <v>1</v>
      </c>
      <c r="Q385">
        <v>0</v>
      </c>
      <c r="R385">
        <v>1</v>
      </c>
      <c r="S385">
        <v>0</v>
      </c>
      <c r="T385">
        <v>0</v>
      </c>
      <c r="U385">
        <v>1</v>
      </c>
      <c r="V385">
        <v>0</v>
      </c>
      <c r="W385">
        <v>0</v>
      </c>
      <c r="X385">
        <v>0</v>
      </c>
      <c r="Y385">
        <v>0</v>
      </c>
      <c r="Z385">
        <v>0</v>
      </c>
    </row>
    <row r="386" spans="1:26" x14ac:dyDescent="0.25">
      <c r="A386">
        <v>7</v>
      </c>
      <c r="B386">
        <v>5</v>
      </c>
      <c r="C386">
        <v>0</v>
      </c>
      <c r="D386">
        <v>2034</v>
      </c>
      <c r="E386">
        <v>7</v>
      </c>
      <c r="F386">
        <v>0</v>
      </c>
      <c r="G386">
        <v>0</v>
      </c>
      <c r="H386">
        <v>1</v>
      </c>
      <c r="I386">
        <v>0</v>
      </c>
      <c r="J386">
        <v>0</v>
      </c>
      <c r="K386">
        <v>1</v>
      </c>
      <c r="L386">
        <v>0</v>
      </c>
      <c r="M386">
        <v>0</v>
      </c>
      <c r="N386">
        <v>0</v>
      </c>
      <c r="O386">
        <v>0</v>
      </c>
      <c r="P386">
        <v>1</v>
      </c>
      <c r="Q386">
        <v>0</v>
      </c>
      <c r="R386">
        <v>1</v>
      </c>
      <c r="S386">
        <v>0</v>
      </c>
      <c r="T386">
        <v>0</v>
      </c>
      <c r="U386">
        <v>1</v>
      </c>
      <c r="V386">
        <v>0</v>
      </c>
      <c r="W386">
        <v>0</v>
      </c>
      <c r="X386">
        <v>0</v>
      </c>
      <c r="Y386">
        <v>0</v>
      </c>
      <c r="Z386">
        <v>0</v>
      </c>
    </row>
    <row r="387" spans="1:26" x14ac:dyDescent="0.25">
      <c r="A387">
        <v>6</v>
      </c>
      <c r="B387">
        <v>5</v>
      </c>
      <c r="C387">
        <v>0</v>
      </c>
      <c r="D387">
        <v>2884</v>
      </c>
      <c r="E387">
        <v>2</v>
      </c>
      <c r="F387">
        <v>0</v>
      </c>
      <c r="G387">
        <v>1</v>
      </c>
      <c r="H387">
        <v>0</v>
      </c>
      <c r="I387">
        <v>0</v>
      </c>
      <c r="J387">
        <v>0</v>
      </c>
      <c r="K387">
        <v>0</v>
      </c>
      <c r="L387">
        <v>1</v>
      </c>
      <c r="M387">
        <v>1</v>
      </c>
      <c r="N387">
        <v>0</v>
      </c>
      <c r="O387">
        <v>1</v>
      </c>
      <c r="P387">
        <v>0</v>
      </c>
      <c r="Q387">
        <v>0</v>
      </c>
      <c r="R387">
        <v>0</v>
      </c>
      <c r="S387">
        <v>1</v>
      </c>
      <c r="T387">
        <v>0</v>
      </c>
      <c r="U387">
        <v>0</v>
      </c>
      <c r="V387">
        <v>0</v>
      </c>
      <c r="W387">
        <v>0</v>
      </c>
      <c r="X387">
        <v>0</v>
      </c>
      <c r="Y387">
        <v>1</v>
      </c>
      <c r="Z387">
        <v>0</v>
      </c>
    </row>
    <row r="388" spans="1:26" x14ac:dyDescent="0.25">
      <c r="A388">
        <v>24</v>
      </c>
      <c r="B388">
        <v>3</v>
      </c>
      <c r="C388">
        <v>1</v>
      </c>
      <c r="D388">
        <v>2916</v>
      </c>
      <c r="E388">
        <v>0</v>
      </c>
      <c r="F388">
        <v>0</v>
      </c>
      <c r="G388">
        <v>0</v>
      </c>
      <c r="H388">
        <v>0</v>
      </c>
      <c r="I388">
        <v>1</v>
      </c>
      <c r="J388">
        <v>0</v>
      </c>
      <c r="K388">
        <v>0</v>
      </c>
      <c r="L388">
        <v>1</v>
      </c>
      <c r="M388">
        <v>0</v>
      </c>
      <c r="N388">
        <v>0</v>
      </c>
      <c r="O388">
        <v>1</v>
      </c>
      <c r="P388">
        <v>0</v>
      </c>
      <c r="Q388">
        <v>0</v>
      </c>
      <c r="R388">
        <v>0</v>
      </c>
      <c r="S388">
        <v>1</v>
      </c>
      <c r="T388">
        <v>0</v>
      </c>
      <c r="U388">
        <v>0</v>
      </c>
      <c r="V388">
        <v>0</v>
      </c>
      <c r="W388">
        <v>1</v>
      </c>
      <c r="X388">
        <v>0</v>
      </c>
      <c r="Y388">
        <v>0</v>
      </c>
      <c r="Z388">
        <v>0</v>
      </c>
    </row>
    <row r="389" spans="1:26" x14ac:dyDescent="0.25">
      <c r="A389">
        <v>6</v>
      </c>
      <c r="B389">
        <v>3</v>
      </c>
      <c r="C389">
        <v>1</v>
      </c>
      <c r="D389">
        <v>732</v>
      </c>
      <c r="E389">
        <v>0</v>
      </c>
      <c r="F389">
        <v>0</v>
      </c>
      <c r="G389">
        <v>0</v>
      </c>
      <c r="H389">
        <v>0</v>
      </c>
      <c r="I389">
        <v>1</v>
      </c>
      <c r="J389">
        <v>1</v>
      </c>
      <c r="K389">
        <v>0</v>
      </c>
      <c r="L389">
        <v>0</v>
      </c>
      <c r="M389">
        <v>0</v>
      </c>
      <c r="N389">
        <v>1</v>
      </c>
      <c r="O389">
        <v>0</v>
      </c>
      <c r="P389">
        <v>0</v>
      </c>
      <c r="Q389">
        <v>0</v>
      </c>
      <c r="R389">
        <v>0</v>
      </c>
      <c r="S389">
        <v>1</v>
      </c>
      <c r="T389">
        <v>0</v>
      </c>
      <c r="U389">
        <v>0</v>
      </c>
      <c r="V389">
        <v>0</v>
      </c>
      <c r="W389">
        <v>0</v>
      </c>
      <c r="X389">
        <v>0</v>
      </c>
      <c r="Y389">
        <v>1</v>
      </c>
      <c r="Z389">
        <v>0</v>
      </c>
    </row>
    <row r="390" spans="1:26" x14ac:dyDescent="0.25">
      <c r="A390">
        <v>4</v>
      </c>
      <c r="B390">
        <v>3</v>
      </c>
      <c r="C390">
        <v>1</v>
      </c>
      <c r="D390">
        <v>2034</v>
      </c>
      <c r="E390">
        <v>3</v>
      </c>
      <c r="F390">
        <v>0</v>
      </c>
      <c r="G390">
        <v>1</v>
      </c>
      <c r="H390">
        <v>0</v>
      </c>
      <c r="I390">
        <v>0</v>
      </c>
      <c r="J390">
        <v>1</v>
      </c>
      <c r="K390">
        <v>0</v>
      </c>
      <c r="L390">
        <v>0</v>
      </c>
      <c r="M390">
        <v>0</v>
      </c>
      <c r="N390">
        <v>0</v>
      </c>
      <c r="O390">
        <v>0</v>
      </c>
      <c r="P390">
        <v>1</v>
      </c>
      <c r="Q390">
        <v>0</v>
      </c>
      <c r="R390">
        <v>0</v>
      </c>
      <c r="S390">
        <v>1</v>
      </c>
      <c r="T390">
        <v>0</v>
      </c>
      <c r="U390">
        <v>0</v>
      </c>
      <c r="V390">
        <v>0</v>
      </c>
      <c r="W390">
        <v>0</v>
      </c>
      <c r="X390">
        <v>1</v>
      </c>
      <c r="Y390">
        <v>0</v>
      </c>
      <c r="Z390">
        <v>0</v>
      </c>
    </row>
    <row r="391" spans="1:26" x14ac:dyDescent="0.25">
      <c r="A391">
        <v>11</v>
      </c>
      <c r="B391">
        <v>0</v>
      </c>
      <c r="C391">
        <v>1</v>
      </c>
      <c r="D391">
        <v>732</v>
      </c>
      <c r="E391">
        <v>0</v>
      </c>
      <c r="F391">
        <v>0</v>
      </c>
      <c r="G391">
        <v>1</v>
      </c>
      <c r="H391">
        <v>0</v>
      </c>
      <c r="I391">
        <v>0</v>
      </c>
      <c r="J391">
        <v>0</v>
      </c>
      <c r="K391">
        <v>1</v>
      </c>
      <c r="L391">
        <v>0</v>
      </c>
      <c r="M391">
        <v>0</v>
      </c>
      <c r="N391">
        <v>1</v>
      </c>
      <c r="O391">
        <v>0</v>
      </c>
      <c r="P391">
        <v>0</v>
      </c>
      <c r="Q391">
        <v>1</v>
      </c>
      <c r="R391">
        <v>0</v>
      </c>
      <c r="S391">
        <v>0</v>
      </c>
      <c r="T391">
        <v>0</v>
      </c>
      <c r="U391">
        <v>0</v>
      </c>
      <c r="V391">
        <v>0</v>
      </c>
      <c r="W391">
        <v>0</v>
      </c>
      <c r="X391">
        <v>1</v>
      </c>
      <c r="Y391">
        <v>0</v>
      </c>
      <c r="Z391">
        <v>0</v>
      </c>
    </row>
    <row r="392" spans="1:26" x14ac:dyDescent="0.25">
      <c r="A392">
        <v>10</v>
      </c>
      <c r="B392">
        <v>0</v>
      </c>
      <c r="C392">
        <v>0</v>
      </c>
      <c r="D392">
        <v>2884</v>
      </c>
      <c r="E392">
        <v>3</v>
      </c>
      <c r="F392">
        <v>0</v>
      </c>
      <c r="G392">
        <v>0</v>
      </c>
      <c r="H392">
        <v>1</v>
      </c>
      <c r="I392">
        <v>0</v>
      </c>
      <c r="J392">
        <v>1</v>
      </c>
      <c r="K392">
        <v>0</v>
      </c>
      <c r="L392">
        <v>0</v>
      </c>
      <c r="M392">
        <v>1</v>
      </c>
      <c r="N392">
        <v>0</v>
      </c>
      <c r="O392">
        <v>1</v>
      </c>
      <c r="P392">
        <v>0</v>
      </c>
      <c r="Q392">
        <v>0</v>
      </c>
      <c r="R392">
        <v>1</v>
      </c>
      <c r="S392">
        <v>0</v>
      </c>
      <c r="T392">
        <v>0</v>
      </c>
      <c r="U392">
        <v>0</v>
      </c>
      <c r="V392">
        <v>0</v>
      </c>
      <c r="W392">
        <v>1</v>
      </c>
      <c r="X392">
        <v>0</v>
      </c>
      <c r="Y392">
        <v>0</v>
      </c>
      <c r="Z392">
        <v>0</v>
      </c>
    </row>
    <row r="393" spans="1:26" x14ac:dyDescent="0.25">
      <c r="A393">
        <v>5</v>
      </c>
      <c r="B393">
        <v>0</v>
      </c>
      <c r="C393">
        <v>1</v>
      </c>
      <c r="D393">
        <v>3933</v>
      </c>
      <c r="E393">
        <v>0</v>
      </c>
      <c r="F393">
        <v>0</v>
      </c>
      <c r="G393">
        <v>1</v>
      </c>
      <c r="H393">
        <v>0</v>
      </c>
      <c r="I393">
        <v>0</v>
      </c>
      <c r="J393">
        <v>0</v>
      </c>
      <c r="K393">
        <v>1</v>
      </c>
      <c r="L393">
        <v>0</v>
      </c>
      <c r="M393">
        <v>0</v>
      </c>
      <c r="N393">
        <v>0</v>
      </c>
      <c r="O393">
        <v>0</v>
      </c>
      <c r="P393">
        <v>1</v>
      </c>
      <c r="Q393">
        <v>0</v>
      </c>
      <c r="R393">
        <v>1</v>
      </c>
      <c r="S393">
        <v>0</v>
      </c>
      <c r="T393">
        <v>0</v>
      </c>
      <c r="U393">
        <v>0</v>
      </c>
      <c r="V393">
        <v>0</v>
      </c>
      <c r="W393">
        <v>0</v>
      </c>
      <c r="X393">
        <v>0</v>
      </c>
      <c r="Y393">
        <v>0</v>
      </c>
      <c r="Z393">
        <v>1</v>
      </c>
    </row>
    <row r="394" spans="1:26" x14ac:dyDescent="0.25">
      <c r="A394">
        <v>14</v>
      </c>
      <c r="B394">
        <v>8</v>
      </c>
      <c r="C394">
        <v>1</v>
      </c>
      <c r="D394">
        <v>3348</v>
      </c>
      <c r="E394">
        <v>1</v>
      </c>
      <c r="F394">
        <v>0</v>
      </c>
      <c r="G394">
        <v>1</v>
      </c>
      <c r="H394">
        <v>0</v>
      </c>
      <c r="I394">
        <v>0</v>
      </c>
      <c r="J394">
        <v>0</v>
      </c>
      <c r="K394">
        <v>0</v>
      </c>
      <c r="L394">
        <v>1</v>
      </c>
      <c r="M394">
        <v>0</v>
      </c>
      <c r="N394">
        <v>0</v>
      </c>
      <c r="O394">
        <v>0</v>
      </c>
      <c r="P394">
        <v>1</v>
      </c>
      <c r="Q394">
        <v>0</v>
      </c>
      <c r="R394">
        <v>0</v>
      </c>
      <c r="S394">
        <v>1</v>
      </c>
      <c r="T394">
        <v>0</v>
      </c>
      <c r="U394">
        <v>1</v>
      </c>
      <c r="V394">
        <v>0</v>
      </c>
      <c r="W394">
        <v>0</v>
      </c>
      <c r="X394">
        <v>0</v>
      </c>
      <c r="Y394">
        <v>0</v>
      </c>
      <c r="Z394">
        <v>0</v>
      </c>
    </row>
    <row r="395" spans="1:26" x14ac:dyDescent="0.25">
      <c r="A395">
        <v>20</v>
      </c>
      <c r="B395">
        <v>7</v>
      </c>
      <c r="C395">
        <v>0</v>
      </c>
      <c r="D395">
        <v>3981</v>
      </c>
      <c r="E395">
        <v>6</v>
      </c>
      <c r="F395">
        <v>0</v>
      </c>
      <c r="G395">
        <v>1</v>
      </c>
      <c r="H395">
        <v>0</v>
      </c>
      <c r="I395">
        <v>0</v>
      </c>
      <c r="J395">
        <v>0</v>
      </c>
      <c r="K395">
        <v>0</v>
      </c>
      <c r="L395">
        <v>1</v>
      </c>
      <c r="M395">
        <v>0</v>
      </c>
      <c r="N395">
        <v>1</v>
      </c>
      <c r="O395">
        <v>0</v>
      </c>
      <c r="P395">
        <v>0</v>
      </c>
      <c r="Q395">
        <v>0</v>
      </c>
      <c r="R395">
        <v>1</v>
      </c>
      <c r="S395">
        <v>0</v>
      </c>
      <c r="T395">
        <v>0</v>
      </c>
      <c r="U395">
        <v>0</v>
      </c>
      <c r="V395">
        <v>1</v>
      </c>
      <c r="W395">
        <v>0</v>
      </c>
      <c r="X395">
        <v>0</v>
      </c>
      <c r="Y395">
        <v>0</v>
      </c>
      <c r="Z395">
        <v>0</v>
      </c>
    </row>
    <row r="396" spans="1:26" x14ac:dyDescent="0.25">
      <c r="A396">
        <v>12</v>
      </c>
      <c r="B396">
        <v>7</v>
      </c>
      <c r="C396">
        <v>1</v>
      </c>
      <c r="D396">
        <v>2884</v>
      </c>
      <c r="E396">
        <v>5</v>
      </c>
      <c r="F396">
        <v>0</v>
      </c>
      <c r="G396">
        <v>0</v>
      </c>
      <c r="H396">
        <v>0</v>
      </c>
      <c r="I396">
        <v>1</v>
      </c>
      <c r="J396">
        <v>0</v>
      </c>
      <c r="K396">
        <v>1</v>
      </c>
      <c r="L396">
        <v>0</v>
      </c>
      <c r="M396">
        <v>1</v>
      </c>
      <c r="N396">
        <v>0</v>
      </c>
      <c r="O396">
        <v>1</v>
      </c>
      <c r="P396">
        <v>0</v>
      </c>
      <c r="Q396">
        <v>1</v>
      </c>
      <c r="R396">
        <v>0</v>
      </c>
      <c r="S396">
        <v>0</v>
      </c>
      <c r="T396">
        <v>0</v>
      </c>
      <c r="U396">
        <v>1</v>
      </c>
      <c r="V396">
        <v>0</v>
      </c>
      <c r="W396">
        <v>0</v>
      </c>
      <c r="X396">
        <v>0</v>
      </c>
      <c r="Y396">
        <v>0</v>
      </c>
      <c r="Z396">
        <v>0</v>
      </c>
    </row>
    <row r="397" spans="1:26" x14ac:dyDescent="0.25">
      <c r="A397">
        <v>9</v>
      </c>
      <c r="B397">
        <v>7</v>
      </c>
      <c r="C397">
        <v>1</v>
      </c>
      <c r="D397">
        <v>315</v>
      </c>
      <c r="E397">
        <v>2</v>
      </c>
      <c r="F397">
        <v>0</v>
      </c>
      <c r="G397">
        <v>0</v>
      </c>
      <c r="H397">
        <v>1</v>
      </c>
      <c r="I397">
        <v>0</v>
      </c>
      <c r="J397">
        <v>0</v>
      </c>
      <c r="K397">
        <v>0</v>
      </c>
      <c r="L397">
        <v>1</v>
      </c>
      <c r="M397">
        <v>0</v>
      </c>
      <c r="N397">
        <v>1</v>
      </c>
      <c r="O397">
        <v>0</v>
      </c>
      <c r="P397">
        <v>0</v>
      </c>
      <c r="Q397">
        <v>0</v>
      </c>
      <c r="R397">
        <v>0</v>
      </c>
      <c r="S397">
        <v>1</v>
      </c>
      <c r="T397">
        <v>0</v>
      </c>
      <c r="U397">
        <v>0</v>
      </c>
      <c r="V397">
        <v>0</v>
      </c>
      <c r="W397">
        <v>0</v>
      </c>
      <c r="X397">
        <v>0</v>
      </c>
      <c r="Y397">
        <v>1</v>
      </c>
      <c r="Z397">
        <v>0</v>
      </c>
    </row>
    <row r="398" spans="1:26" x14ac:dyDescent="0.25">
      <c r="A398">
        <v>10</v>
      </c>
      <c r="B398">
        <v>5</v>
      </c>
      <c r="C398">
        <v>0</v>
      </c>
      <c r="D398">
        <v>3003</v>
      </c>
      <c r="E398">
        <v>1</v>
      </c>
      <c r="F398">
        <v>0</v>
      </c>
      <c r="G398">
        <v>1</v>
      </c>
      <c r="H398">
        <v>0</v>
      </c>
      <c r="I398">
        <v>0</v>
      </c>
      <c r="J398">
        <v>0</v>
      </c>
      <c r="K398">
        <v>1</v>
      </c>
      <c r="L398">
        <v>0</v>
      </c>
      <c r="M398">
        <v>0</v>
      </c>
      <c r="N398">
        <v>0</v>
      </c>
      <c r="O398">
        <v>1</v>
      </c>
      <c r="P398">
        <v>0</v>
      </c>
      <c r="Q398">
        <v>0</v>
      </c>
      <c r="R398">
        <v>1</v>
      </c>
      <c r="S398">
        <v>0</v>
      </c>
      <c r="T398">
        <v>1</v>
      </c>
      <c r="U398">
        <v>0</v>
      </c>
      <c r="V398">
        <v>0</v>
      </c>
      <c r="W398">
        <v>0</v>
      </c>
      <c r="X398">
        <v>0</v>
      </c>
      <c r="Y398">
        <v>0</v>
      </c>
      <c r="Z398">
        <v>0</v>
      </c>
    </row>
    <row r="399" spans="1:26" x14ac:dyDescent="0.25">
      <c r="A399">
        <v>9</v>
      </c>
      <c r="B399">
        <v>5</v>
      </c>
      <c r="C399">
        <v>1</v>
      </c>
      <c r="D399">
        <v>2916</v>
      </c>
      <c r="E399">
        <v>6</v>
      </c>
      <c r="F399">
        <v>0</v>
      </c>
      <c r="G399">
        <v>0</v>
      </c>
      <c r="H399">
        <v>1</v>
      </c>
      <c r="I399">
        <v>0</v>
      </c>
      <c r="J399">
        <v>1</v>
      </c>
      <c r="K399">
        <v>0</v>
      </c>
      <c r="L399">
        <v>0</v>
      </c>
      <c r="M399">
        <v>0</v>
      </c>
      <c r="N399">
        <v>0</v>
      </c>
      <c r="O399">
        <v>1</v>
      </c>
      <c r="P399">
        <v>0</v>
      </c>
      <c r="Q399">
        <v>0</v>
      </c>
      <c r="R399">
        <v>0</v>
      </c>
      <c r="S399">
        <v>1</v>
      </c>
      <c r="T399">
        <v>0</v>
      </c>
      <c r="U399">
        <v>0</v>
      </c>
      <c r="V399">
        <v>0</v>
      </c>
      <c r="W399">
        <v>0</v>
      </c>
      <c r="X399">
        <v>1</v>
      </c>
      <c r="Y399">
        <v>0</v>
      </c>
      <c r="Z399">
        <v>0</v>
      </c>
    </row>
    <row r="400" spans="1:26" x14ac:dyDescent="0.25">
      <c r="A400">
        <v>5</v>
      </c>
      <c r="B400">
        <v>5</v>
      </c>
      <c r="C400">
        <v>1</v>
      </c>
      <c r="D400">
        <v>3348</v>
      </c>
      <c r="E400">
        <v>3</v>
      </c>
      <c r="F400">
        <v>0</v>
      </c>
      <c r="G400">
        <v>0</v>
      </c>
      <c r="H400">
        <v>1</v>
      </c>
      <c r="I400">
        <v>0</v>
      </c>
      <c r="J400">
        <v>0</v>
      </c>
      <c r="K400">
        <v>0</v>
      </c>
      <c r="L400">
        <v>1</v>
      </c>
      <c r="M400">
        <v>0</v>
      </c>
      <c r="N400">
        <v>0</v>
      </c>
      <c r="O400">
        <v>0</v>
      </c>
      <c r="P400">
        <v>1</v>
      </c>
      <c r="Q400">
        <v>0</v>
      </c>
      <c r="R400">
        <v>0</v>
      </c>
      <c r="S400">
        <v>1</v>
      </c>
      <c r="T400">
        <v>0</v>
      </c>
      <c r="U400">
        <v>0</v>
      </c>
      <c r="V400">
        <v>0</v>
      </c>
      <c r="W400">
        <v>0</v>
      </c>
      <c r="X400">
        <v>1</v>
      </c>
      <c r="Y400">
        <v>0</v>
      </c>
      <c r="Z400">
        <v>0</v>
      </c>
    </row>
    <row r="401" spans="1:26" x14ac:dyDescent="0.25">
      <c r="A401">
        <v>17</v>
      </c>
      <c r="B401">
        <v>4</v>
      </c>
      <c r="C401">
        <v>0</v>
      </c>
      <c r="D401">
        <v>315</v>
      </c>
      <c r="E401">
        <v>0</v>
      </c>
      <c r="F401">
        <v>0</v>
      </c>
      <c r="G401">
        <v>1</v>
      </c>
      <c r="H401">
        <v>0</v>
      </c>
      <c r="I401">
        <v>0</v>
      </c>
      <c r="J401">
        <v>0</v>
      </c>
      <c r="K401">
        <v>1</v>
      </c>
      <c r="L401">
        <v>0</v>
      </c>
      <c r="M401">
        <v>0</v>
      </c>
      <c r="N401">
        <v>1</v>
      </c>
      <c r="O401">
        <v>0</v>
      </c>
      <c r="P401">
        <v>0</v>
      </c>
      <c r="Q401">
        <v>0</v>
      </c>
      <c r="R401">
        <v>0</v>
      </c>
      <c r="S401">
        <v>1</v>
      </c>
      <c r="T401">
        <v>0</v>
      </c>
      <c r="U401">
        <v>0</v>
      </c>
      <c r="V401">
        <v>0</v>
      </c>
      <c r="W401">
        <v>1</v>
      </c>
      <c r="X401">
        <v>0</v>
      </c>
      <c r="Y401">
        <v>0</v>
      </c>
      <c r="Z401">
        <v>0</v>
      </c>
    </row>
    <row r="402" spans="1:26" x14ac:dyDescent="0.25">
      <c r="A402">
        <v>13</v>
      </c>
      <c r="B402">
        <v>4</v>
      </c>
      <c r="C402">
        <v>1</v>
      </c>
      <c r="D402">
        <v>716</v>
      </c>
      <c r="E402">
        <v>5</v>
      </c>
      <c r="F402">
        <v>1</v>
      </c>
      <c r="G402">
        <v>0</v>
      </c>
      <c r="H402">
        <v>0</v>
      </c>
      <c r="I402">
        <v>0</v>
      </c>
      <c r="J402">
        <v>1</v>
      </c>
      <c r="K402">
        <v>0</v>
      </c>
      <c r="L402">
        <v>0</v>
      </c>
      <c r="M402">
        <v>1</v>
      </c>
      <c r="N402">
        <v>1</v>
      </c>
      <c r="O402">
        <v>0</v>
      </c>
      <c r="P402">
        <v>0</v>
      </c>
      <c r="Q402">
        <v>0</v>
      </c>
      <c r="R402">
        <v>0</v>
      </c>
      <c r="S402">
        <v>1</v>
      </c>
      <c r="T402">
        <v>0</v>
      </c>
      <c r="U402">
        <v>0</v>
      </c>
      <c r="V402">
        <v>0</v>
      </c>
      <c r="W402">
        <v>0</v>
      </c>
      <c r="X402">
        <v>0</v>
      </c>
      <c r="Y402">
        <v>1</v>
      </c>
      <c r="Z402">
        <v>0</v>
      </c>
    </row>
    <row r="403" spans="1:26" x14ac:dyDescent="0.25">
      <c r="A403">
        <v>7</v>
      </c>
      <c r="B403">
        <v>4</v>
      </c>
      <c r="C403">
        <v>1</v>
      </c>
      <c r="D403">
        <v>1228</v>
      </c>
      <c r="E403">
        <v>1</v>
      </c>
      <c r="F403">
        <v>1</v>
      </c>
      <c r="G403">
        <v>0</v>
      </c>
      <c r="H403">
        <v>0</v>
      </c>
      <c r="I403">
        <v>0</v>
      </c>
      <c r="J403">
        <v>0</v>
      </c>
      <c r="K403">
        <v>0</v>
      </c>
      <c r="L403">
        <v>1</v>
      </c>
      <c r="M403">
        <v>0</v>
      </c>
      <c r="N403">
        <v>1</v>
      </c>
      <c r="O403">
        <v>0</v>
      </c>
      <c r="P403">
        <v>0</v>
      </c>
      <c r="Q403">
        <v>0</v>
      </c>
      <c r="R403">
        <v>0</v>
      </c>
      <c r="S403">
        <v>1</v>
      </c>
      <c r="T403">
        <v>1</v>
      </c>
      <c r="U403">
        <v>0</v>
      </c>
      <c r="V403">
        <v>0</v>
      </c>
      <c r="W403">
        <v>0</v>
      </c>
      <c r="X403">
        <v>0</v>
      </c>
      <c r="Y403">
        <v>0</v>
      </c>
      <c r="Z403">
        <v>0</v>
      </c>
    </row>
    <row r="404" spans="1:26" x14ac:dyDescent="0.25">
      <c r="A404">
        <v>6</v>
      </c>
      <c r="B404">
        <v>4</v>
      </c>
      <c r="C404">
        <v>1</v>
      </c>
      <c r="D404">
        <v>3025</v>
      </c>
      <c r="E404">
        <v>7</v>
      </c>
      <c r="F404">
        <v>1</v>
      </c>
      <c r="G404">
        <v>0</v>
      </c>
      <c r="H404">
        <v>0</v>
      </c>
      <c r="I404">
        <v>0</v>
      </c>
      <c r="J404">
        <v>0</v>
      </c>
      <c r="K404">
        <v>0</v>
      </c>
      <c r="L404">
        <v>1</v>
      </c>
      <c r="M404">
        <v>0</v>
      </c>
      <c r="N404">
        <v>0</v>
      </c>
      <c r="O404">
        <v>0</v>
      </c>
      <c r="P404">
        <v>1</v>
      </c>
      <c r="Q404">
        <v>0</v>
      </c>
      <c r="R404">
        <v>0</v>
      </c>
      <c r="S404">
        <v>1</v>
      </c>
      <c r="T404">
        <v>0</v>
      </c>
      <c r="U404">
        <v>0</v>
      </c>
      <c r="V404">
        <v>0</v>
      </c>
      <c r="W404">
        <v>0</v>
      </c>
      <c r="X404">
        <v>1</v>
      </c>
      <c r="Y404">
        <v>0</v>
      </c>
      <c r="Z404">
        <v>0</v>
      </c>
    </row>
    <row r="405" spans="1:26" x14ac:dyDescent="0.25">
      <c r="A405">
        <v>15</v>
      </c>
      <c r="B405">
        <v>3</v>
      </c>
      <c r="C405">
        <v>0</v>
      </c>
      <c r="D405">
        <v>826</v>
      </c>
      <c r="E405">
        <v>7</v>
      </c>
      <c r="F405">
        <v>1</v>
      </c>
      <c r="G405">
        <v>0</v>
      </c>
      <c r="H405">
        <v>0</v>
      </c>
      <c r="I405">
        <v>0</v>
      </c>
      <c r="J405">
        <v>0</v>
      </c>
      <c r="K405">
        <v>1</v>
      </c>
      <c r="L405">
        <v>0</v>
      </c>
      <c r="M405">
        <v>0</v>
      </c>
      <c r="N405">
        <v>0</v>
      </c>
      <c r="O405">
        <v>1</v>
      </c>
      <c r="P405">
        <v>0</v>
      </c>
      <c r="Q405">
        <v>0</v>
      </c>
      <c r="R405">
        <v>0</v>
      </c>
      <c r="S405">
        <v>1</v>
      </c>
      <c r="T405">
        <v>0</v>
      </c>
      <c r="U405">
        <v>0</v>
      </c>
      <c r="V405">
        <v>0</v>
      </c>
      <c r="W405">
        <v>0</v>
      </c>
      <c r="X405">
        <v>0</v>
      </c>
      <c r="Y405">
        <v>1</v>
      </c>
      <c r="Z405">
        <v>0</v>
      </c>
    </row>
    <row r="406" spans="1:26" x14ac:dyDescent="0.25">
      <c r="A406">
        <v>9</v>
      </c>
      <c r="B406">
        <v>3</v>
      </c>
      <c r="C406">
        <v>1</v>
      </c>
      <c r="D406">
        <v>1228</v>
      </c>
      <c r="E406">
        <v>1</v>
      </c>
      <c r="F406">
        <v>0</v>
      </c>
      <c r="G406">
        <v>1</v>
      </c>
      <c r="H406">
        <v>0</v>
      </c>
      <c r="I406">
        <v>0</v>
      </c>
      <c r="J406">
        <v>1</v>
      </c>
      <c r="K406">
        <v>0</v>
      </c>
      <c r="L406">
        <v>0</v>
      </c>
      <c r="M406">
        <v>0</v>
      </c>
      <c r="N406">
        <v>1</v>
      </c>
      <c r="O406">
        <v>0</v>
      </c>
      <c r="P406">
        <v>0</v>
      </c>
      <c r="Q406">
        <v>0</v>
      </c>
      <c r="R406">
        <v>0</v>
      </c>
      <c r="S406">
        <v>1</v>
      </c>
      <c r="T406">
        <v>0</v>
      </c>
      <c r="U406">
        <v>1</v>
      </c>
      <c r="V406">
        <v>0</v>
      </c>
      <c r="W406">
        <v>0</v>
      </c>
      <c r="X406">
        <v>0</v>
      </c>
      <c r="Y406">
        <v>0</v>
      </c>
      <c r="Z406">
        <v>0</v>
      </c>
    </row>
    <row r="407" spans="1:26" x14ac:dyDescent="0.25">
      <c r="A407">
        <v>9</v>
      </c>
      <c r="B407">
        <v>3</v>
      </c>
      <c r="C407">
        <v>1</v>
      </c>
      <c r="D407">
        <v>2034</v>
      </c>
      <c r="E407">
        <v>1</v>
      </c>
      <c r="F407">
        <v>0</v>
      </c>
      <c r="G407">
        <v>1</v>
      </c>
      <c r="H407">
        <v>0</v>
      </c>
      <c r="I407">
        <v>0</v>
      </c>
      <c r="J407">
        <v>0</v>
      </c>
      <c r="K407">
        <v>1</v>
      </c>
      <c r="L407">
        <v>0</v>
      </c>
      <c r="M407">
        <v>0</v>
      </c>
      <c r="N407">
        <v>0</v>
      </c>
      <c r="O407">
        <v>0</v>
      </c>
      <c r="P407">
        <v>1</v>
      </c>
      <c r="Q407">
        <v>0</v>
      </c>
      <c r="R407">
        <v>1</v>
      </c>
      <c r="S407">
        <v>0</v>
      </c>
      <c r="T407">
        <v>0</v>
      </c>
      <c r="U407">
        <v>0</v>
      </c>
      <c r="V407">
        <v>0</v>
      </c>
      <c r="W407">
        <v>0</v>
      </c>
      <c r="X407">
        <v>1</v>
      </c>
      <c r="Y407">
        <v>0</v>
      </c>
      <c r="Z407">
        <v>0</v>
      </c>
    </row>
    <row r="408" spans="1:26" x14ac:dyDescent="0.25">
      <c r="A408">
        <v>7</v>
      </c>
      <c r="B408">
        <v>3</v>
      </c>
      <c r="C408">
        <v>0</v>
      </c>
      <c r="D408">
        <v>2884</v>
      </c>
      <c r="E408">
        <v>5</v>
      </c>
      <c r="F408">
        <v>0</v>
      </c>
      <c r="G408">
        <v>1</v>
      </c>
      <c r="H408">
        <v>0</v>
      </c>
      <c r="I408">
        <v>0</v>
      </c>
      <c r="J408">
        <v>0</v>
      </c>
      <c r="K408">
        <v>0</v>
      </c>
      <c r="L408">
        <v>1</v>
      </c>
      <c r="M408">
        <v>1</v>
      </c>
      <c r="N408">
        <v>0</v>
      </c>
      <c r="O408">
        <v>1</v>
      </c>
      <c r="P408">
        <v>0</v>
      </c>
      <c r="Q408">
        <v>0</v>
      </c>
      <c r="R408">
        <v>1</v>
      </c>
      <c r="S408">
        <v>0</v>
      </c>
      <c r="T408">
        <v>1</v>
      </c>
      <c r="U408">
        <v>0</v>
      </c>
      <c r="V408">
        <v>0</v>
      </c>
      <c r="W408">
        <v>0</v>
      </c>
      <c r="X408">
        <v>0</v>
      </c>
      <c r="Y408">
        <v>0</v>
      </c>
      <c r="Z408">
        <v>0</v>
      </c>
    </row>
    <row r="409" spans="1:26" x14ac:dyDescent="0.25">
      <c r="A409">
        <v>4</v>
      </c>
      <c r="B409">
        <v>3</v>
      </c>
      <c r="C409">
        <v>1</v>
      </c>
      <c r="D409">
        <v>3348</v>
      </c>
      <c r="E409">
        <v>3</v>
      </c>
      <c r="F409">
        <v>0</v>
      </c>
      <c r="G409">
        <v>0</v>
      </c>
      <c r="H409">
        <v>0</v>
      </c>
      <c r="I409">
        <v>1</v>
      </c>
      <c r="J409">
        <v>0</v>
      </c>
      <c r="K409">
        <v>0</v>
      </c>
      <c r="L409">
        <v>1</v>
      </c>
      <c r="M409">
        <v>0</v>
      </c>
      <c r="N409">
        <v>0</v>
      </c>
      <c r="O409">
        <v>0</v>
      </c>
      <c r="P409">
        <v>1</v>
      </c>
      <c r="Q409">
        <v>0</v>
      </c>
      <c r="R409">
        <v>0</v>
      </c>
      <c r="S409">
        <v>1</v>
      </c>
      <c r="T409">
        <v>0</v>
      </c>
      <c r="U409">
        <v>1</v>
      </c>
      <c r="V409">
        <v>0</v>
      </c>
      <c r="W409">
        <v>0</v>
      </c>
      <c r="X409">
        <v>0</v>
      </c>
      <c r="Y409">
        <v>0</v>
      </c>
      <c r="Z409">
        <v>0</v>
      </c>
    </row>
    <row r="410" spans="1:26" x14ac:dyDescent="0.25">
      <c r="A410">
        <v>2</v>
      </c>
      <c r="B410">
        <v>1</v>
      </c>
      <c r="C410">
        <v>0</v>
      </c>
      <c r="D410">
        <v>3773</v>
      </c>
      <c r="E410">
        <v>0</v>
      </c>
      <c r="F410">
        <v>0</v>
      </c>
      <c r="G410">
        <v>0</v>
      </c>
      <c r="H410">
        <v>1</v>
      </c>
      <c r="I410">
        <v>0</v>
      </c>
      <c r="J410">
        <v>0</v>
      </c>
      <c r="K410">
        <v>1</v>
      </c>
      <c r="L410">
        <v>0</v>
      </c>
      <c r="M410">
        <v>0</v>
      </c>
      <c r="N410">
        <v>1</v>
      </c>
      <c r="O410">
        <v>0</v>
      </c>
      <c r="P410">
        <v>0</v>
      </c>
      <c r="Q410">
        <v>0</v>
      </c>
      <c r="R410">
        <v>0</v>
      </c>
      <c r="S410">
        <v>1</v>
      </c>
      <c r="T410">
        <v>0</v>
      </c>
      <c r="U410">
        <v>0</v>
      </c>
      <c r="V410">
        <v>0</v>
      </c>
      <c r="W410">
        <v>0</v>
      </c>
      <c r="X410">
        <v>0</v>
      </c>
      <c r="Y410">
        <v>1</v>
      </c>
      <c r="Z410">
        <v>0</v>
      </c>
    </row>
    <row r="411" spans="1:26" x14ac:dyDescent="0.25">
      <c r="A411">
        <v>14</v>
      </c>
      <c r="B411">
        <v>0</v>
      </c>
      <c r="C411">
        <v>0</v>
      </c>
      <c r="D411">
        <v>188</v>
      </c>
      <c r="E411">
        <v>4</v>
      </c>
      <c r="F411">
        <v>0</v>
      </c>
      <c r="G411">
        <v>0</v>
      </c>
      <c r="H411">
        <v>1</v>
      </c>
      <c r="I411">
        <v>0</v>
      </c>
      <c r="J411">
        <v>0</v>
      </c>
      <c r="K411">
        <v>1</v>
      </c>
      <c r="L411">
        <v>0</v>
      </c>
      <c r="M411">
        <v>0</v>
      </c>
      <c r="N411">
        <v>0</v>
      </c>
      <c r="O411">
        <v>1</v>
      </c>
      <c r="P411">
        <v>0</v>
      </c>
      <c r="Q411">
        <v>0</v>
      </c>
      <c r="R411">
        <v>0</v>
      </c>
      <c r="S411">
        <v>1</v>
      </c>
      <c r="T411">
        <v>0</v>
      </c>
      <c r="U411">
        <v>0</v>
      </c>
      <c r="V411">
        <v>0</v>
      </c>
      <c r="W411">
        <v>0</v>
      </c>
      <c r="X411">
        <v>0</v>
      </c>
      <c r="Y411">
        <v>1</v>
      </c>
      <c r="Z411">
        <v>0</v>
      </c>
    </row>
    <row r="412" spans="1:26" x14ac:dyDescent="0.25">
      <c r="A412">
        <v>6</v>
      </c>
      <c r="B412">
        <v>0</v>
      </c>
      <c r="C412">
        <v>0</v>
      </c>
      <c r="D412">
        <v>3981</v>
      </c>
      <c r="E412">
        <v>1</v>
      </c>
      <c r="F412">
        <v>0</v>
      </c>
      <c r="G412">
        <v>0</v>
      </c>
      <c r="H412">
        <v>0</v>
      </c>
      <c r="I412">
        <v>1</v>
      </c>
      <c r="J412">
        <v>1</v>
      </c>
      <c r="K412">
        <v>0</v>
      </c>
      <c r="L412">
        <v>0</v>
      </c>
      <c r="M412">
        <v>0</v>
      </c>
      <c r="N412">
        <v>1</v>
      </c>
      <c r="O412">
        <v>0</v>
      </c>
      <c r="P412">
        <v>0</v>
      </c>
      <c r="Q412">
        <v>0</v>
      </c>
      <c r="R412">
        <v>1</v>
      </c>
      <c r="S412">
        <v>0</v>
      </c>
      <c r="T412">
        <v>0</v>
      </c>
      <c r="U412">
        <v>0</v>
      </c>
      <c r="V412">
        <v>0</v>
      </c>
      <c r="W412">
        <v>1</v>
      </c>
      <c r="X412">
        <v>0</v>
      </c>
      <c r="Y412">
        <v>0</v>
      </c>
      <c r="Z412">
        <v>0</v>
      </c>
    </row>
    <row r="413" spans="1:26" x14ac:dyDescent="0.25">
      <c r="A413">
        <v>4</v>
      </c>
      <c r="B413">
        <v>0</v>
      </c>
      <c r="C413">
        <v>1</v>
      </c>
      <c r="D413">
        <v>3025</v>
      </c>
      <c r="E413">
        <v>9</v>
      </c>
      <c r="F413">
        <v>1</v>
      </c>
      <c r="G413">
        <v>0</v>
      </c>
      <c r="H413">
        <v>0</v>
      </c>
      <c r="I413">
        <v>0</v>
      </c>
      <c r="J413">
        <v>0</v>
      </c>
      <c r="K413">
        <v>0</v>
      </c>
      <c r="L413">
        <v>1</v>
      </c>
      <c r="M413">
        <v>0</v>
      </c>
      <c r="N413">
        <v>0</v>
      </c>
      <c r="O413">
        <v>0</v>
      </c>
      <c r="P413">
        <v>1</v>
      </c>
      <c r="Q413">
        <v>0</v>
      </c>
      <c r="R413">
        <v>0</v>
      </c>
      <c r="S413">
        <v>1</v>
      </c>
      <c r="T413">
        <v>1</v>
      </c>
      <c r="U413">
        <v>0</v>
      </c>
      <c r="V413">
        <v>0</v>
      </c>
      <c r="W413">
        <v>0</v>
      </c>
      <c r="X413">
        <v>0</v>
      </c>
      <c r="Y413">
        <v>0</v>
      </c>
      <c r="Z413">
        <v>0</v>
      </c>
    </row>
    <row r="414" spans="1:26" x14ac:dyDescent="0.25">
      <c r="A414">
        <v>35</v>
      </c>
      <c r="B414">
        <v>12</v>
      </c>
      <c r="C414">
        <v>1</v>
      </c>
      <c r="D414">
        <v>2034</v>
      </c>
      <c r="E414">
        <v>2</v>
      </c>
      <c r="F414">
        <v>0</v>
      </c>
      <c r="G414">
        <v>0</v>
      </c>
      <c r="H414">
        <v>1</v>
      </c>
      <c r="I414">
        <v>0</v>
      </c>
      <c r="J414">
        <v>1</v>
      </c>
      <c r="K414">
        <v>0</v>
      </c>
      <c r="L414">
        <v>0</v>
      </c>
      <c r="M414">
        <v>0</v>
      </c>
      <c r="N414">
        <v>0</v>
      </c>
      <c r="O414">
        <v>0</v>
      </c>
      <c r="P414">
        <v>1</v>
      </c>
      <c r="Q414">
        <v>0</v>
      </c>
      <c r="R414">
        <v>0</v>
      </c>
      <c r="S414">
        <v>1</v>
      </c>
      <c r="T414">
        <v>1</v>
      </c>
      <c r="U414">
        <v>0</v>
      </c>
      <c r="V414">
        <v>0</v>
      </c>
      <c r="W414">
        <v>0</v>
      </c>
      <c r="X414">
        <v>0</v>
      </c>
      <c r="Y414">
        <v>0</v>
      </c>
      <c r="Z414">
        <v>0</v>
      </c>
    </row>
    <row r="415" spans="1:26" x14ac:dyDescent="0.25">
      <c r="A415">
        <v>15</v>
      </c>
      <c r="B415">
        <v>9</v>
      </c>
      <c r="C415">
        <v>1</v>
      </c>
      <c r="D415">
        <v>2700</v>
      </c>
      <c r="E415">
        <v>2</v>
      </c>
      <c r="F415">
        <v>0</v>
      </c>
      <c r="G415">
        <v>0</v>
      </c>
      <c r="H415">
        <v>0</v>
      </c>
      <c r="I415">
        <v>1</v>
      </c>
      <c r="J415">
        <v>1</v>
      </c>
      <c r="K415">
        <v>0</v>
      </c>
      <c r="L415">
        <v>0</v>
      </c>
      <c r="M415">
        <v>1</v>
      </c>
      <c r="N415">
        <v>0</v>
      </c>
      <c r="O415">
        <v>0</v>
      </c>
      <c r="P415">
        <v>1</v>
      </c>
      <c r="Q415">
        <v>0</v>
      </c>
      <c r="R415">
        <v>0</v>
      </c>
      <c r="S415">
        <v>1</v>
      </c>
      <c r="T415">
        <v>0</v>
      </c>
      <c r="U415">
        <v>1</v>
      </c>
      <c r="V415">
        <v>0</v>
      </c>
      <c r="W415">
        <v>0</v>
      </c>
      <c r="X415">
        <v>0</v>
      </c>
      <c r="Y415">
        <v>0</v>
      </c>
      <c r="Z415">
        <v>0</v>
      </c>
    </row>
    <row r="416" spans="1:26" x14ac:dyDescent="0.25">
      <c r="A416">
        <v>12</v>
      </c>
      <c r="B416">
        <v>8</v>
      </c>
      <c r="C416">
        <v>0</v>
      </c>
      <c r="D416">
        <v>2884</v>
      </c>
      <c r="E416">
        <v>2</v>
      </c>
      <c r="F416">
        <v>0</v>
      </c>
      <c r="G416">
        <v>0</v>
      </c>
      <c r="H416">
        <v>1</v>
      </c>
      <c r="I416">
        <v>0</v>
      </c>
      <c r="J416">
        <v>1</v>
      </c>
      <c r="K416">
        <v>0</v>
      </c>
      <c r="L416">
        <v>0</v>
      </c>
      <c r="M416">
        <v>1</v>
      </c>
      <c r="N416">
        <v>0</v>
      </c>
      <c r="O416">
        <v>1</v>
      </c>
      <c r="P416">
        <v>0</v>
      </c>
      <c r="Q416">
        <v>0</v>
      </c>
      <c r="R416">
        <v>0</v>
      </c>
      <c r="S416">
        <v>1</v>
      </c>
      <c r="T416">
        <v>0</v>
      </c>
      <c r="U416">
        <v>0</v>
      </c>
      <c r="V416">
        <v>1</v>
      </c>
      <c r="W416">
        <v>0</v>
      </c>
      <c r="X416">
        <v>0</v>
      </c>
      <c r="Y416">
        <v>0</v>
      </c>
      <c r="Z416">
        <v>0</v>
      </c>
    </row>
    <row r="417" spans="1:26" x14ac:dyDescent="0.25">
      <c r="A417">
        <v>8</v>
      </c>
      <c r="B417">
        <v>7</v>
      </c>
      <c r="C417">
        <v>1</v>
      </c>
      <c r="D417">
        <v>1467</v>
      </c>
      <c r="E417">
        <v>1</v>
      </c>
      <c r="F417">
        <v>0</v>
      </c>
      <c r="G417">
        <v>1</v>
      </c>
      <c r="H417">
        <v>0</v>
      </c>
      <c r="I417">
        <v>0</v>
      </c>
      <c r="J417">
        <v>1</v>
      </c>
      <c r="K417">
        <v>0</v>
      </c>
      <c r="L417">
        <v>0</v>
      </c>
      <c r="M417">
        <v>1</v>
      </c>
      <c r="N417">
        <v>0</v>
      </c>
      <c r="O417">
        <v>1</v>
      </c>
      <c r="P417">
        <v>0</v>
      </c>
      <c r="Q417">
        <v>1</v>
      </c>
      <c r="R417">
        <v>0</v>
      </c>
      <c r="S417">
        <v>0</v>
      </c>
      <c r="T417">
        <v>0</v>
      </c>
      <c r="U417">
        <v>0</v>
      </c>
      <c r="V417">
        <v>1</v>
      </c>
      <c r="W417">
        <v>0</v>
      </c>
      <c r="X417">
        <v>0</v>
      </c>
      <c r="Y417">
        <v>0</v>
      </c>
      <c r="Z417">
        <v>0</v>
      </c>
    </row>
    <row r="418" spans="1:26" x14ac:dyDescent="0.25">
      <c r="A418">
        <v>21</v>
      </c>
      <c r="B418">
        <v>6</v>
      </c>
      <c r="C418">
        <v>0</v>
      </c>
      <c r="D418">
        <v>826</v>
      </c>
      <c r="E418">
        <v>5</v>
      </c>
      <c r="F418">
        <v>0</v>
      </c>
      <c r="G418">
        <v>1</v>
      </c>
      <c r="H418">
        <v>0</v>
      </c>
      <c r="I418">
        <v>0</v>
      </c>
      <c r="J418">
        <v>0</v>
      </c>
      <c r="K418">
        <v>0</v>
      </c>
      <c r="L418">
        <v>1</v>
      </c>
      <c r="M418">
        <v>0</v>
      </c>
      <c r="N418">
        <v>0</v>
      </c>
      <c r="O418">
        <v>1</v>
      </c>
      <c r="P418">
        <v>0</v>
      </c>
      <c r="Q418">
        <v>0</v>
      </c>
      <c r="R418">
        <v>0</v>
      </c>
      <c r="S418">
        <v>1</v>
      </c>
      <c r="T418">
        <v>0</v>
      </c>
      <c r="U418">
        <v>0</v>
      </c>
      <c r="V418">
        <v>0</v>
      </c>
      <c r="W418">
        <v>0</v>
      </c>
      <c r="X418">
        <v>0</v>
      </c>
      <c r="Y418">
        <v>1</v>
      </c>
      <c r="Z418">
        <v>0</v>
      </c>
    </row>
    <row r="419" spans="1:26" x14ac:dyDescent="0.25">
      <c r="A419">
        <v>16</v>
      </c>
      <c r="B419">
        <v>6</v>
      </c>
      <c r="C419">
        <v>0</v>
      </c>
      <c r="D419">
        <v>3933</v>
      </c>
      <c r="E419">
        <v>3</v>
      </c>
      <c r="F419">
        <v>1</v>
      </c>
      <c r="G419">
        <v>0</v>
      </c>
      <c r="H419">
        <v>0</v>
      </c>
      <c r="I419">
        <v>0</v>
      </c>
      <c r="J419">
        <v>1</v>
      </c>
      <c r="K419">
        <v>0</v>
      </c>
      <c r="L419">
        <v>0</v>
      </c>
      <c r="M419">
        <v>0</v>
      </c>
      <c r="N419">
        <v>0</v>
      </c>
      <c r="O419">
        <v>0</v>
      </c>
      <c r="P419">
        <v>1</v>
      </c>
      <c r="Q419">
        <v>1</v>
      </c>
      <c r="R419">
        <v>0</v>
      </c>
      <c r="S419">
        <v>0</v>
      </c>
      <c r="T419">
        <v>0</v>
      </c>
      <c r="U419">
        <v>0</v>
      </c>
      <c r="V419">
        <v>1</v>
      </c>
      <c r="W419">
        <v>0</v>
      </c>
      <c r="X419">
        <v>0</v>
      </c>
      <c r="Y419">
        <v>0</v>
      </c>
      <c r="Z419">
        <v>0</v>
      </c>
    </row>
    <row r="420" spans="1:26" x14ac:dyDescent="0.25">
      <c r="A420">
        <v>12</v>
      </c>
      <c r="B420">
        <v>6</v>
      </c>
      <c r="C420">
        <v>1</v>
      </c>
      <c r="D420">
        <v>2959</v>
      </c>
      <c r="E420">
        <v>1</v>
      </c>
      <c r="F420">
        <v>1</v>
      </c>
      <c r="G420">
        <v>0</v>
      </c>
      <c r="H420">
        <v>0</v>
      </c>
      <c r="I420">
        <v>0</v>
      </c>
      <c r="J420">
        <v>1</v>
      </c>
      <c r="K420">
        <v>0</v>
      </c>
      <c r="L420">
        <v>0</v>
      </c>
      <c r="M420">
        <v>0</v>
      </c>
      <c r="N420">
        <v>0</v>
      </c>
      <c r="O420">
        <v>0</v>
      </c>
      <c r="P420">
        <v>1</v>
      </c>
      <c r="Q420">
        <v>1</v>
      </c>
      <c r="R420">
        <v>0</v>
      </c>
      <c r="S420">
        <v>0</v>
      </c>
      <c r="T420">
        <v>0</v>
      </c>
      <c r="U420">
        <v>0</v>
      </c>
      <c r="V420">
        <v>0</v>
      </c>
      <c r="W420">
        <v>0</v>
      </c>
      <c r="X420">
        <v>1</v>
      </c>
      <c r="Y420">
        <v>0</v>
      </c>
      <c r="Z420">
        <v>0</v>
      </c>
    </row>
    <row r="421" spans="1:26" x14ac:dyDescent="0.25">
      <c r="A421">
        <v>9</v>
      </c>
      <c r="B421">
        <v>6</v>
      </c>
      <c r="C421">
        <v>1</v>
      </c>
      <c r="D421">
        <v>4027</v>
      </c>
      <c r="E421">
        <v>5</v>
      </c>
      <c r="F421">
        <v>0</v>
      </c>
      <c r="G421">
        <v>0</v>
      </c>
      <c r="H421">
        <v>0</v>
      </c>
      <c r="I421">
        <v>1</v>
      </c>
      <c r="J421">
        <v>1</v>
      </c>
      <c r="K421">
        <v>0</v>
      </c>
      <c r="L421">
        <v>0</v>
      </c>
      <c r="M421">
        <v>0</v>
      </c>
      <c r="N421">
        <v>0</v>
      </c>
      <c r="O421">
        <v>0</v>
      </c>
      <c r="P421">
        <v>1</v>
      </c>
      <c r="Q421">
        <v>0</v>
      </c>
      <c r="R421">
        <v>1</v>
      </c>
      <c r="S421">
        <v>0</v>
      </c>
      <c r="T421">
        <v>0</v>
      </c>
      <c r="U421">
        <v>0</v>
      </c>
      <c r="V421">
        <v>1</v>
      </c>
      <c r="W421">
        <v>0</v>
      </c>
      <c r="X421">
        <v>0</v>
      </c>
      <c r="Y421">
        <v>0</v>
      </c>
      <c r="Z421">
        <v>0</v>
      </c>
    </row>
    <row r="422" spans="1:26" x14ac:dyDescent="0.25">
      <c r="A422">
        <v>5</v>
      </c>
      <c r="B422">
        <v>4</v>
      </c>
      <c r="C422">
        <v>1</v>
      </c>
      <c r="D422">
        <v>716</v>
      </c>
      <c r="E422">
        <v>8</v>
      </c>
      <c r="F422">
        <v>0</v>
      </c>
      <c r="G422">
        <v>0</v>
      </c>
      <c r="H422">
        <v>1</v>
      </c>
      <c r="I422">
        <v>0</v>
      </c>
      <c r="J422">
        <v>1</v>
      </c>
      <c r="K422">
        <v>0</v>
      </c>
      <c r="L422">
        <v>0</v>
      </c>
      <c r="M422">
        <v>1</v>
      </c>
      <c r="N422">
        <v>1</v>
      </c>
      <c r="O422">
        <v>0</v>
      </c>
      <c r="P422">
        <v>0</v>
      </c>
      <c r="Q422">
        <v>0</v>
      </c>
      <c r="R422">
        <v>0</v>
      </c>
      <c r="S422">
        <v>1</v>
      </c>
      <c r="T422">
        <v>0</v>
      </c>
      <c r="U422">
        <v>0</v>
      </c>
      <c r="V422">
        <v>0</v>
      </c>
      <c r="W422">
        <v>1</v>
      </c>
      <c r="X422">
        <v>0</v>
      </c>
      <c r="Y422">
        <v>0</v>
      </c>
      <c r="Z422">
        <v>0</v>
      </c>
    </row>
    <row r="423" spans="1:26" x14ac:dyDescent="0.25">
      <c r="A423">
        <v>4</v>
      </c>
      <c r="B423">
        <v>4</v>
      </c>
      <c r="C423">
        <v>0</v>
      </c>
      <c r="D423">
        <v>3773</v>
      </c>
      <c r="E423">
        <v>5</v>
      </c>
      <c r="F423">
        <v>1</v>
      </c>
      <c r="G423">
        <v>0</v>
      </c>
      <c r="H423">
        <v>0</v>
      </c>
      <c r="I423">
        <v>0</v>
      </c>
      <c r="J423">
        <v>0</v>
      </c>
      <c r="K423">
        <v>0</v>
      </c>
      <c r="L423">
        <v>1</v>
      </c>
      <c r="M423">
        <v>0</v>
      </c>
      <c r="N423">
        <v>1</v>
      </c>
      <c r="O423">
        <v>0</v>
      </c>
      <c r="P423">
        <v>0</v>
      </c>
      <c r="Q423">
        <v>0</v>
      </c>
      <c r="R423">
        <v>0</v>
      </c>
      <c r="S423">
        <v>1</v>
      </c>
      <c r="T423">
        <v>0</v>
      </c>
      <c r="U423">
        <v>0</v>
      </c>
      <c r="V423">
        <v>0</v>
      </c>
      <c r="W423">
        <v>1</v>
      </c>
      <c r="X423">
        <v>0</v>
      </c>
      <c r="Y423">
        <v>0</v>
      </c>
      <c r="Z423">
        <v>0</v>
      </c>
    </row>
    <row r="424" spans="1:26" x14ac:dyDescent="0.25">
      <c r="A424">
        <v>13</v>
      </c>
      <c r="B424">
        <v>3</v>
      </c>
      <c r="C424">
        <v>0</v>
      </c>
      <c r="D424">
        <v>3003</v>
      </c>
      <c r="E424">
        <v>1</v>
      </c>
      <c r="F424">
        <v>0</v>
      </c>
      <c r="G424">
        <v>0</v>
      </c>
      <c r="H424">
        <v>0</v>
      </c>
      <c r="I424">
        <v>1</v>
      </c>
      <c r="J424">
        <v>0</v>
      </c>
      <c r="K424">
        <v>0</v>
      </c>
      <c r="L424">
        <v>1</v>
      </c>
      <c r="M424">
        <v>0</v>
      </c>
      <c r="N424">
        <v>0</v>
      </c>
      <c r="O424">
        <v>1</v>
      </c>
      <c r="P424">
        <v>0</v>
      </c>
      <c r="Q424">
        <v>0</v>
      </c>
      <c r="R424">
        <v>0</v>
      </c>
      <c r="S424">
        <v>1</v>
      </c>
      <c r="T424">
        <v>0</v>
      </c>
      <c r="U424">
        <v>0</v>
      </c>
      <c r="V424">
        <v>0</v>
      </c>
      <c r="W424">
        <v>1</v>
      </c>
      <c r="X424">
        <v>0</v>
      </c>
      <c r="Y424">
        <v>0</v>
      </c>
      <c r="Z424">
        <v>0</v>
      </c>
    </row>
    <row r="425" spans="1:26" x14ac:dyDescent="0.25">
      <c r="A425">
        <v>12</v>
      </c>
      <c r="B425">
        <v>3</v>
      </c>
      <c r="C425">
        <v>1</v>
      </c>
      <c r="D425">
        <v>1467</v>
      </c>
      <c r="E425">
        <v>4</v>
      </c>
      <c r="F425">
        <v>1</v>
      </c>
      <c r="G425">
        <v>0</v>
      </c>
      <c r="H425">
        <v>0</v>
      </c>
      <c r="I425">
        <v>0</v>
      </c>
      <c r="J425">
        <v>0</v>
      </c>
      <c r="K425">
        <v>1</v>
      </c>
      <c r="L425">
        <v>0</v>
      </c>
      <c r="M425">
        <v>1</v>
      </c>
      <c r="N425">
        <v>0</v>
      </c>
      <c r="O425">
        <v>1</v>
      </c>
      <c r="P425">
        <v>0</v>
      </c>
      <c r="Q425">
        <v>0</v>
      </c>
      <c r="R425">
        <v>1</v>
      </c>
      <c r="S425">
        <v>0</v>
      </c>
      <c r="T425">
        <v>0</v>
      </c>
      <c r="U425">
        <v>0</v>
      </c>
      <c r="V425">
        <v>0</v>
      </c>
      <c r="W425">
        <v>0</v>
      </c>
      <c r="X425">
        <v>1</v>
      </c>
      <c r="Y425">
        <v>0</v>
      </c>
      <c r="Z425">
        <v>0</v>
      </c>
    </row>
    <row r="426" spans="1:26" x14ac:dyDescent="0.25">
      <c r="A426">
        <v>8</v>
      </c>
      <c r="B426">
        <v>3</v>
      </c>
      <c r="C426">
        <v>1</v>
      </c>
      <c r="D426">
        <v>315</v>
      </c>
      <c r="E426">
        <v>3</v>
      </c>
      <c r="F426">
        <v>1</v>
      </c>
      <c r="G426">
        <v>0</v>
      </c>
      <c r="H426">
        <v>0</v>
      </c>
      <c r="I426">
        <v>0</v>
      </c>
      <c r="J426">
        <v>0</v>
      </c>
      <c r="K426">
        <v>0</v>
      </c>
      <c r="L426">
        <v>1</v>
      </c>
      <c r="M426">
        <v>0</v>
      </c>
      <c r="N426">
        <v>1</v>
      </c>
      <c r="O426">
        <v>0</v>
      </c>
      <c r="P426">
        <v>0</v>
      </c>
      <c r="Q426">
        <v>0</v>
      </c>
      <c r="R426">
        <v>0</v>
      </c>
      <c r="S426">
        <v>1</v>
      </c>
      <c r="T426">
        <v>0</v>
      </c>
      <c r="U426">
        <v>0</v>
      </c>
      <c r="V426">
        <v>0</v>
      </c>
      <c r="W426">
        <v>0</v>
      </c>
      <c r="X426">
        <v>1</v>
      </c>
      <c r="Y426">
        <v>0</v>
      </c>
      <c r="Z426">
        <v>0</v>
      </c>
    </row>
    <row r="427" spans="1:26" x14ac:dyDescent="0.25">
      <c r="A427">
        <v>4</v>
      </c>
      <c r="B427">
        <v>3</v>
      </c>
      <c r="C427">
        <v>0</v>
      </c>
      <c r="D427">
        <v>3773</v>
      </c>
      <c r="E427">
        <v>3</v>
      </c>
      <c r="F427">
        <v>0</v>
      </c>
      <c r="G427">
        <v>0</v>
      </c>
      <c r="H427">
        <v>0</v>
      </c>
      <c r="I427">
        <v>1</v>
      </c>
      <c r="J427">
        <v>0</v>
      </c>
      <c r="K427">
        <v>0</v>
      </c>
      <c r="L427">
        <v>1</v>
      </c>
      <c r="M427">
        <v>0</v>
      </c>
      <c r="N427">
        <v>1</v>
      </c>
      <c r="O427">
        <v>0</v>
      </c>
      <c r="P427">
        <v>0</v>
      </c>
      <c r="Q427">
        <v>1</v>
      </c>
      <c r="R427">
        <v>0</v>
      </c>
      <c r="S427">
        <v>0</v>
      </c>
      <c r="T427">
        <v>0</v>
      </c>
      <c r="U427">
        <v>1</v>
      </c>
      <c r="V427">
        <v>0</v>
      </c>
      <c r="W427">
        <v>0</v>
      </c>
      <c r="X427">
        <v>0</v>
      </c>
      <c r="Y427">
        <v>0</v>
      </c>
      <c r="Z427">
        <v>0</v>
      </c>
    </row>
    <row r="428" spans="1:26" x14ac:dyDescent="0.25">
      <c r="A428">
        <v>3</v>
      </c>
      <c r="B428">
        <v>3</v>
      </c>
      <c r="C428">
        <v>0</v>
      </c>
      <c r="D428">
        <v>3981</v>
      </c>
      <c r="E428">
        <v>4</v>
      </c>
      <c r="F428">
        <v>0</v>
      </c>
      <c r="G428">
        <v>0</v>
      </c>
      <c r="H428">
        <v>0</v>
      </c>
      <c r="I428">
        <v>1</v>
      </c>
      <c r="J428">
        <v>0</v>
      </c>
      <c r="K428">
        <v>1</v>
      </c>
      <c r="L428">
        <v>0</v>
      </c>
      <c r="M428">
        <v>0</v>
      </c>
      <c r="N428">
        <v>1</v>
      </c>
      <c r="O428">
        <v>0</v>
      </c>
      <c r="P428">
        <v>0</v>
      </c>
      <c r="Q428">
        <v>0</v>
      </c>
      <c r="R428">
        <v>1</v>
      </c>
      <c r="S428">
        <v>0</v>
      </c>
      <c r="T428">
        <v>0</v>
      </c>
      <c r="U428">
        <v>0</v>
      </c>
      <c r="V428">
        <v>1</v>
      </c>
      <c r="W428">
        <v>0</v>
      </c>
      <c r="X428">
        <v>0</v>
      </c>
      <c r="Y428">
        <v>0</v>
      </c>
      <c r="Z428">
        <v>0</v>
      </c>
    </row>
    <row r="429" spans="1:26" x14ac:dyDescent="0.25">
      <c r="A429">
        <v>3</v>
      </c>
      <c r="B429">
        <v>3</v>
      </c>
      <c r="C429">
        <v>1</v>
      </c>
      <c r="D429">
        <v>315</v>
      </c>
      <c r="E429">
        <v>2</v>
      </c>
      <c r="F429">
        <v>1</v>
      </c>
      <c r="G429">
        <v>0</v>
      </c>
      <c r="H429">
        <v>0</v>
      </c>
      <c r="I429">
        <v>0</v>
      </c>
      <c r="J429">
        <v>0</v>
      </c>
      <c r="K429">
        <v>1</v>
      </c>
      <c r="L429">
        <v>0</v>
      </c>
      <c r="M429">
        <v>0</v>
      </c>
      <c r="N429">
        <v>1</v>
      </c>
      <c r="O429">
        <v>0</v>
      </c>
      <c r="P429">
        <v>0</v>
      </c>
      <c r="Q429">
        <v>0</v>
      </c>
      <c r="R429">
        <v>0</v>
      </c>
      <c r="S429">
        <v>1</v>
      </c>
      <c r="T429">
        <v>0</v>
      </c>
      <c r="U429">
        <v>0</v>
      </c>
      <c r="V429">
        <v>0</v>
      </c>
      <c r="W429">
        <v>0</v>
      </c>
      <c r="X429">
        <v>0</v>
      </c>
      <c r="Y429">
        <v>0</v>
      </c>
      <c r="Z429">
        <v>1</v>
      </c>
    </row>
    <row r="430" spans="1:26" x14ac:dyDescent="0.25">
      <c r="A430">
        <v>1</v>
      </c>
      <c r="B430">
        <v>0</v>
      </c>
      <c r="C430">
        <v>0</v>
      </c>
      <c r="D430">
        <v>716</v>
      </c>
      <c r="E430">
        <v>0</v>
      </c>
      <c r="F430">
        <v>0</v>
      </c>
      <c r="G430">
        <v>0</v>
      </c>
      <c r="H430">
        <v>1</v>
      </c>
      <c r="I430">
        <v>0</v>
      </c>
      <c r="J430">
        <v>0</v>
      </c>
      <c r="K430">
        <v>1</v>
      </c>
      <c r="L430">
        <v>0</v>
      </c>
      <c r="M430">
        <v>1</v>
      </c>
      <c r="N430">
        <v>1</v>
      </c>
      <c r="O430">
        <v>0</v>
      </c>
      <c r="P430">
        <v>0</v>
      </c>
      <c r="Q430">
        <v>1</v>
      </c>
      <c r="R430">
        <v>0</v>
      </c>
      <c r="S430">
        <v>0</v>
      </c>
      <c r="T430">
        <v>0</v>
      </c>
      <c r="U430">
        <v>0</v>
      </c>
      <c r="V430">
        <v>0</v>
      </c>
      <c r="W430">
        <v>0</v>
      </c>
      <c r="X430">
        <v>1</v>
      </c>
      <c r="Y430">
        <v>0</v>
      </c>
      <c r="Z430">
        <v>0</v>
      </c>
    </row>
    <row r="431" spans="1:26" x14ac:dyDescent="0.25">
      <c r="A431">
        <v>11</v>
      </c>
      <c r="B431">
        <v>8</v>
      </c>
      <c r="C431">
        <v>0</v>
      </c>
      <c r="D431">
        <v>3933</v>
      </c>
      <c r="E431">
        <v>0</v>
      </c>
      <c r="F431">
        <v>0</v>
      </c>
      <c r="G431">
        <v>1</v>
      </c>
      <c r="H431">
        <v>0</v>
      </c>
      <c r="I431">
        <v>0</v>
      </c>
      <c r="J431">
        <v>1</v>
      </c>
      <c r="K431">
        <v>0</v>
      </c>
      <c r="L431">
        <v>0</v>
      </c>
      <c r="M431">
        <v>0</v>
      </c>
      <c r="N431">
        <v>0</v>
      </c>
      <c r="O431">
        <v>0</v>
      </c>
      <c r="P431">
        <v>1</v>
      </c>
      <c r="Q431">
        <v>0</v>
      </c>
      <c r="R431">
        <v>0</v>
      </c>
      <c r="S431">
        <v>1</v>
      </c>
      <c r="T431">
        <v>0</v>
      </c>
      <c r="U431">
        <v>1</v>
      </c>
      <c r="V431">
        <v>0</v>
      </c>
      <c r="W431">
        <v>0</v>
      </c>
      <c r="X431">
        <v>0</v>
      </c>
      <c r="Y431">
        <v>0</v>
      </c>
      <c r="Z431">
        <v>0</v>
      </c>
    </row>
    <row r="432" spans="1:26" x14ac:dyDescent="0.25">
      <c r="A432">
        <v>23</v>
      </c>
      <c r="B432">
        <v>7</v>
      </c>
      <c r="C432">
        <v>0</v>
      </c>
      <c r="D432">
        <v>3348</v>
      </c>
      <c r="E432">
        <v>3</v>
      </c>
      <c r="F432">
        <v>1</v>
      </c>
      <c r="G432">
        <v>0</v>
      </c>
      <c r="H432">
        <v>0</v>
      </c>
      <c r="I432">
        <v>0</v>
      </c>
      <c r="J432">
        <v>0</v>
      </c>
      <c r="K432">
        <v>1</v>
      </c>
      <c r="L432">
        <v>0</v>
      </c>
      <c r="M432">
        <v>0</v>
      </c>
      <c r="N432">
        <v>0</v>
      </c>
      <c r="O432">
        <v>0</v>
      </c>
      <c r="P432">
        <v>1</v>
      </c>
      <c r="Q432">
        <v>0</v>
      </c>
      <c r="R432">
        <v>0</v>
      </c>
      <c r="S432">
        <v>1</v>
      </c>
      <c r="T432">
        <v>1</v>
      </c>
      <c r="U432">
        <v>0</v>
      </c>
      <c r="V432">
        <v>0</v>
      </c>
      <c r="W432">
        <v>0</v>
      </c>
      <c r="X432">
        <v>0</v>
      </c>
      <c r="Y432">
        <v>0</v>
      </c>
      <c r="Z432">
        <v>0</v>
      </c>
    </row>
    <row r="433" spans="1:26" x14ac:dyDescent="0.25">
      <c r="A433">
        <v>10</v>
      </c>
      <c r="B433">
        <v>5</v>
      </c>
      <c r="C433">
        <v>0</v>
      </c>
      <c r="D433">
        <v>3773</v>
      </c>
      <c r="E433">
        <v>7</v>
      </c>
      <c r="F433">
        <v>0</v>
      </c>
      <c r="G433">
        <v>0</v>
      </c>
      <c r="H433">
        <v>0</v>
      </c>
      <c r="I433">
        <v>1</v>
      </c>
      <c r="J433">
        <v>0</v>
      </c>
      <c r="K433">
        <v>0</v>
      </c>
      <c r="L433">
        <v>1</v>
      </c>
      <c r="M433">
        <v>0</v>
      </c>
      <c r="N433">
        <v>1</v>
      </c>
      <c r="O433">
        <v>0</v>
      </c>
      <c r="P433">
        <v>0</v>
      </c>
      <c r="Q433">
        <v>0</v>
      </c>
      <c r="R433">
        <v>1</v>
      </c>
      <c r="S433">
        <v>0</v>
      </c>
      <c r="T433">
        <v>0</v>
      </c>
      <c r="U433">
        <v>0</v>
      </c>
      <c r="V433">
        <v>1</v>
      </c>
      <c r="W433">
        <v>0</v>
      </c>
      <c r="X433">
        <v>0</v>
      </c>
      <c r="Y433">
        <v>0</v>
      </c>
      <c r="Z433">
        <v>0</v>
      </c>
    </row>
    <row r="434" spans="1:26" x14ac:dyDescent="0.25">
      <c r="A434">
        <v>5</v>
      </c>
      <c r="B434">
        <v>5</v>
      </c>
      <c r="C434">
        <v>0</v>
      </c>
      <c r="D434">
        <v>3773</v>
      </c>
      <c r="E434">
        <v>7</v>
      </c>
      <c r="F434">
        <v>0</v>
      </c>
      <c r="G434">
        <v>0</v>
      </c>
      <c r="H434">
        <v>1</v>
      </c>
      <c r="I434">
        <v>0</v>
      </c>
      <c r="J434">
        <v>1</v>
      </c>
      <c r="K434">
        <v>0</v>
      </c>
      <c r="L434">
        <v>0</v>
      </c>
      <c r="M434">
        <v>0</v>
      </c>
      <c r="N434">
        <v>1</v>
      </c>
      <c r="O434">
        <v>0</v>
      </c>
      <c r="P434">
        <v>0</v>
      </c>
      <c r="Q434">
        <v>0</v>
      </c>
      <c r="R434">
        <v>0</v>
      </c>
      <c r="S434">
        <v>1</v>
      </c>
      <c r="T434">
        <v>0</v>
      </c>
      <c r="U434">
        <v>0</v>
      </c>
      <c r="V434">
        <v>0</v>
      </c>
      <c r="W434">
        <v>0</v>
      </c>
      <c r="X434">
        <v>0</v>
      </c>
      <c r="Y434">
        <v>1</v>
      </c>
      <c r="Z434">
        <v>0</v>
      </c>
    </row>
    <row r="435" spans="1:26" x14ac:dyDescent="0.25">
      <c r="A435">
        <v>4</v>
      </c>
      <c r="B435">
        <v>4</v>
      </c>
      <c r="C435">
        <v>0</v>
      </c>
      <c r="D435">
        <v>2916</v>
      </c>
      <c r="E435">
        <v>1</v>
      </c>
      <c r="F435">
        <v>1</v>
      </c>
      <c r="G435">
        <v>0</v>
      </c>
      <c r="H435">
        <v>0</v>
      </c>
      <c r="I435">
        <v>0</v>
      </c>
      <c r="J435">
        <v>0</v>
      </c>
      <c r="K435">
        <v>0</v>
      </c>
      <c r="L435">
        <v>1</v>
      </c>
      <c r="M435">
        <v>0</v>
      </c>
      <c r="N435">
        <v>0</v>
      </c>
      <c r="O435">
        <v>1</v>
      </c>
      <c r="P435">
        <v>0</v>
      </c>
      <c r="Q435">
        <v>0</v>
      </c>
      <c r="R435">
        <v>0</v>
      </c>
      <c r="S435">
        <v>1</v>
      </c>
      <c r="T435">
        <v>0</v>
      </c>
      <c r="U435">
        <v>0</v>
      </c>
      <c r="V435">
        <v>0</v>
      </c>
      <c r="W435">
        <v>0</v>
      </c>
      <c r="X435">
        <v>0</v>
      </c>
      <c r="Y435">
        <v>0</v>
      </c>
      <c r="Z435">
        <v>1</v>
      </c>
    </row>
    <row r="436" spans="1:26" x14ac:dyDescent="0.25">
      <c r="A436">
        <v>13</v>
      </c>
      <c r="B436">
        <v>3</v>
      </c>
      <c r="C436">
        <v>1</v>
      </c>
      <c r="D436">
        <v>3933</v>
      </c>
      <c r="E436">
        <v>6</v>
      </c>
      <c r="F436">
        <v>0</v>
      </c>
      <c r="G436">
        <v>0</v>
      </c>
      <c r="H436">
        <v>0</v>
      </c>
      <c r="I436">
        <v>1</v>
      </c>
      <c r="J436">
        <v>0</v>
      </c>
      <c r="K436">
        <v>0</v>
      </c>
      <c r="L436">
        <v>1</v>
      </c>
      <c r="M436">
        <v>0</v>
      </c>
      <c r="N436">
        <v>0</v>
      </c>
      <c r="O436">
        <v>0</v>
      </c>
      <c r="P436">
        <v>1</v>
      </c>
      <c r="Q436">
        <v>0</v>
      </c>
      <c r="R436">
        <v>1</v>
      </c>
      <c r="S436">
        <v>0</v>
      </c>
      <c r="T436">
        <v>0</v>
      </c>
      <c r="U436">
        <v>0</v>
      </c>
      <c r="V436">
        <v>0</v>
      </c>
      <c r="W436">
        <v>0</v>
      </c>
      <c r="X436">
        <v>0</v>
      </c>
      <c r="Y436">
        <v>1</v>
      </c>
      <c r="Z436">
        <v>0</v>
      </c>
    </row>
    <row r="437" spans="1:26" x14ac:dyDescent="0.25">
      <c r="A437">
        <v>5</v>
      </c>
      <c r="B437">
        <v>3</v>
      </c>
      <c r="C437">
        <v>1</v>
      </c>
      <c r="D437">
        <v>1467</v>
      </c>
      <c r="E437">
        <v>5</v>
      </c>
      <c r="F437">
        <v>0</v>
      </c>
      <c r="G437">
        <v>0</v>
      </c>
      <c r="H437">
        <v>0</v>
      </c>
      <c r="I437">
        <v>1</v>
      </c>
      <c r="J437">
        <v>0</v>
      </c>
      <c r="K437">
        <v>0</v>
      </c>
      <c r="L437">
        <v>1</v>
      </c>
      <c r="M437">
        <v>1</v>
      </c>
      <c r="N437">
        <v>0</v>
      </c>
      <c r="O437">
        <v>1</v>
      </c>
      <c r="P437">
        <v>0</v>
      </c>
      <c r="Q437">
        <v>1</v>
      </c>
      <c r="R437">
        <v>0</v>
      </c>
      <c r="S437">
        <v>0</v>
      </c>
      <c r="T437">
        <v>0</v>
      </c>
      <c r="U437">
        <v>0</v>
      </c>
      <c r="V437">
        <v>0</v>
      </c>
      <c r="W437">
        <v>0</v>
      </c>
      <c r="X437">
        <v>0</v>
      </c>
      <c r="Y437">
        <v>0</v>
      </c>
      <c r="Z437">
        <v>1</v>
      </c>
    </row>
    <row r="438" spans="1:26" x14ac:dyDescent="0.25">
      <c r="A438">
        <v>4</v>
      </c>
      <c r="B438">
        <v>3</v>
      </c>
      <c r="C438">
        <v>1</v>
      </c>
      <c r="D438">
        <v>1228</v>
      </c>
      <c r="E438">
        <v>6</v>
      </c>
      <c r="F438">
        <v>1</v>
      </c>
      <c r="G438">
        <v>0</v>
      </c>
      <c r="H438">
        <v>0</v>
      </c>
      <c r="I438">
        <v>0</v>
      </c>
      <c r="J438">
        <v>0</v>
      </c>
      <c r="K438">
        <v>0</v>
      </c>
      <c r="L438">
        <v>1</v>
      </c>
      <c r="M438">
        <v>0</v>
      </c>
      <c r="N438">
        <v>1</v>
      </c>
      <c r="O438">
        <v>0</v>
      </c>
      <c r="P438">
        <v>0</v>
      </c>
      <c r="Q438">
        <v>0</v>
      </c>
      <c r="R438">
        <v>0</v>
      </c>
      <c r="S438">
        <v>1</v>
      </c>
      <c r="T438">
        <v>1</v>
      </c>
      <c r="U438">
        <v>0</v>
      </c>
      <c r="V438">
        <v>0</v>
      </c>
      <c r="W438">
        <v>0</v>
      </c>
      <c r="X438">
        <v>0</v>
      </c>
      <c r="Y438">
        <v>0</v>
      </c>
      <c r="Z438">
        <v>0</v>
      </c>
    </row>
    <row r="439" spans="1:26" x14ac:dyDescent="0.25">
      <c r="A439">
        <v>4</v>
      </c>
      <c r="B439">
        <v>3</v>
      </c>
      <c r="C439">
        <v>0</v>
      </c>
      <c r="D439">
        <v>3981</v>
      </c>
      <c r="E439">
        <v>0</v>
      </c>
      <c r="F439">
        <v>0</v>
      </c>
      <c r="G439">
        <v>0</v>
      </c>
      <c r="H439">
        <v>1</v>
      </c>
      <c r="I439">
        <v>0</v>
      </c>
      <c r="J439">
        <v>0</v>
      </c>
      <c r="K439">
        <v>0</v>
      </c>
      <c r="L439">
        <v>1</v>
      </c>
      <c r="M439">
        <v>0</v>
      </c>
      <c r="N439">
        <v>1</v>
      </c>
      <c r="O439">
        <v>0</v>
      </c>
      <c r="P439">
        <v>0</v>
      </c>
      <c r="Q439">
        <v>1</v>
      </c>
      <c r="R439">
        <v>0</v>
      </c>
      <c r="S439">
        <v>0</v>
      </c>
      <c r="T439">
        <v>1</v>
      </c>
      <c r="U439">
        <v>0</v>
      </c>
      <c r="V439">
        <v>0</v>
      </c>
      <c r="W439">
        <v>0</v>
      </c>
      <c r="X439">
        <v>0</v>
      </c>
      <c r="Y439">
        <v>0</v>
      </c>
      <c r="Z439">
        <v>0</v>
      </c>
    </row>
    <row r="440" spans="1:26" x14ac:dyDescent="0.25">
      <c r="A440">
        <v>3</v>
      </c>
      <c r="B440">
        <v>3</v>
      </c>
      <c r="C440">
        <v>0</v>
      </c>
      <c r="D440">
        <v>1282</v>
      </c>
      <c r="E440">
        <v>4</v>
      </c>
      <c r="F440">
        <v>0</v>
      </c>
      <c r="G440">
        <v>1</v>
      </c>
      <c r="H440">
        <v>0</v>
      </c>
      <c r="I440">
        <v>0</v>
      </c>
      <c r="J440">
        <v>0</v>
      </c>
      <c r="K440">
        <v>0</v>
      </c>
      <c r="L440">
        <v>1</v>
      </c>
      <c r="M440">
        <v>0</v>
      </c>
      <c r="N440">
        <v>0</v>
      </c>
      <c r="O440">
        <v>0</v>
      </c>
      <c r="P440">
        <v>1</v>
      </c>
      <c r="Q440">
        <v>1</v>
      </c>
      <c r="R440">
        <v>0</v>
      </c>
      <c r="S440">
        <v>0</v>
      </c>
      <c r="T440">
        <v>0</v>
      </c>
      <c r="U440">
        <v>0</v>
      </c>
      <c r="V440">
        <v>0</v>
      </c>
      <c r="W440">
        <v>1</v>
      </c>
      <c r="X440">
        <v>0</v>
      </c>
      <c r="Y440">
        <v>0</v>
      </c>
      <c r="Z440">
        <v>0</v>
      </c>
    </row>
    <row r="441" spans="1:26" x14ac:dyDescent="0.25">
      <c r="A441">
        <v>3</v>
      </c>
      <c r="B441">
        <v>3</v>
      </c>
      <c r="C441">
        <v>0</v>
      </c>
      <c r="D441">
        <v>716</v>
      </c>
      <c r="E441">
        <v>0</v>
      </c>
      <c r="F441">
        <v>0</v>
      </c>
      <c r="G441">
        <v>1</v>
      </c>
      <c r="H441">
        <v>0</v>
      </c>
      <c r="I441">
        <v>0</v>
      </c>
      <c r="J441">
        <v>1</v>
      </c>
      <c r="K441">
        <v>0</v>
      </c>
      <c r="L441">
        <v>0</v>
      </c>
      <c r="M441">
        <v>1</v>
      </c>
      <c r="N441">
        <v>1</v>
      </c>
      <c r="O441">
        <v>0</v>
      </c>
      <c r="P441">
        <v>0</v>
      </c>
      <c r="Q441">
        <v>0</v>
      </c>
      <c r="R441">
        <v>0</v>
      </c>
      <c r="S441">
        <v>1</v>
      </c>
      <c r="T441">
        <v>0</v>
      </c>
      <c r="U441">
        <v>0</v>
      </c>
      <c r="V441">
        <v>0</v>
      </c>
      <c r="W441">
        <v>0</v>
      </c>
      <c r="X441">
        <v>0</v>
      </c>
      <c r="Y441">
        <v>0</v>
      </c>
      <c r="Z441">
        <v>1</v>
      </c>
    </row>
    <row r="442" spans="1:26" x14ac:dyDescent="0.25">
      <c r="A442">
        <v>2</v>
      </c>
      <c r="B442">
        <v>0</v>
      </c>
      <c r="C442">
        <v>0</v>
      </c>
      <c r="D442">
        <v>188</v>
      </c>
      <c r="E442">
        <v>1</v>
      </c>
      <c r="F442">
        <v>1</v>
      </c>
      <c r="G442">
        <v>0</v>
      </c>
      <c r="H442">
        <v>0</v>
      </c>
      <c r="I442">
        <v>0</v>
      </c>
      <c r="J442">
        <v>1</v>
      </c>
      <c r="K442">
        <v>0</v>
      </c>
      <c r="L442">
        <v>0</v>
      </c>
      <c r="M442">
        <v>0</v>
      </c>
      <c r="N442">
        <v>0</v>
      </c>
      <c r="O442">
        <v>1</v>
      </c>
      <c r="P442">
        <v>0</v>
      </c>
      <c r="Q442">
        <v>0</v>
      </c>
      <c r="R442">
        <v>0</v>
      </c>
      <c r="S442">
        <v>1</v>
      </c>
      <c r="T442">
        <v>0</v>
      </c>
      <c r="U442">
        <v>0</v>
      </c>
      <c r="V442">
        <v>1</v>
      </c>
      <c r="W442">
        <v>0</v>
      </c>
      <c r="X442">
        <v>0</v>
      </c>
      <c r="Y442">
        <v>0</v>
      </c>
      <c r="Z442">
        <v>0</v>
      </c>
    </row>
    <row r="443" spans="1:26" x14ac:dyDescent="0.25">
      <c r="A443">
        <v>2</v>
      </c>
      <c r="B443">
        <v>0</v>
      </c>
      <c r="C443">
        <v>1</v>
      </c>
      <c r="D443">
        <v>188</v>
      </c>
      <c r="E443">
        <v>0</v>
      </c>
      <c r="F443">
        <v>0</v>
      </c>
      <c r="G443">
        <v>1</v>
      </c>
      <c r="H443">
        <v>0</v>
      </c>
      <c r="I443">
        <v>0</v>
      </c>
      <c r="J443">
        <v>1</v>
      </c>
      <c r="K443">
        <v>0</v>
      </c>
      <c r="L443">
        <v>0</v>
      </c>
      <c r="M443">
        <v>0</v>
      </c>
      <c r="N443">
        <v>0</v>
      </c>
      <c r="O443">
        <v>1</v>
      </c>
      <c r="P443">
        <v>0</v>
      </c>
      <c r="Q443">
        <v>0</v>
      </c>
      <c r="R443">
        <v>0</v>
      </c>
      <c r="S443">
        <v>1</v>
      </c>
      <c r="T443">
        <v>0</v>
      </c>
      <c r="U443">
        <v>0</v>
      </c>
      <c r="V443">
        <v>0</v>
      </c>
      <c r="W443">
        <v>0</v>
      </c>
      <c r="X443">
        <v>0</v>
      </c>
      <c r="Y443">
        <v>0</v>
      </c>
      <c r="Z443">
        <v>1</v>
      </c>
    </row>
    <row r="444" spans="1:26" x14ac:dyDescent="0.25">
      <c r="A444">
        <v>1</v>
      </c>
      <c r="B444">
        <v>0</v>
      </c>
      <c r="C444">
        <v>1</v>
      </c>
      <c r="D444">
        <v>1282</v>
      </c>
      <c r="E444">
        <v>0</v>
      </c>
      <c r="F444">
        <v>1</v>
      </c>
      <c r="G444">
        <v>0</v>
      </c>
      <c r="H444">
        <v>0</v>
      </c>
      <c r="I444">
        <v>0</v>
      </c>
      <c r="J444">
        <v>0</v>
      </c>
      <c r="K444">
        <v>1</v>
      </c>
      <c r="L444">
        <v>0</v>
      </c>
      <c r="M444">
        <v>0</v>
      </c>
      <c r="N444">
        <v>0</v>
      </c>
      <c r="O444">
        <v>0</v>
      </c>
      <c r="P444">
        <v>1</v>
      </c>
      <c r="Q444">
        <v>0</v>
      </c>
      <c r="R444">
        <v>0</v>
      </c>
      <c r="S444">
        <v>1</v>
      </c>
      <c r="T444">
        <v>0</v>
      </c>
      <c r="U444">
        <v>0</v>
      </c>
      <c r="V444">
        <v>0</v>
      </c>
      <c r="W444">
        <v>0</v>
      </c>
      <c r="X444">
        <v>0</v>
      </c>
      <c r="Y444">
        <v>1</v>
      </c>
      <c r="Z444">
        <v>0</v>
      </c>
    </row>
    <row r="445" spans="1:26" x14ac:dyDescent="0.25">
      <c r="A445">
        <v>1</v>
      </c>
      <c r="B445">
        <v>0</v>
      </c>
      <c r="C445">
        <v>1</v>
      </c>
      <c r="D445">
        <v>4027</v>
      </c>
      <c r="E445">
        <v>0</v>
      </c>
      <c r="F445">
        <v>1</v>
      </c>
      <c r="G445">
        <v>0</v>
      </c>
      <c r="H445">
        <v>0</v>
      </c>
      <c r="I445">
        <v>0</v>
      </c>
      <c r="J445">
        <v>0</v>
      </c>
      <c r="K445">
        <v>0</v>
      </c>
      <c r="L445">
        <v>1</v>
      </c>
      <c r="M445">
        <v>0</v>
      </c>
      <c r="N445">
        <v>0</v>
      </c>
      <c r="O445">
        <v>0</v>
      </c>
      <c r="P445">
        <v>1</v>
      </c>
      <c r="Q445">
        <v>0</v>
      </c>
      <c r="R445">
        <v>0</v>
      </c>
      <c r="S445">
        <v>1</v>
      </c>
      <c r="T445">
        <v>0</v>
      </c>
      <c r="U445">
        <v>0</v>
      </c>
      <c r="V445">
        <v>0</v>
      </c>
      <c r="W445">
        <v>1</v>
      </c>
      <c r="X445">
        <v>0</v>
      </c>
      <c r="Y445">
        <v>0</v>
      </c>
      <c r="Z445">
        <v>0</v>
      </c>
    </row>
    <row r="446" spans="1:26" x14ac:dyDescent="0.25">
      <c r="A446">
        <v>1</v>
      </c>
      <c r="B446">
        <v>0</v>
      </c>
      <c r="C446">
        <v>0</v>
      </c>
      <c r="D446">
        <v>3003</v>
      </c>
      <c r="E446">
        <v>0</v>
      </c>
      <c r="F446">
        <v>0</v>
      </c>
      <c r="G446">
        <v>0</v>
      </c>
      <c r="H446">
        <v>0</v>
      </c>
      <c r="I446">
        <v>1</v>
      </c>
      <c r="J446">
        <v>1</v>
      </c>
      <c r="K446">
        <v>0</v>
      </c>
      <c r="L446">
        <v>0</v>
      </c>
      <c r="M446">
        <v>0</v>
      </c>
      <c r="N446">
        <v>0</v>
      </c>
      <c r="O446">
        <v>1</v>
      </c>
      <c r="P446">
        <v>0</v>
      </c>
      <c r="Q446">
        <v>1</v>
      </c>
      <c r="R446">
        <v>0</v>
      </c>
      <c r="S446">
        <v>0</v>
      </c>
      <c r="T446">
        <v>0</v>
      </c>
      <c r="U446">
        <v>0</v>
      </c>
      <c r="V446">
        <v>0</v>
      </c>
      <c r="W446">
        <v>0</v>
      </c>
      <c r="X446">
        <v>0</v>
      </c>
      <c r="Y446">
        <v>0</v>
      </c>
      <c r="Z446">
        <v>1</v>
      </c>
    </row>
    <row r="447" spans="1:26" x14ac:dyDescent="0.25">
      <c r="A447">
        <v>26</v>
      </c>
      <c r="B447">
        <v>8</v>
      </c>
      <c r="C447">
        <v>0</v>
      </c>
      <c r="D447">
        <v>1282</v>
      </c>
      <c r="E447">
        <v>6</v>
      </c>
      <c r="F447">
        <v>0</v>
      </c>
      <c r="G447">
        <v>1</v>
      </c>
      <c r="H447">
        <v>0</v>
      </c>
      <c r="I447">
        <v>0</v>
      </c>
      <c r="J447">
        <v>0</v>
      </c>
      <c r="K447">
        <v>1</v>
      </c>
      <c r="L447">
        <v>0</v>
      </c>
      <c r="M447">
        <v>0</v>
      </c>
      <c r="N447">
        <v>0</v>
      </c>
      <c r="O447">
        <v>0</v>
      </c>
      <c r="P447">
        <v>1</v>
      </c>
      <c r="Q447">
        <v>0</v>
      </c>
      <c r="R447">
        <v>0</v>
      </c>
      <c r="S447">
        <v>1</v>
      </c>
      <c r="T447">
        <v>0</v>
      </c>
      <c r="U447">
        <v>1</v>
      </c>
      <c r="V447">
        <v>0</v>
      </c>
      <c r="W447">
        <v>0</v>
      </c>
      <c r="X447">
        <v>0</v>
      </c>
      <c r="Y447">
        <v>0</v>
      </c>
      <c r="Z447">
        <v>0</v>
      </c>
    </row>
    <row r="448" spans="1:26" x14ac:dyDescent="0.25">
      <c r="A448">
        <v>9</v>
      </c>
      <c r="B448">
        <v>8</v>
      </c>
      <c r="C448">
        <v>1</v>
      </c>
      <c r="D448">
        <v>826</v>
      </c>
      <c r="E448">
        <v>6</v>
      </c>
      <c r="F448">
        <v>0</v>
      </c>
      <c r="G448">
        <v>1</v>
      </c>
      <c r="H448">
        <v>0</v>
      </c>
      <c r="I448">
        <v>0</v>
      </c>
      <c r="J448">
        <v>0</v>
      </c>
      <c r="K448">
        <v>0</v>
      </c>
      <c r="L448">
        <v>1</v>
      </c>
      <c r="M448">
        <v>0</v>
      </c>
      <c r="N448">
        <v>0</v>
      </c>
      <c r="O448">
        <v>1</v>
      </c>
      <c r="P448">
        <v>0</v>
      </c>
      <c r="Q448">
        <v>0</v>
      </c>
      <c r="R448">
        <v>0</v>
      </c>
      <c r="S448">
        <v>1</v>
      </c>
      <c r="T448">
        <v>0</v>
      </c>
      <c r="U448">
        <v>1</v>
      </c>
      <c r="V448">
        <v>0</v>
      </c>
      <c r="W448">
        <v>0</v>
      </c>
      <c r="X448">
        <v>0</v>
      </c>
      <c r="Y448">
        <v>0</v>
      </c>
      <c r="Z448">
        <v>0</v>
      </c>
    </row>
    <row r="449" spans="1:26" x14ac:dyDescent="0.25">
      <c r="A449">
        <v>13</v>
      </c>
      <c r="B449">
        <v>7</v>
      </c>
      <c r="C449">
        <v>1</v>
      </c>
      <c r="D449">
        <v>315</v>
      </c>
      <c r="E449">
        <v>4</v>
      </c>
      <c r="F449">
        <v>0</v>
      </c>
      <c r="G449">
        <v>0</v>
      </c>
      <c r="H449">
        <v>0</v>
      </c>
      <c r="I449">
        <v>1</v>
      </c>
      <c r="J449">
        <v>1</v>
      </c>
      <c r="K449">
        <v>0</v>
      </c>
      <c r="L449">
        <v>0</v>
      </c>
      <c r="M449">
        <v>0</v>
      </c>
      <c r="N449">
        <v>1</v>
      </c>
      <c r="O449">
        <v>0</v>
      </c>
      <c r="P449">
        <v>0</v>
      </c>
      <c r="Q449">
        <v>0</v>
      </c>
      <c r="R449">
        <v>0</v>
      </c>
      <c r="S449">
        <v>1</v>
      </c>
      <c r="T449">
        <v>0</v>
      </c>
      <c r="U449">
        <v>0</v>
      </c>
      <c r="V449">
        <v>0</v>
      </c>
      <c r="W449">
        <v>1</v>
      </c>
      <c r="X449">
        <v>0</v>
      </c>
      <c r="Y449">
        <v>0</v>
      </c>
      <c r="Z449">
        <v>0</v>
      </c>
    </row>
    <row r="450" spans="1:26" x14ac:dyDescent="0.25">
      <c r="A450">
        <v>12</v>
      </c>
      <c r="B450">
        <v>6</v>
      </c>
      <c r="C450">
        <v>1</v>
      </c>
      <c r="D450">
        <v>1467</v>
      </c>
      <c r="E450">
        <v>2</v>
      </c>
      <c r="F450">
        <v>1</v>
      </c>
      <c r="G450">
        <v>0</v>
      </c>
      <c r="H450">
        <v>0</v>
      </c>
      <c r="I450">
        <v>0</v>
      </c>
      <c r="J450">
        <v>1</v>
      </c>
      <c r="K450">
        <v>0</v>
      </c>
      <c r="L450">
        <v>0</v>
      </c>
      <c r="M450">
        <v>1</v>
      </c>
      <c r="N450">
        <v>0</v>
      </c>
      <c r="O450">
        <v>1</v>
      </c>
      <c r="P450">
        <v>0</v>
      </c>
      <c r="Q450">
        <v>0</v>
      </c>
      <c r="R450">
        <v>0</v>
      </c>
      <c r="S450">
        <v>1</v>
      </c>
      <c r="T450">
        <v>0</v>
      </c>
      <c r="U450">
        <v>0</v>
      </c>
      <c r="V450">
        <v>0</v>
      </c>
      <c r="W450">
        <v>1</v>
      </c>
      <c r="X450">
        <v>0</v>
      </c>
      <c r="Y450">
        <v>0</v>
      </c>
      <c r="Z450">
        <v>0</v>
      </c>
    </row>
    <row r="451" spans="1:26" x14ac:dyDescent="0.25">
      <c r="A451">
        <v>12</v>
      </c>
      <c r="B451">
        <v>5</v>
      </c>
      <c r="C451">
        <v>1</v>
      </c>
      <c r="D451">
        <v>2034</v>
      </c>
      <c r="E451">
        <v>5</v>
      </c>
      <c r="F451">
        <v>0</v>
      </c>
      <c r="G451">
        <v>0</v>
      </c>
      <c r="H451">
        <v>0</v>
      </c>
      <c r="I451">
        <v>1</v>
      </c>
      <c r="J451">
        <v>0</v>
      </c>
      <c r="K451">
        <v>0</v>
      </c>
      <c r="L451">
        <v>1</v>
      </c>
      <c r="M451">
        <v>0</v>
      </c>
      <c r="N451">
        <v>0</v>
      </c>
      <c r="O451">
        <v>0</v>
      </c>
      <c r="P451">
        <v>1</v>
      </c>
      <c r="Q451">
        <v>0</v>
      </c>
      <c r="R451">
        <v>0</v>
      </c>
      <c r="S451">
        <v>1</v>
      </c>
      <c r="T451">
        <v>1</v>
      </c>
      <c r="U451">
        <v>0</v>
      </c>
      <c r="V451">
        <v>0</v>
      </c>
      <c r="W451">
        <v>0</v>
      </c>
      <c r="X451">
        <v>0</v>
      </c>
      <c r="Y451">
        <v>0</v>
      </c>
      <c r="Z451">
        <v>0</v>
      </c>
    </row>
    <row r="452" spans="1:26" x14ac:dyDescent="0.25">
      <c r="A452">
        <v>12</v>
      </c>
      <c r="B452">
        <v>5</v>
      </c>
      <c r="C452">
        <v>1</v>
      </c>
      <c r="D452">
        <v>2959</v>
      </c>
      <c r="E452">
        <v>1</v>
      </c>
      <c r="F452">
        <v>0</v>
      </c>
      <c r="G452">
        <v>0</v>
      </c>
      <c r="H452">
        <v>1</v>
      </c>
      <c r="I452">
        <v>0</v>
      </c>
      <c r="J452">
        <v>0</v>
      </c>
      <c r="K452">
        <v>0</v>
      </c>
      <c r="L452">
        <v>1</v>
      </c>
      <c r="M452">
        <v>0</v>
      </c>
      <c r="N452">
        <v>0</v>
      </c>
      <c r="O452">
        <v>0</v>
      </c>
      <c r="P452">
        <v>1</v>
      </c>
      <c r="Q452">
        <v>0</v>
      </c>
      <c r="R452">
        <v>0</v>
      </c>
      <c r="S452">
        <v>1</v>
      </c>
      <c r="T452">
        <v>0</v>
      </c>
      <c r="U452">
        <v>1</v>
      </c>
      <c r="V452">
        <v>0</v>
      </c>
      <c r="W452">
        <v>0</v>
      </c>
      <c r="X452">
        <v>0</v>
      </c>
      <c r="Y452">
        <v>0</v>
      </c>
      <c r="Z452">
        <v>0</v>
      </c>
    </row>
    <row r="453" spans="1:26" x14ac:dyDescent="0.25">
      <c r="A453">
        <v>13</v>
      </c>
      <c r="B453">
        <v>4</v>
      </c>
      <c r="C453">
        <v>0</v>
      </c>
      <c r="D453">
        <v>188</v>
      </c>
      <c r="E453">
        <v>2</v>
      </c>
      <c r="F453">
        <v>1</v>
      </c>
      <c r="G453">
        <v>0</v>
      </c>
      <c r="H453">
        <v>0</v>
      </c>
      <c r="I453">
        <v>0</v>
      </c>
      <c r="J453">
        <v>0</v>
      </c>
      <c r="K453">
        <v>0</v>
      </c>
      <c r="L453">
        <v>1</v>
      </c>
      <c r="M453">
        <v>0</v>
      </c>
      <c r="N453">
        <v>0</v>
      </c>
      <c r="O453">
        <v>1</v>
      </c>
      <c r="P453">
        <v>0</v>
      </c>
      <c r="Q453">
        <v>0</v>
      </c>
      <c r="R453">
        <v>0</v>
      </c>
      <c r="S453">
        <v>1</v>
      </c>
      <c r="T453">
        <v>0</v>
      </c>
      <c r="U453">
        <v>0</v>
      </c>
      <c r="V453">
        <v>0</v>
      </c>
      <c r="W453">
        <v>0</v>
      </c>
      <c r="X453">
        <v>0</v>
      </c>
      <c r="Y453">
        <v>0</v>
      </c>
      <c r="Z453">
        <v>1</v>
      </c>
    </row>
    <row r="454" spans="1:26" x14ac:dyDescent="0.25">
      <c r="A454">
        <v>4</v>
      </c>
      <c r="B454">
        <v>4</v>
      </c>
      <c r="C454">
        <v>0</v>
      </c>
      <c r="D454">
        <v>1228</v>
      </c>
      <c r="E454">
        <v>0</v>
      </c>
      <c r="F454">
        <v>0</v>
      </c>
      <c r="G454">
        <v>0</v>
      </c>
      <c r="H454">
        <v>0</v>
      </c>
      <c r="I454">
        <v>1</v>
      </c>
      <c r="J454">
        <v>0</v>
      </c>
      <c r="K454">
        <v>1</v>
      </c>
      <c r="L454">
        <v>0</v>
      </c>
      <c r="M454">
        <v>0</v>
      </c>
      <c r="N454">
        <v>1</v>
      </c>
      <c r="O454">
        <v>0</v>
      </c>
      <c r="P454">
        <v>0</v>
      </c>
      <c r="Q454">
        <v>0</v>
      </c>
      <c r="R454">
        <v>0</v>
      </c>
      <c r="S454">
        <v>1</v>
      </c>
      <c r="T454">
        <v>0</v>
      </c>
      <c r="U454">
        <v>0</v>
      </c>
      <c r="V454">
        <v>0</v>
      </c>
      <c r="W454">
        <v>0</v>
      </c>
      <c r="X454">
        <v>0</v>
      </c>
      <c r="Y454">
        <v>0</v>
      </c>
      <c r="Z454">
        <v>1</v>
      </c>
    </row>
    <row r="455" spans="1:26" x14ac:dyDescent="0.25">
      <c r="A455">
        <v>4</v>
      </c>
      <c r="B455">
        <v>4</v>
      </c>
      <c r="C455">
        <v>0</v>
      </c>
      <c r="D455">
        <v>3933</v>
      </c>
      <c r="E455">
        <v>1</v>
      </c>
      <c r="F455">
        <v>1</v>
      </c>
      <c r="G455">
        <v>0</v>
      </c>
      <c r="H455">
        <v>0</v>
      </c>
      <c r="I455">
        <v>0</v>
      </c>
      <c r="J455">
        <v>1</v>
      </c>
      <c r="K455">
        <v>0</v>
      </c>
      <c r="L455">
        <v>0</v>
      </c>
      <c r="M455">
        <v>0</v>
      </c>
      <c r="N455">
        <v>0</v>
      </c>
      <c r="O455">
        <v>0</v>
      </c>
      <c r="P455">
        <v>1</v>
      </c>
      <c r="Q455">
        <v>1</v>
      </c>
      <c r="R455">
        <v>0</v>
      </c>
      <c r="S455">
        <v>0</v>
      </c>
      <c r="T455">
        <v>0</v>
      </c>
      <c r="U455">
        <v>1</v>
      </c>
      <c r="V455">
        <v>0</v>
      </c>
      <c r="W455">
        <v>0</v>
      </c>
      <c r="X455">
        <v>0</v>
      </c>
      <c r="Y455">
        <v>0</v>
      </c>
      <c r="Z455">
        <v>0</v>
      </c>
    </row>
    <row r="456" spans="1:26" x14ac:dyDescent="0.25">
      <c r="A456">
        <v>10</v>
      </c>
      <c r="B456">
        <v>3</v>
      </c>
      <c r="C456">
        <v>1</v>
      </c>
      <c r="D456">
        <v>1228</v>
      </c>
      <c r="E456">
        <v>4</v>
      </c>
      <c r="F456">
        <v>1</v>
      </c>
      <c r="G456">
        <v>0</v>
      </c>
      <c r="H456">
        <v>0</v>
      </c>
      <c r="I456">
        <v>0</v>
      </c>
      <c r="J456">
        <v>1</v>
      </c>
      <c r="K456">
        <v>0</v>
      </c>
      <c r="L456">
        <v>0</v>
      </c>
      <c r="M456">
        <v>0</v>
      </c>
      <c r="N456">
        <v>1</v>
      </c>
      <c r="O456">
        <v>0</v>
      </c>
      <c r="P456">
        <v>0</v>
      </c>
      <c r="Q456">
        <v>0</v>
      </c>
      <c r="R456">
        <v>0</v>
      </c>
      <c r="S456">
        <v>1</v>
      </c>
      <c r="T456">
        <v>0</v>
      </c>
      <c r="U456">
        <v>0</v>
      </c>
      <c r="V456">
        <v>0</v>
      </c>
      <c r="W456">
        <v>0</v>
      </c>
      <c r="X456">
        <v>0</v>
      </c>
      <c r="Y456">
        <v>1</v>
      </c>
      <c r="Z456">
        <v>0</v>
      </c>
    </row>
    <row r="457" spans="1:26" x14ac:dyDescent="0.25">
      <c r="A457">
        <v>9</v>
      </c>
      <c r="B457">
        <v>3</v>
      </c>
      <c r="C457">
        <v>0</v>
      </c>
      <c r="D457">
        <v>3773</v>
      </c>
      <c r="E457">
        <v>2</v>
      </c>
      <c r="F457">
        <v>0</v>
      </c>
      <c r="G457">
        <v>0</v>
      </c>
      <c r="H457">
        <v>0</v>
      </c>
      <c r="I457">
        <v>1</v>
      </c>
      <c r="J457">
        <v>0</v>
      </c>
      <c r="K457">
        <v>1</v>
      </c>
      <c r="L457">
        <v>0</v>
      </c>
      <c r="M457">
        <v>0</v>
      </c>
      <c r="N457">
        <v>1</v>
      </c>
      <c r="O457">
        <v>0</v>
      </c>
      <c r="P457">
        <v>0</v>
      </c>
      <c r="Q457">
        <v>0</v>
      </c>
      <c r="R457">
        <v>0</v>
      </c>
      <c r="S457">
        <v>1</v>
      </c>
      <c r="T457">
        <v>0</v>
      </c>
      <c r="U457">
        <v>0</v>
      </c>
      <c r="V457">
        <v>1</v>
      </c>
      <c r="W457">
        <v>0</v>
      </c>
      <c r="X457">
        <v>0</v>
      </c>
      <c r="Y457">
        <v>0</v>
      </c>
      <c r="Z457">
        <v>0</v>
      </c>
    </row>
    <row r="458" spans="1:26" x14ac:dyDescent="0.25">
      <c r="A458">
        <v>4</v>
      </c>
      <c r="B458">
        <v>3</v>
      </c>
      <c r="C458">
        <v>1</v>
      </c>
      <c r="D458">
        <v>2884</v>
      </c>
      <c r="E458">
        <v>7</v>
      </c>
      <c r="F458">
        <v>0</v>
      </c>
      <c r="G458">
        <v>0</v>
      </c>
      <c r="H458">
        <v>0</v>
      </c>
      <c r="I458">
        <v>1</v>
      </c>
      <c r="J458">
        <v>0</v>
      </c>
      <c r="K458">
        <v>0</v>
      </c>
      <c r="L458">
        <v>1</v>
      </c>
      <c r="M458">
        <v>1</v>
      </c>
      <c r="N458">
        <v>0</v>
      </c>
      <c r="O458">
        <v>1</v>
      </c>
      <c r="P458">
        <v>0</v>
      </c>
      <c r="Q458">
        <v>1</v>
      </c>
      <c r="R458">
        <v>0</v>
      </c>
      <c r="S458">
        <v>0</v>
      </c>
      <c r="T458">
        <v>1</v>
      </c>
      <c r="U458">
        <v>0</v>
      </c>
      <c r="V458">
        <v>0</v>
      </c>
      <c r="W458">
        <v>0</v>
      </c>
      <c r="X458">
        <v>0</v>
      </c>
      <c r="Y458">
        <v>0</v>
      </c>
      <c r="Z458">
        <v>0</v>
      </c>
    </row>
    <row r="459" spans="1:26" x14ac:dyDescent="0.25">
      <c r="A459">
        <v>2</v>
      </c>
      <c r="B459">
        <v>1</v>
      </c>
      <c r="C459">
        <v>0</v>
      </c>
      <c r="D459">
        <v>315</v>
      </c>
      <c r="E459">
        <v>3</v>
      </c>
      <c r="F459">
        <v>0</v>
      </c>
      <c r="G459">
        <v>0</v>
      </c>
      <c r="H459">
        <v>1</v>
      </c>
      <c r="I459">
        <v>0</v>
      </c>
      <c r="J459">
        <v>0</v>
      </c>
      <c r="K459">
        <v>1</v>
      </c>
      <c r="L459">
        <v>0</v>
      </c>
      <c r="M459">
        <v>0</v>
      </c>
      <c r="N459">
        <v>1</v>
      </c>
      <c r="O459">
        <v>0</v>
      </c>
      <c r="P459">
        <v>0</v>
      </c>
      <c r="Q459">
        <v>0</v>
      </c>
      <c r="R459">
        <v>0</v>
      </c>
      <c r="S459">
        <v>1</v>
      </c>
      <c r="T459">
        <v>0</v>
      </c>
      <c r="U459">
        <v>0</v>
      </c>
      <c r="V459">
        <v>0</v>
      </c>
      <c r="W459">
        <v>0</v>
      </c>
      <c r="X459">
        <v>0</v>
      </c>
      <c r="Y459">
        <v>1</v>
      </c>
      <c r="Z459">
        <v>0</v>
      </c>
    </row>
    <row r="460" spans="1:26" x14ac:dyDescent="0.25">
      <c r="A460">
        <v>3</v>
      </c>
      <c r="B460">
        <v>0</v>
      </c>
      <c r="C460">
        <v>1</v>
      </c>
      <c r="D460">
        <v>188</v>
      </c>
      <c r="E460">
        <v>1</v>
      </c>
      <c r="F460">
        <v>0</v>
      </c>
      <c r="G460">
        <v>0</v>
      </c>
      <c r="H460">
        <v>1</v>
      </c>
      <c r="I460">
        <v>0</v>
      </c>
      <c r="J460">
        <v>0</v>
      </c>
      <c r="K460">
        <v>0</v>
      </c>
      <c r="L460">
        <v>1</v>
      </c>
      <c r="M460">
        <v>0</v>
      </c>
      <c r="N460">
        <v>0</v>
      </c>
      <c r="O460">
        <v>1</v>
      </c>
      <c r="P460">
        <v>0</v>
      </c>
      <c r="Q460">
        <v>0</v>
      </c>
      <c r="R460">
        <v>0</v>
      </c>
      <c r="S460">
        <v>1</v>
      </c>
      <c r="T460">
        <v>0</v>
      </c>
      <c r="U460">
        <v>0</v>
      </c>
      <c r="V460">
        <v>0</v>
      </c>
      <c r="W460">
        <v>0</v>
      </c>
      <c r="X460">
        <v>0</v>
      </c>
      <c r="Y460">
        <v>1</v>
      </c>
      <c r="Z460">
        <v>0</v>
      </c>
    </row>
    <row r="461" spans="1:26" x14ac:dyDescent="0.25">
      <c r="A461">
        <v>2</v>
      </c>
      <c r="B461">
        <v>0</v>
      </c>
      <c r="C461">
        <v>1</v>
      </c>
      <c r="D461">
        <v>188</v>
      </c>
      <c r="E461">
        <v>0</v>
      </c>
      <c r="F461">
        <v>0</v>
      </c>
      <c r="G461">
        <v>1</v>
      </c>
      <c r="H461">
        <v>0</v>
      </c>
      <c r="I461">
        <v>0</v>
      </c>
      <c r="J461">
        <v>0</v>
      </c>
      <c r="K461">
        <v>0</v>
      </c>
      <c r="L461">
        <v>1</v>
      </c>
      <c r="M461">
        <v>0</v>
      </c>
      <c r="N461">
        <v>0</v>
      </c>
      <c r="O461">
        <v>1</v>
      </c>
      <c r="P461">
        <v>0</v>
      </c>
      <c r="Q461">
        <v>0</v>
      </c>
      <c r="R461">
        <v>0</v>
      </c>
      <c r="S461">
        <v>1</v>
      </c>
      <c r="T461">
        <v>0</v>
      </c>
      <c r="U461">
        <v>0</v>
      </c>
      <c r="V461">
        <v>0</v>
      </c>
      <c r="W461">
        <v>0</v>
      </c>
      <c r="X461">
        <v>0</v>
      </c>
      <c r="Y461">
        <v>0</v>
      </c>
      <c r="Z461">
        <v>1</v>
      </c>
    </row>
    <row r="462" spans="1:26" x14ac:dyDescent="0.25">
      <c r="A462">
        <v>1</v>
      </c>
      <c r="B462">
        <v>0</v>
      </c>
      <c r="C462">
        <v>1</v>
      </c>
      <c r="D462">
        <v>1282</v>
      </c>
      <c r="E462">
        <v>0</v>
      </c>
      <c r="F462">
        <v>0</v>
      </c>
      <c r="G462">
        <v>0</v>
      </c>
      <c r="H462">
        <v>1</v>
      </c>
      <c r="I462">
        <v>0</v>
      </c>
      <c r="J462">
        <v>0</v>
      </c>
      <c r="K462">
        <v>0</v>
      </c>
      <c r="L462">
        <v>1</v>
      </c>
      <c r="M462">
        <v>0</v>
      </c>
      <c r="N462">
        <v>0</v>
      </c>
      <c r="O462">
        <v>0</v>
      </c>
      <c r="P462">
        <v>1</v>
      </c>
      <c r="Q462">
        <v>0</v>
      </c>
      <c r="R462">
        <v>0</v>
      </c>
      <c r="S462">
        <v>1</v>
      </c>
      <c r="T462">
        <v>0</v>
      </c>
      <c r="U462">
        <v>0</v>
      </c>
      <c r="V462">
        <v>0</v>
      </c>
      <c r="W462">
        <v>0</v>
      </c>
      <c r="X462">
        <v>0</v>
      </c>
      <c r="Y462">
        <v>0</v>
      </c>
      <c r="Z462">
        <v>1</v>
      </c>
    </row>
    <row r="463" spans="1:26" x14ac:dyDescent="0.25">
      <c r="A463">
        <v>1</v>
      </c>
      <c r="B463">
        <v>0</v>
      </c>
      <c r="C463">
        <v>0</v>
      </c>
      <c r="D463">
        <v>1282</v>
      </c>
      <c r="E463">
        <v>0</v>
      </c>
      <c r="F463">
        <v>0</v>
      </c>
      <c r="G463">
        <v>0</v>
      </c>
      <c r="H463">
        <v>0</v>
      </c>
      <c r="I463">
        <v>1</v>
      </c>
      <c r="J463">
        <v>0</v>
      </c>
      <c r="K463">
        <v>0</v>
      </c>
      <c r="L463">
        <v>1</v>
      </c>
      <c r="M463">
        <v>0</v>
      </c>
      <c r="N463">
        <v>0</v>
      </c>
      <c r="O463">
        <v>0</v>
      </c>
      <c r="P463">
        <v>1</v>
      </c>
      <c r="Q463">
        <v>0</v>
      </c>
      <c r="R463">
        <v>1</v>
      </c>
      <c r="S463">
        <v>0</v>
      </c>
      <c r="T463">
        <v>0</v>
      </c>
      <c r="U463">
        <v>0</v>
      </c>
      <c r="V463">
        <v>0</v>
      </c>
      <c r="W463">
        <v>0</v>
      </c>
      <c r="X463">
        <v>0</v>
      </c>
      <c r="Y463">
        <v>0</v>
      </c>
      <c r="Z463">
        <v>1</v>
      </c>
    </row>
    <row r="464" spans="1:26" x14ac:dyDescent="0.25">
      <c r="A464">
        <v>8</v>
      </c>
      <c r="B464">
        <v>4</v>
      </c>
      <c r="C464">
        <v>0</v>
      </c>
      <c r="D464">
        <v>1467</v>
      </c>
      <c r="E464">
        <v>1</v>
      </c>
      <c r="F464">
        <v>0</v>
      </c>
      <c r="G464">
        <v>0</v>
      </c>
      <c r="H464">
        <v>1</v>
      </c>
      <c r="I464">
        <v>0</v>
      </c>
      <c r="J464">
        <v>0</v>
      </c>
      <c r="K464">
        <v>0</v>
      </c>
      <c r="L464">
        <v>1</v>
      </c>
      <c r="M464">
        <v>1</v>
      </c>
      <c r="N464">
        <v>0</v>
      </c>
      <c r="O464">
        <v>1</v>
      </c>
      <c r="P464">
        <v>0</v>
      </c>
      <c r="Q464">
        <v>1</v>
      </c>
      <c r="R464">
        <v>0</v>
      </c>
      <c r="S464">
        <v>0</v>
      </c>
      <c r="T464">
        <v>0</v>
      </c>
      <c r="U464">
        <v>0</v>
      </c>
      <c r="V464">
        <v>0</v>
      </c>
      <c r="W464">
        <v>0</v>
      </c>
      <c r="X464">
        <v>0</v>
      </c>
      <c r="Y464">
        <v>1</v>
      </c>
      <c r="Z464">
        <v>0</v>
      </c>
    </row>
    <row r="465" spans="1:26" x14ac:dyDescent="0.25">
      <c r="A465">
        <v>4</v>
      </c>
      <c r="B465">
        <v>4</v>
      </c>
      <c r="C465">
        <v>1</v>
      </c>
      <c r="D465">
        <v>188</v>
      </c>
      <c r="E465">
        <v>2</v>
      </c>
      <c r="F465">
        <v>1</v>
      </c>
      <c r="G465">
        <v>0</v>
      </c>
      <c r="H465">
        <v>0</v>
      </c>
      <c r="I465">
        <v>0</v>
      </c>
      <c r="J465">
        <v>0</v>
      </c>
      <c r="K465">
        <v>0</v>
      </c>
      <c r="L465">
        <v>1</v>
      </c>
      <c r="M465">
        <v>0</v>
      </c>
      <c r="N465">
        <v>0</v>
      </c>
      <c r="O465">
        <v>1</v>
      </c>
      <c r="P465">
        <v>0</v>
      </c>
      <c r="Q465">
        <v>0</v>
      </c>
      <c r="R465">
        <v>0</v>
      </c>
      <c r="S465">
        <v>1</v>
      </c>
      <c r="T465">
        <v>0</v>
      </c>
      <c r="U465">
        <v>1</v>
      </c>
      <c r="V465">
        <v>0</v>
      </c>
      <c r="W465">
        <v>0</v>
      </c>
      <c r="X465">
        <v>0</v>
      </c>
      <c r="Y465">
        <v>0</v>
      </c>
      <c r="Z465">
        <v>0</v>
      </c>
    </row>
    <row r="466" spans="1:26" x14ac:dyDescent="0.25">
      <c r="A466">
        <v>3</v>
      </c>
      <c r="B466">
        <v>3</v>
      </c>
      <c r="C466">
        <v>0</v>
      </c>
      <c r="D466">
        <v>2959</v>
      </c>
      <c r="E466">
        <v>7</v>
      </c>
      <c r="F466">
        <v>0</v>
      </c>
      <c r="G466">
        <v>1</v>
      </c>
      <c r="H466">
        <v>0</v>
      </c>
      <c r="I466">
        <v>0</v>
      </c>
      <c r="J466">
        <v>1</v>
      </c>
      <c r="K466">
        <v>0</v>
      </c>
      <c r="L466">
        <v>0</v>
      </c>
      <c r="M466">
        <v>0</v>
      </c>
      <c r="N466">
        <v>0</v>
      </c>
      <c r="O466">
        <v>0</v>
      </c>
      <c r="P466">
        <v>1</v>
      </c>
      <c r="Q466">
        <v>1</v>
      </c>
      <c r="R466">
        <v>0</v>
      </c>
      <c r="S466">
        <v>0</v>
      </c>
      <c r="T466">
        <v>0</v>
      </c>
      <c r="U466">
        <v>0</v>
      </c>
      <c r="V466">
        <v>0</v>
      </c>
      <c r="W466">
        <v>0</v>
      </c>
      <c r="X466">
        <v>0</v>
      </c>
      <c r="Y466">
        <v>1</v>
      </c>
      <c r="Z466">
        <v>0</v>
      </c>
    </row>
    <row r="467" spans="1:26" x14ac:dyDescent="0.25">
      <c r="A467">
        <v>3</v>
      </c>
      <c r="B467">
        <v>3</v>
      </c>
      <c r="C467">
        <v>0</v>
      </c>
      <c r="D467">
        <v>3773</v>
      </c>
      <c r="E467">
        <v>1</v>
      </c>
      <c r="F467">
        <v>0</v>
      </c>
      <c r="G467">
        <v>1</v>
      </c>
      <c r="H467">
        <v>0</v>
      </c>
      <c r="I467">
        <v>0</v>
      </c>
      <c r="J467">
        <v>1</v>
      </c>
      <c r="K467">
        <v>0</v>
      </c>
      <c r="L467">
        <v>0</v>
      </c>
      <c r="M467">
        <v>0</v>
      </c>
      <c r="N467">
        <v>1</v>
      </c>
      <c r="O467">
        <v>0</v>
      </c>
      <c r="P467">
        <v>0</v>
      </c>
      <c r="Q467">
        <v>0</v>
      </c>
      <c r="R467">
        <v>1</v>
      </c>
      <c r="S467">
        <v>0</v>
      </c>
      <c r="T467">
        <v>0</v>
      </c>
      <c r="U467">
        <v>0</v>
      </c>
      <c r="V467">
        <v>0</v>
      </c>
      <c r="W467">
        <v>1</v>
      </c>
      <c r="X467">
        <v>0</v>
      </c>
      <c r="Y467">
        <v>0</v>
      </c>
      <c r="Z467">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E878510-910C-43C4-917A-1D837B6275C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Original Dataset Uncleaned</vt:lpstr>
      <vt:lpstr>Pre Category Reduce and Dummies</vt:lpstr>
      <vt:lpstr>SAME REAULT FOR CATegorical CON</vt:lpstr>
      <vt:lpstr>CORREL CONT</vt:lpstr>
      <vt:lpstr>CORREL CATEG</vt:lpstr>
      <vt:lpstr>CLEAN CONTINOUS</vt:lpstr>
      <vt:lpstr>STDPartition(MLR)</vt:lpstr>
      <vt:lpstr>LinReg_Output(S.5.Step)</vt:lpstr>
      <vt:lpstr>LinReg_Training(S.5.Step)</vt:lpstr>
      <vt:lpstr>LinReg_Validation(S.5.Step)</vt:lpstr>
      <vt:lpstr>LinReg_Stored(S.5.Step)</vt:lpstr>
      <vt:lpstr>LinReg_Output(Step)</vt:lpstr>
      <vt:lpstr>LinReg_FS(Step)</vt:lpstr>
      <vt:lpstr>LinReg_Training(Step)</vt:lpstr>
      <vt:lpstr>LinReg_Validation(Step)</vt:lpstr>
      <vt:lpstr>LinReg_Stored(Step)</vt:lpstr>
      <vt:lpstr>LinReg_Output(S.16.SEQ)</vt:lpstr>
      <vt:lpstr>LinReg_Training(S.16.SEQ)</vt:lpstr>
      <vt:lpstr>LinReg_Validation(S.16.SEQ)</vt:lpstr>
      <vt:lpstr>LinReg_Stored(S.16.SEQ)</vt:lpstr>
      <vt:lpstr>LinReg_Output(SEQ)</vt:lpstr>
      <vt:lpstr>LinReg_FS(SEQ)</vt:lpstr>
      <vt:lpstr>LinReg_Training(SEQ)</vt:lpstr>
      <vt:lpstr>LinReg_ValidationScore(SEQ)</vt:lpstr>
      <vt:lpstr>LinReg_Stored(SEQ)</vt:lpstr>
      <vt:lpstr>LinReg_Sub9(B.E)</vt:lpstr>
      <vt:lpstr>LinReg_Training(S.9.B.E)</vt:lpstr>
      <vt:lpstr>LinReg_Validation(S.9.B.E)</vt:lpstr>
      <vt:lpstr>LinReg_Stored(S.9.B.E)</vt:lpstr>
      <vt:lpstr>LinReg_OutputBackward</vt:lpstr>
      <vt:lpstr>LinReg_BackwardElim</vt:lpstr>
      <vt:lpstr>LinReg_TrainingBackward</vt:lpstr>
      <vt:lpstr>LinReg_ValidationBackward</vt:lpstr>
      <vt:lpstr>LinReg_StoredBackward</vt:lpstr>
      <vt:lpstr>Checking Training Data FRS</vt:lpstr>
      <vt:lpstr>LinReg_Out1FRS(SubSet4)</vt:lpstr>
      <vt:lpstr>LinReg_Training1FRS(Subset4)</vt:lpstr>
      <vt:lpstr>LinReg_Validation1FRS(Subset4</vt:lpstr>
      <vt:lpstr>LinReg_Stored1Subset4</vt:lpstr>
      <vt:lpstr>LinReg_Output(80-20)</vt:lpstr>
      <vt:lpstr>LinReg_FS</vt:lpstr>
      <vt:lpstr>LinReg_TrainingScore</vt:lpstr>
      <vt:lpstr>LinReg_ValidationScore</vt:lpstr>
      <vt:lpstr>LinReg_Stored</vt:lpstr>
      <vt:lpstr>CLEAN CATEG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CSUFTitan</dc:creator>
  <cp:lastModifiedBy>Fahim Zahir</cp:lastModifiedBy>
  <dcterms:created xsi:type="dcterms:W3CDTF">2020-11-18T01:06:33Z</dcterms:created>
  <dcterms:modified xsi:type="dcterms:W3CDTF">2020-11-21T02:56:10Z</dcterms:modified>
</cp:coreProperties>
</file>